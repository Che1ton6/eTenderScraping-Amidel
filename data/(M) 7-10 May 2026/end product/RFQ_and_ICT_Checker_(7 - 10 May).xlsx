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Data" sheetId="1" state="visible" r:id="rId1"/>
    <sheet name="Final"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8bac8f74-f6a7-45bd-864b-b14a54ff6d36.pdf&amp;downloadedFileName=JW%20OPS%20028-25%20PROVISION%20OF%20PEST%20CONTROL%20SERVICES.pdf" TargetMode="External" Id="rId1" /><Relationship Type="http://schemas.openxmlformats.org/officeDocument/2006/relationships/hyperlink" Target="https://www.etenders.gov.za/home/Download/?blobName=318e41af-fe30-4688-a0f6-20916c0d99a6.pdf&amp;downloadedFileName=general%20conditions%20of%20contract.pdf" TargetMode="External" Id="rId2" /><Relationship Type="http://schemas.openxmlformats.org/officeDocument/2006/relationships/hyperlink" Target="https://www.etenders.gov.za/home/Download/?blobName=fd574cd8-7747-4036-aee6-90bea18e24e7.pdf&amp;downloadedFileName=ADVERT%20FOR%20WASTE%20COLLECTION%20AND%20TOWN%20PLANNERS%20(170mm%20High%20%20X%20%20125mm%20Wide%204column)%2017X4.pdf" TargetMode="External" Id="rId3" /><Relationship Type="http://schemas.openxmlformats.org/officeDocument/2006/relationships/hyperlink" Target="https://www.etenders.gov.za/home/Download/?blobName=40ae76b3-fd16-4673-a51c-c7d7725f14f7.pdf&amp;downloadedFileName=ADVERT%20FOR%20WASTE%20COLLECTION%20AND%20TOWN%20PLANNERS%20(170mm%20High%20%20X%20%20125mm%20Wide%204column)%2017X4.pdf" TargetMode="External" Id="rId4" /><Relationship Type="http://schemas.openxmlformats.org/officeDocument/2006/relationships/hyperlink" Target="https://www.etenders.gov.za/home/Download/?blobName=53a48cb8-d135-4689-9820-08362a7b654c.pdf&amp;downloadedFileName=CO0022604RFQ00000004%20Chief%20Risk%20Officer.pdf" TargetMode="External" Id="rId5" /><Relationship Type="http://schemas.openxmlformats.org/officeDocument/2006/relationships/hyperlink" Target="https://www.etenders.gov.za/home/Download/?blobName=07afb7cb-1bb7-4f9c-9c38-8786b8b11c31.pdf&amp;downloadedFileName=Bid%20document%20GSHPT207-R-2026.pdf" TargetMode="External" Id="rId6" /><Relationship Type="http://schemas.openxmlformats.org/officeDocument/2006/relationships/hyperlink" Target="https://www.etenders.gov.za/home/Download/?blobName=b4344b97-bbae-4c2b-a9f3-fff9c4c71dc7.pdf&amp;downloadedFileName=RFQJW103NS26-UNIT%204%20HIGH%20MAST%20LIGHTS%20REPAIR(07-22%20MAY).pdf" TargetMode="External" Id="rId7" /><Relationship Type="http://schemas.openxmlformats.org/officeDocument/2006/relationships/hyperlink" Target="https://www.etenders.gov.za/home/Download/?blobName=3773e6af-68c1-4aaf-8646-4c79d1103f12.pdf&amp;downloadedFileName=07-05-2026%20TENDER%20RE-ADVERT%20-%20CONSTRUCTION%20OF%20WARD%2018%20SPORTFIELD%20(MAGWALA).pdf" TargetMode="External" Id="rId8" /><Relationship Type="http://schemas.openxmlformats.org/officeDocument/2006/relationships/hyperlink" Target="https://www.etenders.gov.za/home/Download/?blobName=960896f6-d5fb-40a5-b99d-15c769f9fcad.pdf&amp;downloadedFileName=Eskom_-_Standard_Conditions_of_Tender.pdf" TargetMode="External" Id="rId9" /><Relationship Type="http://schemas.openxmlformats.org/officeDocument/2006/relationships/hyperlink" Target="https://www.etenders.gov.za/home/Download/?blobName=727e9658-d7f3-43ff-ba9f-350a04666dd7.zip&amp;downloadedFileName=Financial%20Analysis.zip" TargetMode="External" Id="rId10" /><Relationship Type="http://schemas.openxmlformats.org/officeDocument/2006/relationships/hyperlink" Target="https://www.etenders.gov.za/home/Download/?blobName=81e08be3-6ee3-4eaa-a337-105d753be1f1.pdf&amp;downloadedFileName=Tender%20Document.pdf" TargetMode="External" Id="rId11" /><Relationship Type="http://schemas.openxmlformats.org/officeDocument/2006/relationships/hyperlink" Target="https://www.etenders.gov.za/home/Download/?blobName=66fee62a-5947-47bf-94a7-7069f5bbecd0.pdf&amp;downloadedFileName=ANNEXURE%201-VOL%201-MASTER%20RFP-CHEMICAL%20&amp;%20HORTICULTURE%20MAT.pdf" TargetMode="External" Id="rId12" /><Relationship Type="http://schemas.openxmlformats.org/officeDocument/2006/relationships/hyperlink" Target="https://www.etenders.gov.za/home/Download/?blobName=9479eb2a-43e1-4694-826a-7f5fca11d025.pdf&amp;downloadedFileName=Rev1_Invitation%20to%20Tender%20(ITT)%20-%208%20Ton%20Coiling%20and%20winding%20Machine%20%2019.05.2026.pdf" TargetMode="External" Id="rId13" /><Relationship Type="http://schemas.openxmlformats.org/officeDocument/2006/relationships/hyperlink" Target="https://www.etenders.gov.za/home/Download/?blobName=1d57b65b-59b0-4570-916c-534a3fcda136.pdf&amp;downloadedFileName=07-05-2026%20TENDER%20RE-ADVERT%20-%20CONSTRUCTION%20OF%20JAMES,%20KOKSHILLMACUMENI%20GRAVEL%20AR%20&amp;%20NGQUMARHENI%20AR%20AND%20BRIDGE%20%20-WARD%2010,11%20&amp;%2013.pdf" TargetMode="External" Id="rId14" /><Relationship Type="http://schemas.openxmlformats.org/officeDocument/2006/relationships/hyperlink" Target="https://www.etenders.gov.za/home/Download/?blobName=649bd499-5978-4ab3-a2a1-8f32150a74ac.pdf&amp;downloadedFileName=LDPWRI%20R%2020646.pdf" TargetMode="External" Id="rId15" /><Relationship Type="http://schemas.openxmlformats.org/officeDocument/2006/relationships/hyperlink" Target="https://www.etenders.gov.za/home/Download/?blobName=b944471e-3418-40b4-80fa-389ff2706cda.pdf&amp;downloadedFileName=Advert%20-%20PU3018-010%20PLUMBING%20MATERIAL%20and%20All%20Related%20Products%20and%20Services.pdf" TargetMode="External" Id="rId16" /><Relationship Type="http://schemas.openxmlformats.org/officeDocument/2006/relationships/hyperlink" Target="https://www.etenders.gov.za/home/Download/?blobName=68060876-5d60-49cd-bde0-fb1217fce7d4.pdf&amp;downloadedFileName=Annexure%20C.pdf" TargetMode="External" Id="rId17" /><Relationship Type="http://schemas.openxmlformats.org/officeDocument/2006/relationships/hyperlink" Target="https://www.etenders.gov.za/home/Download/?blobName=ef3b1da1-f52e-4819-8ac2-b01fe0e20c1e.pdf&amp;downloadedFileName=Updated%20SBD%20Forms.pdf" TargetMode="External" Id="rId18" /><Relationship Type="http://schemas.openxmlformats.org/officeDocument/2006/relationships/hyperlink" Target="https://www.etenders.gov.za/home/Download/?blobName=9f083f97-84ca-4677-8c35-6e5b4228c683.pdf&amp;downloadedFileName=Annexure%20A%20-Draft_Master_Service_Agreement_MSA_template_.pdf" TargetMode="External" Id="rId19" /><Relationship Type="http://schemas.openxmlformats.org/officeDocument/2006/relationships/hyperlink" Target="https://www.etenders.gov.za/home/Download/?blobName=a35ac6b0-6519-4ace-a6a9-c3be996d49b9.pdf&amp;downloadedFileName=CIDB%20tender%20pack%20-%20structural%20works%20MAGNETITE%20SHUT--.pdf" TargetMode="External" Id="rId20" /><Relationship Type="http://schemas.openxmlformats.org/officeDocument/2006/relationships/hyperlink" Target="https://www.etenders.gov.za/home/Download/?blobName=1c37c737-4cdd-42b2-8590-124317d820f3.pdf&amp;downloadedFileName=Updated%20EABL_2026_03.pdf" TargetMode="External" Id="rId21" /><Relationship Type="http://schemas.openxmlformats.org/officeDocument/2006/relationships/hyperlink" Target="https://www.etenders.gov.za/home/Download/?blobName=9d9618b6-4626-4a53-8dbb-c3a873ae9b1f.pdf&amp;downloadedFileName=RFQ%2024490GGHNP2026-27_%20Appointment%20of%20a%20Service%20Provider%20To%20Service%20GGHNP%20Fire%20Fighting%20Equipment%2007_05_2026.pdf" TargetMode="External" Id="rId22" /><Relationship Type="http://schemas.openxmlformats.org/officeDocument/2006/relationships/hyperlink" Target="https://www.etenders.gov.za/home/Download/?blobName=ecb287fd-3c20-4cad-9c02-7ad439867f48.pdf&amp;downloadedFileName=07-05-2026%20TENDER%20%20RE-ADVERT%20-%20DESIGN,%20PRINT,%20SUPPLY%20AND%20DELIVER%20OF%20MARKETING,%20%20BRANDING%20AND%20PROMOTIONAL%20MATERIAL.pdf" TargetMode="External" Id="rId23" /><Relationship Type="http://schemas.openxmlformats.org/officeDocument/2006/relationships/hyperlink" Target="https://www.etenders.gov.za/home/Download/?blobName=c6aaef01-7650-428b-bf7f-a406c1caa2d3.pdf&amp;downloadedFileName=LDPWRI%20R%2020645.pdf" TargetMode="External" Id="rId24" /><Relationship Type="http://schemas.openxmlformats.org/officeDocument/2006/relationships/hyperlink" Target="https://www.etenders.gov.za/home/Download/?blobName=50d7bfec-fd2b-49d0-b46d-8b9ce846e2bc.pdf&amp;downloadedFileName=LDPWRI-P20647.pdf" TargetMode="External" Id="rId25" /><Relationship Type="http://schemas.openxmlformats.org/officeDocument/2006/relationships/hyperlink" Target="https://www.etenders.gov.za/home/Download/?blobName=418bca61-4b94-4333-95eb-d9113660746a.pdf&amp;downloadedFileName=TENDER%20RE-ADVERT%20FOR%20Sefakaola%20Cluster%20Phase%202.pdf" TargetMode="External" Id="rId26" /><Relationship Type="http://schemas.openxmlformats.org/officeDocument/2006/relationships/hyperlink" Target="https://www.etenders.gov.za/home/Download/?blobName=e35fef4c-81fc-447b-b5b0-6fae0fb2adb9.pdf&amp;downloadedFileName=Suppliers%20Bidder%20List.pdf" TargetMode="External" Id="rId27" /><Relationship Type="http://schemas.openxmlformats.org/officeDocument/2006/relationships/hyperlink" Target="https://www.etenders.gov.za/home/Download/?blobName=8ff37d5e-1e21-4571-8f82-55dac5f8bb48.pdf&amp;downloadedFileName=RE%20ADVERT%20FOR%20WORK%20STUDY.pdf" TargetMode="External" Id="rId28" /><Relationship Type="http://schemas.openxmlformats.org/officeDocument/2006/relationships/hyperlink" Target="https://www.etenders.gov.za/home/Download/?blobName=851ca179-a67d-45f0-81a8-bac608ef33f2.pdf&amp;downloadedFileName=RFQ-Centurion..pdf" TargetMode="External" Id="rId29" /><Relationship Type="http://schemas.openxmlformats.org/officeDocument/2006/relationships/hyperlink" Target="https://www.etenders.gov.za/home/Download/?blobName=83f122f8-5383-4b25-85d0-980f3b3c08d0.pdf&amp;downloadedFileName=Tender%20Cancellation%20Letter%20Template%20-%20Oil%20Spillage%20management%201.pdf" TargetMode="External" Id="rId30" /><Relationship Type="http://schemas.openxmlformats.org/officeDocument/2006/relationships/hyperlink" Target="https://www.etenders.gov.za/home/Download/?blobName=1d4c364c-6b9b-42a7-ac74-d6538e72e971.pdf&amp;downloadedFileName=RFB003.2026%20-%20ANNEXURE%20A%20-%20DRAFT%20NEC%20SUPPLY%20CONTRACT.pdf" TargetMode="External" Id="rId31" /><Relationship Type="http://schemas.openxmlformats.org/officeDocument/2006/relationships/hyperlink" Target="https://www.etenders.gov.za/home/Download/?blobName=54cd034b-836e-49c0-8437-caf8ef7b7958.zip&amp;downloadedFileName=RFP2021001418-RE-ALIGNMENT%20OF%20PSETA%20OCCUPATIONAL%20QUALIFICATIONS.zip" TargetMode="External" Id="rId32" /><Relationship Type="http://schemas.openxmlformats.org/officeDocument/2006/relationships/hyperlink" Target="https://www.etenders.gov.za/home/Download/?blobName=1ee55088-b467-440b-9d01-56bb01cd74c1.pdf&amp;downloadedFileName=07-05-2026%20TENDER%20RE-ADVERT%20-%20CONSTRUCTION%20OF%20JAMES,%20KOKSHILLMACUMENI%20GRAVEL%20AR%20&amp;%20NGQUMARHENI%20AR%20AND%20BRIDGE%20%20-WARD%2010,11%20&amp;%2013.pdf" TargetMode="External" Id="rId33" /><Relationship Type="http://schemas.openxmlformats.org/officeDocument/2006/relationships/hyperlink" Target="https://www.etenders.gov.za/home/Download/?blobName=c314f57a-1eb1-47ee-85fc-85a2f6ce1cf2.pdf&amp;downloadedFileName=REQ0006100%20-%20Server%20Room%20Monitoring%20System.pdf" TargetMode="External" Id="rId34" /><Relationship Type="http://schemas.openxmlformats.org/officeDocument/2006/relationships/hyperlink" Target="https://www.etenders.gov.za/home/Download/?blobName=0f387ec2-a1be-4b79-852c-393f0256bafc.pdf&amp;downloadedFileName=21427-GGHNP-2026-27_Appointment%20of%20a%20service%20provider%20for%20the%20provision%20of%20plumbing%20services.pdf" TargetMode="External" Id="rId35" /><Relationship Type="http://schemas.openxmlformats.org/officeDocument/2006/relationships/hyperlink" Target="https://www.etenders.gov.za/home/Download/?blobName=14b1aaa0-2cf0-4c24-89c5-a023ea73d013.pdf&amp;downloadedFileName=07-05-2026%20TENDER%20RE-ADVERT%20-%20CONSTRUCTION%20OF%20JAMES,%20KOKSHILLMACUMENI%20GRAVEL%20AR%20&amp;%20NGQUMARHENI%20AR%20AND%20BRIDGE%20%20-WARD%2010,11%20&amp;%2013.pdf" TargetMode="External" Id="rId36" /><Relationship Type="http://schemas.openxmlformats.org/officeDocument/2006/relationships/hyperlink" Target="https://www.etenders.gov.za/home/Download/?blobName=865602ea-ddeb-498d-9f8b-78c8c287db4f.pdf&amp;downloadedFileName=Tender%20Document%20233Q-2025-26.pdf" TargetMode="External" Id="rId37" /><Relationship Type="http://schemas.openxmlformats.org/officeDocument/2006/relationships/hyperlink" Target="https://www.etenders.gov.za/home/Download/?blobName=12d0cff2-ff13-4dd7-a744-1d40fe243fe1.pdf&amp;downloadedFileName=BILLS%20OF%20QUANTITIES-%20LATEST.pdf" TargetMode="External" Id="rId38" /><Relationship Type="http://schemas.openxmlformats.org/officeDocument/2006/relationships/hyperlink" Target="https://www.etenders.gov.za/home/Download/?blobName=fe53ce1a-ce96-4e8d-8999-7bcbf8adc443.pdf&amp;downloadedFileName=Tender%20BSM%2083%2026%20Appointment%20o%20f%20a%20Service%20Provider%20for%20Establishment%20of%20an%20Integrated%20Infrastructure%20Assets.pdf" TargetMode="External" Id="rId39" /><Relationship Type="http://schemas.openxmlformats.org/officeDocument/2006/relationships/hyperlink" Target="https://www.etenders.gov.za/home/Download/?blobName=8cb04421-7e75-41ea-8eb5-f8029f56cb67.pdf&amp;downloadedFileName=234Q_2025_26%20TENDER%20DOCUMENT%20For%20Advert.pdf" TargetMode="External" Id="rId40" /><Relationship Type="http://schemas.openxmlformats.org/officeDocument/2006/relationships/hyperlink" Target="https://www.etenders.gov.za/home/Download/?blobName=abb6a29d-d30d-4728-b563-8b2c14dd7372.pdf&amp;downloadedFileName=Tender%20document%20-%20SCM-TSW-23-2025-2026%20-%20%20MIGRATION%20OF%20CURRENT%20EMAIL%20SERVICES%20TO%20MICROSOFT%20365%20BUSINESS%20STANDARD.pdf" TargetMode="External" Id="rId41" /><Relationship Type="http://schemas.openxmlformats.org/officeDocument/2006/relationships/hyperlink" Target="https://www.etenders.gov.za/home/Download/?blobName=7cdf90d2-c9d6-47f2-84eb-8fedb1284aec.pdf&amp;downloadedFileName=Invitation%20to%20tender.pdf" TargetMode="External" Id="rId42" /><Relationship Type="http://schemas.openxmlformats.org/officeDocument/2006/relationships/hyperlink" Target="https://www.etenders.gov.za/home/Download/?blobName=ff1dd310-ad44-46e5-8568-176babcd1689.pdf&amp;downloadedFileName=PPE%20Requirements%20for%20the%20Site%20Walk%20%20dated%2020%20May%202026.pdf" TargetMode="External" Id="rId43" /><Relationship Type="http://schemas.openxmlformats.org/officeDocument/2006/relationships/hyperlink" Target="https://www.etenders.gov.za/home/Download/?blobName=096388b0-c6db-407e-8eee-b18732120e62.pdf&amp;downloadedFileName=Re-Advert%20for%20Provision%20of%20Security%20Services%20for%20Twenty%20Four%20Months.pdf" TargetMode="External" Id="rId44" /><Relationship Type="http://schemas.openxmlformats.org/officeDocument/2006/relationships/hyperlink" Target="https://www.etenders.gov.za/home/Download/?blobName=5f33e482-bdca-4d7b-b3ef-ff639ef94549.pdf&amp;downloadedFileName=RFP%20-%20Property%20Leasing%20Burgersfort%20Satellite%20Office.pdf" TargetMode="External" Id="rId45" /><Relationship Type="http://schemas.openxmlformats.org/officeDocument/2006/relationships/hyperlink" Target="https://www.etenders.gov.za/home/Download/?blobName=93e6fe35-587a-4e4c-aa42-c62b14833cac.pdf&amp;downloadedFileName=Request%20for%20Proposals%20Elukwatini%20(Eerstehoek).pdf" TargetMode="External" Id="rId46" /><Relationship Type="http://schemas.openxmlformats.org/officeDocument/2006/relationships/hyperlink" Target="https://www.etenders.gov.za/home/Download/?blobName=09f34661-a465-430f-90f7-12cabc90e2e4.xlsx&amp;downloadedFileName=Annexure%20C-%20Pricing%20Schedule%20(Learner%20attendance).xlsx" TargetMode="External" Id="rId47" /><Relationship Type="http://schemas.openxmlformats.org/officeDocument/2006/relationships/hyperlink" Target="https://www.etenders.gov.za/home/Download/?blobName=49728e14-0de4-41fd-88fa-b7ab6ea60978.pdf&amp;downloadedFileName=ToR%20for%20Agricultural%20Specialists.pdf" TargetMode="External" Id="rId48" /><Relationship Type="http://schemas.openxmlformats.org/officeDocument/2006/relationships/hyperlink" Target="https://www.etenders.gov.za/home/Download/?blobName=9ad7c836-39ac-443d-9aa2-d126d14e7fd1.pdf&amp;downloadedFileName=PANEL%20FOR%20LEGAL%20SERVICES%20-%20RFP%2002-03-2026%20(TENDER%20DOCUMENT).pdf" TargetMode="External" Id="rId49" /><Relationship Type="http://schemas.openxmlformats.org/officeDocument/2006/relationships/hyperlink" Target="https://www.etenders.gov.za/home/Download/?blobName=6ddc3099-f0b3-4ab1-8cb7-b7fb393e2c7a.docx&amp;downloadedFileName=BID%20ADVERT%20ZNB%205051-2026-H-UROLOGY%20LASER%20HOLMIUM%20YAG%20(SPEC-%20E181)%20FOR%20VICTORIA%20MXENGE%20HOSPITAL.docx" TargetMode="External" Id="rId50" /><Relationship Type="http://schemas.openxmlformats.org/officeDocument/2006/relationships/hyperlink" Target="https://www.etenders.gov.za/home/Download/?blobName=fd0c1829-ccea-41e0-80c5-9e9ea64b018d.pdf&amp;downloadedFileName=143-2025-2026%20TENDER%20DOCUMENT.pdf" TargetMode="External" Id="rId51" /><Relationship Type="http://schemas.openxmlformats.org/officeDocument/2006/relationships/hyperlink" Target="https://www.etenders.gov.za/home/Download/?blobName=5e56f112-f5f3-4084-b69a-ae2b0a42048f.docx&amp;downloadedFileName=BID%20ADVERT%20ZNB%205622-2026-H-ROAD%20ACCIDENT%20FUND.docx" TargetMode="External" Id="rId52" /><Relationship Type="http://schemas.openxmlformats.org/officeDocument/2006/relationships/hyperlink" Target="https://www.etenders.gov.za/home/Download/?blobName=32055965-3ea1-4abc-9088-c8f1337cc385.pdf&amp;downloadedFileName=COMBINED%20MAY%20ADVERT%2001.pdf" TargetMode="External" Id="rId53" /><Relationship Type="http://schemas.openxmlformats.org/officeDocument/2006/relationships/hyperlink" Target="https://www.etenders.gov.za/home/Download/?blobName=d28e7b0c-e609-4063-b2fc-ce78572107ce.pdf&amp;downloadedFileName=RFP%2002-2026%20Appointmentment%20of%20Transactional%20Advisors%20for%20PPP%20Projects_.pdf" TargetMode="External" Id="rId54" /><Relationship Type="http://schemas.openxmlformats.org/officeDocument/2006/relationships/hyperlink" Target="https://www.etenders.gov.za/home/Download/?blobName=63435735-2231-4be8-85f8-a48080cd32a1.pdf&amp;downloadedFileName=BID%20DOCUMENT%20RE_ADVERTISEMENT%20DESIGN,%20SUPPLY,%20INSTALLATION,%20%20AND%20COMMISSION%20OF%20ILS%20AND%20DME%20AT%20POLOKWANE%20INTERNATIONAL%20AIRPORT.pdf" TargetMode="External" Id="rId55" /><Relationship Type="http://schemas.openxmlformats.org/officeDocument/2006/relationships/hyperlink" Target="https://www.etenders.gov.za/home/Download/?blobName=a793f023-5204-4503-afc1-81f76e76527c.pdf&amp;downloadedFileName=GSDM58-2025%20Supply%20and%20Delivery%20of%20various%20laboratory%20chemicals%20including%20salts%20and%20acids%20for%2036%20months%20updated.pdf" TargetMode="External" Id="rId56" /><Relationship Type="http://schemas.openxmlformats.org/officeDocument/2006/relationships/hyperlink" Target="https://www.etenders.gov.za/home/Download/?blobName=d1651a62-28ed-4f0c-802d-b193b8af1a24.pdf&amp;downloadedFileName=RFP%20-%20Property%20Leasing%20Senwabarwana%20(Bochum)%20Satellite%20Office.pdf" TargetMode="External" Id="rId57" /><Relationship Type="http://schemas.openxmlformats.org/officeDocument/2006/relationships/hyperlink" Target="https://www.etenders.gov.za/home/Download/?blobName=578c8f33-bd8c-488e-8576-fd06d6e3bb67.pdf&amp;downloadedFileName=Advert%20-%20COR%2002-2026-27.pdf" TargetMode="External" Id="rId58" /><Relationship Type="http://schemas.openxmlformats.org/officeDocument/2006/relationships/hyperlink" Target="https://www.etenders.gov.za/home/Download/?blobName=64bc4d94-8da4-498c-9b5d-1b740d439d56.pdf&amp;downloadedFileName=advert%20BS08-04-2026%20printing%20and%20posting%20April%202026.pdf" TargetMode="External" Id="rId59" /><Relationship Type="http://schemas.openxmlformats.org/officeDocument/2006/relationships/hyperlink" Target="https://www.etenders.gov.za/home/Download/?blobName=509f6f11-c277-47cf-bb3f-18ead7a11d66.pdf&amp;downloadedFileName=ACDP%2026%2001%20hygiene.pdf" TargetMode="External" Id="rId60" /><Relationship Type="http://schemas.openxmlformats.org/officeDocument/2006/relationships/hyperlink" Target="https://www.etenders.gov.za/home/Download/?blobName=81cd4c0b-9b28-4305-aaa8-cbe48e4ffd58.pdf&amp;downloadedFileName=RFQ%20%20-%20UPS%20SUPPLY%20May%202026.pdf" TargetMode="External" Id="rId61" /><Relationship Type="http://schemas.openxmlformats.org/officeDocument/2006/relationships/hyperlink" Target="https://www.etenders.gov.za/home/Download/?blobName=42622f59-c45c-49cc-a123-7c6d91a962be.pdf&amp;downloadedFileName=DPWFS%20(T)%20003%202026.pdf" TargetMode="External" Id="rId62" /><Relationship Type="http://schemas.openxmlformats.org/officeDocument/2006/relationships/hyperlink" Target="https://www.etenders.gov.za/home/Download/?blobName=aadef859-05fe-48ef-9e1d-e45e1d77e11e.pdf&amp;downloadedFileName=Tender%20Document.pdf" TargetMode="External" Id="rId63" /><Relationship Type="http://schemas.openxmlformats.org/officeDocument/2006/relationships/hyperlink" Target="https://www.etenders.gov.za/home/Download/?blobName=641bdb99-258b-4ecd-8637-b1452e7eede9.pdf&amp;downloadedFileName=RFP%203729-08-06-2026.pdf" TargetMode="External" Id="rId64" /><Relationship Type="http://schemas.openxmlformats.org/officeDocument/2006/relationships/hyperlink" Target="https://www.etenders.gov.za/home/Download/?blobName=cfa11e4e-a9a0-41a3-b573-07fc5f8f5e78.pdf&amp;downloadedFileName=TENDER%20DOCUMENT%20COMPILATION%20OF%20AFS%202026.pdf" TargetMode="External" Id="rId65" /><Relationship Type="http://schemas.openxmlformats.org/officeDocument/2006/relationships/hyperlink" Target="https://www.etenders.gov.za/home/Download/?blobName=d8925a01-0ea4-4fe2-b234-e3fc35972098.pdf&amp;downloadedFileName=Bid%20Document%20RFQ%20BB%2030%202026.pdf" TargetMode="External" Id="rId66" /><Relationship Type="http://schemas.openxmlformats.org/officeDocument/2006/relationships/hyperlink" Target="https://www.etenders.gov.za/home/Download/?blobName=f94d8ad7-3836-45d1-8195-5c16c18bf34e.pdf&amp;downloadedFileName=RFQ%20-%20VAPT%20Tool.pdf" TargetMode="External" Id="rId67" /><Relationship Type="http://schemas.openxmlformats.org/officeDocument/2006/relationships/hyperlink" Target="https://www.etenders.gov.za/home/Download/?blobName=fcb4d563-cb8e-47d7-b72b-e42cf53a71dd.pdf&amp;downloadedFileName=T010P%20EMS%20Policy%20Statement%20%20(2).pdf" TargetMode="External" Id="rId68" /><Relationship Type="http://schemas.openxmlformats.org/officeDocument/2006/relationships/hyperlink" Target="https://www.etenders.gov.za/home/Download/?blobName=c9574dac-ce2d-43e0-8570-5f8950c35ef1.pdf&amp;downloadedFileName=Tender%20document%20-%20SCM-TSW-22-2025-2026%20-%20%20ELECTRONIC%20PERFORMANCE%20MANAGEMENT%20SYSTEM.pdf" TargetMode="External" Id="rId69" /><Relationship Type="http://schemas.openxmlformats.org/officeDocument/2006/relationships/hyperlink" Target="https://www.etenders.gov.za/home/Download/?blobName=06924233-36a4-4f66-868f-38c20c1e8155.pdf&amp;downloadedFileName=Annexure%20B%20Request%20For%20Proposal%20Completion%20of%20Documents.pdf" TargetMode="External" Id="rId70" /><Relationship Type="http://schemas.openxmlformats.org/officeDocument/2006/relationships/hyperlink" Target="https://www.etenders.gov.za/home/Download/?blobName=d42914c2-c47d-4193-85d8-75402b480194.pdf&amp;downloadedFileName=RFP%2006-2026%20Addendum.pdf" TargetMode="External" Id="rId71" /><Relationship Type="http://schemas.openxmlformats.org/officeDocument/2006/relationships/hyperlink" Target="https://www.etenders.gov.za/home/Download/?blobName=f22abe39-6326-468e-952c-1a79449a3737.pdf&amp;downloadedFileName=Tender%20Document%208.3.26-2026%20MN91-2026.pdf" TargetMode="External" Id="rId72" /><Relationship Type="http://schemas.openxmlformats.org/officeDocument/2006/relationships/hyperlink" Target="https://www.etenders.gov.za/home/Download/?blobName=e5e5f245-d08d-4017-8e56-f7a97244e448.pdf&amp;downloadedFileName=Bid%20Invitation%20for%20Re%20Advert%20for%20Construction%20of%20Rhwantsa%20Community%20Hall.pdf" TargetMode="External" Id="rId73" /><Relationship Type="http://schemas.openxmlformats.org/officeDocument/2006/relationships/hyperlink" Target="https://www.etenders.gov.za/home/Download/?blobName=7942080c-faef-4cd1-944c-1e2bce340860.pdf&amp;downloadedFileName=RE-ADVERT%20SUPPLY,%20DELIVER%20AND%20INSTALLATION%20OF%2018%20SPLIT%20PREPAID%20SINGLE-PHASE%20METERS%20AT%20THE%20SWIMMING%20POOL.pdf" TargetMode="External" Id="rId74" /><Relationship Type="http://schemas.openxmlformats.org/officeDocument/2006/relationships/hyperlink" Target="https://www.etenders.gov.za/home/Download/?blobName=c1fa6eda-263d-4876-8bc0-fe2f3df88d3c.pdf&amp;downloadedFileName=Bid%20Notice%20BV1063.pdf" TargetMode="External" Id="rId75" /><Relationship Type="http://schemas.openxmlformats.org/officeDocument/2006/relationships/hyperlink" Target="https://www.etenders.gov.za/home/Download/?blobName=1e72f39a-23ae-495e-a461-1b08b3679afa.pdf&amp;downloadedFileName=CIDB%20project%20-%20Gallery%20cladding%20-%20Magnetite%20shutdown.pdf" TargetMode="External" Id="rId76" /><Relationship Type="http://schemas.openxmlformats.org/officeDocument/2006/relationships/hyperlink" Target="https://www.etenders.gov.za/home/Download/?blobName=63701dc3-fb93-40b6-8194-fa6ae06a8789.pdf&amp;downloadedFileName=Integrity%20Declaration%20Form.pdf" TargetMode="External" Id="rId77" /><Relationship Type="http://schemas.openxmlformats.org/officeDocument/2006/relationships/hyperlink" Target="https://www.etenders.gov.za/home/Download/?blobName=90835094-9846-4fae-aa4f-b63913e45711.pdf&amp;downloadedFileName=RFP%20-%20Property%20Leasing%20Phalaborwa%20Satellite%20Office.pdf" TargetMode="External" Id="rId78" /><Relationship Type="http://schemas.openxmlformats.org/officeDocument/2006/relationships/hyperlink" Target="https://www.etenders.gov.za/home/Download/?blobName=3542a9f1-1d2b-469c-8538-5a3d90a062a6.pdf&amp;downloadedFileName=RE-ADVERT%20LEGAL%20SERVICES%20%20UMUZ-02-2025.pdf" TargetMode="External" Id="rId79" /><Relationship Type="http://schemas.openxmlformats.org/officeDocument/2006/relationships/hyperlink" Target="https://www.etenders.gov.za/home/Download/?blobName=bd480732-3730-49ef-8454-c2210372e021.pdf&amp;downloadedFileName=General_Conditions_of_Contract-_July_2011.pdf" TargetMode="External" Id="rId80" /><Relationship Type="http://schemas.openxmlformats.org/officeDocument/2006/relationships/hyperlink" Target="https://www.etenders.gov.za/home/Download/?blobName=e8882d29-a459-4b2d-a5b6-fa7ee190b06e.pdf&amp;downloadedFileName=advert%20-%20BS09-03-2026%20Panel%20Roads%207CE%2009%20February%202026%20%20Rev%201.........pdf" TargetMode="External" Id="rId81" /><Relationship Type="http://schemas.openxmlformats.org/officeDocument/2006/relationships/hyperlink" Target="https://www.etenders.gov.za/home/Download/?blobName=15413faf-c757-4966-8adc-cee80b4d8d76.docx&amp;downloadedFileName=BID%20ADVERT%20ZNB%205465-2026-H%20LAUNDRY%20EQUIPMENT-%20NGWELEZANE%20HOSPITAL.docx" TargetMode="External" Id="rId82" /><Relationship Type="http://schemas.openxmlformats.org/officeDocument/2006/relationships/hyperlink" Target="https://www.etenders.gov.za/home/Download/?blobName=6d081795-063b-4706-8419-53834d62b1e2.pdf&amp;downloadedFileName=TOR%20AAS-Accounting%20and%20Audit%20Support.pdf" TargetMode="External" Id="rId83" /><Relationship Type="http://schemas.openxmlformats.org/officeDocument/2006/relationships/hyperlink" Target="https://www.etenders.gov.za/home/Download/?blobName=8216220e-ebe1-4d40-96b7-a2fc32b90c9c.pdf&amp;downloadedFileName=NTCSA%20Tender%20Cancellation%20Letter%20-%20Repairs%20%20Calibration%20for%20various.pdf" TargetMode="External" Id="rId84" /><Relationship Type="http://schemas.openxmlformats.org/officeDocument/2006/relationships/hyperlink" Target="https://www.etenders.gov.za/home/Download/?blobName=127cbc62-8f9b-4547-afb6-4e7e3e9f20c3.pdf&amp;downloadedFileName=SCMU5-26_27-0002NMM.pdf" TargetMode="External" Id="rId85" /><Relationship Type="http://schemas.openxmlformats.org/officeDocument/2006/relationships/hyperlink" Target="https://www.etenders.gov.za/home/Download/?blobName=fb118e01-14db-43b2-9313-e0d23e6a40bc.pdf&amp;downloadedFileName=Rehabilitation%20of%20iNkosi%20Khumalo%20Modular%20Library.pdf" TargetMode="External" Id="rId86" /><Relationship Type="http://schemas.openxmlformats.org/officeDocument/2006/relationships/hyperlink" Target="https://www.etenders.gov.za/home/Download/?blobName=d08a836e-764f-4a14-8984-908eaf58bfe4.pdf&amp;downloadedFileName=Annexure%20B%20Request%20For%20Proposal%20Completion%20of%20Documents.pdf" TargetMode="External" Id="rId87" /><Relationship Type="http://schemas.openxmlformats.org/officeDocument/2006/relationships/hyperlink" Target="https://www.etenders.gov.za/home/Download/?blobName=11d6814d-2d97-4194-be72-da37165be5d3.xlsx&amp;downloadedFileName=PRICING%20SCHEDULE%20BSC%20Annexure%20B%2020-05-2026.xlsx" TargetMode="External" Id="rId88" /><Relationship Type="http://schemas.openxmlformats.org/officeDocument/2006/relationships/hyperlink" Target="https://www.etenders.gov.za/home/Download/?blobName=48a1db5a-5f59-4b0b-b34e-2184f624f460.docx&amp;downloadedFileName=CLARRIFICATION%20MEETING%20LINK.docx" TargetMode="External" Id="rId89" /><Relationship Type="http://schemas.openxmlformats.org/officeDocument/2006/relationships/hyperlink" Target="https://www.etenders.gov.za/home/Download/?blobName=d7ed367c-796e-4a95-9e82-b9b0ef33a3f5.pdf&amp;downloadedFileName=SBD%20Form%203.1%20(6).pdf" TargetMode="External" Id="rId90" /><Relationship Type="http://schemas.openxmlformats.org/officeDocument/2006/relationships/hyperlink" Target="https://www.etenders.gov.za/home/Download/?blobName=ca530631-8476-4553-96c3-3d520fe03a69.pdf&amp;downloadedFileName=2026-073%20Document%20.pdf" TargetMode="External" Id="rId91" /><Relationship Type="http://schemas.openxmlformats.org/officeDocument/2006/relationships/hyperlink" Target="https://www.etenders.gov.za/home/Download/?blobName=25d023df-398a-46fd-9077-675caf4b47aa.pdf&amp;downloadedFileName=2026-079%20-%20Upper%20Mkhomazi%20Water%20Project%20-%20PSP%20%20Bid%20Document%20%20-156ML%20Rev%2002.pdf" TargetMode="External" Id="rId92" /><Relationship Type="http://schemas.openxmlformats.org/officeDocument/2006/relationships/hyperlink" Target="https://www.etenders.gov.za/home/Download/?blobName=95400a79-0996-4534-b05b-3ebd149ee29c.pdf&amp;downloadedFileName=WCGHSC%200249.2025%20Rendering%20of%20Consolidated%20Leadership%20Development%20Service-1-24_pagenumber-24.pdf" TargetMode="External" Id="rId93" /><Relationship Type="http://schemas.openxmlformats.org/officeDocument/2006/relationships/hyperlink" Target="https://www.etenders.gov.za/home/Download/?blobName=7c7b784b-0ead-4bb6-b279-8056b0ac3eac.pdf&amp;downloadedFileName=235S_2025_26_%20NON-COMPULSARY%20SITE%20MEETING%2015%20MAY.pdf" TargetMode="External" Id="rId94" /><Relationship Type="http://schemas.openxmlformats.org/officeDocument/2006/relationships/hyperlink" Target="https://www.etenders.gov.za/home/Download/?blobName=ed9605a5-d372-438d-902b-5eb876d29cbc.pdf&amp;downloadedFileName=COMBINED%20MAY%20ADVERT%2001.pdf" TargetMode="External" Id="rId95" /><Relationship Type="http://schemas.openxmlformats.org/officeDocument/2006/relationships/hyperlink" Target="https://www.etenders.gov.za/home/Download/?blobName=b29f4a0a-644f-44fa-9a7f-ec5ba0b0a369.pdf&amp;downloadedFileName=Tender%202026-072%20SUPPLY%20AND%20DELIVER%20VEHICLE%20SPARES%20FOR%20THE%20COASTAL%20VEHICLE%20WORKSHOP%20FOR%20A%20PERIOD%20OF%203%20YEARS.pdf" TargetMode="External" Id="rId96" /><Relationship Type="http://schemas.openxmlformats.org/officeDocument/2006/relationships/hyperlink" Target="https://www.etenders.gov.za/home/Download/?blobName=5dd150b4-1dbd-4322-b8da-e0689989531c.pdf&amp;downloadedFileName=Solicitation%20ID%20RFQ_OBP023_2026_27%20Request%20for%20Quote%20May%2008%202026.pdf" TargetMode="External" Id="rId97" /><Relationship Type="http://schemas.openxmlformats.org/officeDocument/2006/relationships/hyperlink" Target="https://www.etenders.gov.za/home/Download/?blobName=ad0acbdb-578a-49e6-9a58-b9935c80d503.xlsx&amp;downloadedFileName=Annexure%205d%20RFB%203243-2026-%20Pricing%20Schedule.xlsx" TargetMode="External" Id="rId98" /><Relationship Type="http://schemas.openxmlformats.org/officeDocument/2006/relationships/hyperlink" Target="https://www.etenders.gov.za/home/Download/?blobName=b5dc5a33-ee91-4f58-b437-c2eaa7c19fd7.pdf&amp;downloadedFileName=Tender%20document%20-%20SCM-TSW-24-2025-2026%20-%20%20Bultfontein%20Paving%20Blocks%209400sq.pdf" TargetMode="External" Id="rId99" /><Relationship Type="http://schemas.openxmlformats.org/officeDocument/2006/relationships/hyperlink" Target="https://www.etenders.gov.za/home/Download/?blobName=af0180e3-3bdc-4ca9-aa52-33ffb82246eb.pdf&amp;downloadedFileName=LTA001_2627-%20PANEL%20OF%20COMPANIES%20FOR%20THE%20DESIGN%20AND%20CONSTRUCTION%20OF%20EXHIBITION%20STANDS%20FOR%20A%20PERIOD%20OF%2036%20MONTHS-SCM_SEWELAN.pdf" TargetMode="External" Id="rId100" /><Relationship Type="http://schemas.openxmlformats.org/officeDocument/2006/relationships/hyperlink" Target="https://www.etenders.gov.za/home/Download/?blobName=8ca8c15c-d14e-4913-a89a-bdc2b28ea96a.pdf&amp;downloadedFileName=Publication%20of%20Names%20of%20Bidders%20-%20E2689GXMPDUV.pdf" TargetMode="External" Id="rId101" /><Relationship Type="http://schemas.openxmlformats.org/officeDocument/2006/relationships/hyperlink" Target="https://www.etenders.gov.za/home/Download/?blobName=c03e1458-9ab1-488d-ac20-cf9098cc325c.pdf&amp;downloadedFileName=Publication%20of%20Names%20of%20Bidders%20-%20E2687GXMPDUV.pdf" TargetMode="External" Id="rId102" /><Relationship Type="http://schemas.openxmlformats.org/officeDocument/2006/relationships/hyperlink" Target="https://www.etenders.gov.za/home/Download/?blobName=b7d05a69-634e-4366-9225-5a0209518f65.pdf&amp;downloadedFileName=MBD%204%20(declaration%20of%20interests)%20RATLOU%20LOCAL%20MUNICIPALITY.pdf" TargetMode="External" Id="rId103" /></Relationships>
</file>

<file path=xl/worksheets/sheet1.xml><?xml version="1.0" encoding="utf-8"?>
<worksheet xmlns="http://schemas.openxmlformats.org/spreadsheetml/2006/main">
  <sheetPr>
    <outlinePr summaryBelow="1" summaryRight="1"/>
    <pageSetUpPr/>
  </sheetPr>
  <dimension ref="A1:W105"/>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BRIEFING_DATE</t>
        </is>
      </c>
      <c r="P1" s="1" t="inlineStr">
        <is>
          <t>COMPULSORY_BRIEFING</t>
        </is>
      </c>
      <c r="Q1" s="1" t="inlineStr">
        <is>
          <t>BRIEFING_SESSION_VENUE</t>
        </is>
      </c>
      <c r="R1" s="1" t="inlineStr">
        <is>
          <t>LINK</t>
        </is>
      </c>
      <c r="S1" s="1" t="inlineStr">
        <is>
          <t>SOE</t>
        </is>
      </c>
      <c r="T1" s="1" t="inlineStr">
        <is>
          <t>COST_OF_SALES_ESTIMATE</t>
        </is>
      </c>
      <c r="U1" s="1" t="inlineStr">
        <is>
          <t>CAPABILITY_AVAILABLE</t>
        </is>
      </c>
      <c r="V1" s="1" t="inlineStr">
        <is>
          <t>CAPABILITY_GROUP</t>
        </is>
      </c>
      <c r="W1" s="1" t="inlineStr">
        <is>
          <t>REQUIREMENTS</t>
        </is>
      </c>
    </row>
    <row r="2">
      <c r="A2" s="2" t="n">
        <v>46163</v>
      </c>
      <c r="B2" t="n">
        <v>104</v>
      </c>
      <c r="C2" t="inlineStr">
        <is>
          <t>JWOPS028/25</t>
        </is>
      </c>
      <c r="D2" s="2" t="n">
        <v>46149</v>
      </c>
      <c r="E2" s="2" t="n">
        <v>46183</v>
      </c>
      <c r="F2" t="inlineStr">
        <is>
          <t>10:30</t>
        </is>
      </c>
      <c r="G2" t="inlineStr">
        <is>
          <t>Request for Bid(Open-Tender)</t>
        </is>
      </c>
      <c r="H2" t="inlineStr">
        <is>
          <t>Provision of Pest Control Services on an as and when Required basis for a period of Thirty Six (36) Months</t>
        </is>
      </c>
      <c r="I2" t="inlineStr">
        <is>
          <t>ETENDERS.GOV.ZA</t>
        </is>
      </c>
      <c r="J2" t="inlineStr">
        <is>
          <t>Johannesburg Water</t>
        </is>
      </c>
      <c r="K2" t="inlineStr">
        <is>
          <t>Gauteng</t>
        </is>
      </c>
      <c r="L2" t="inlineStr">
        <is>
          <t>No</t>
        </is>
      </c>
      <c r="M2" t="inlineStr">
        <is>
          <t>Specialised construction activities</t>
        </is>
      </c>
      <c r="N2" t="inlineStr">
        <is>
          <t>Yes</t>
        </is>
      </c>
      <c r="O2" t="inlineStr">
        <is>
          <t>N/A</t>
        </is>
      </c>
      <c r="P2" t="inlineStr">
        <is>
          <t>Yes</t>
        </is>
      </c>
      <c r="Q2" t="inlineStr">
        <is>
          <t>No. 65 Ntemi Piliso Street, Newtown, Auditorium</t>
        </is>
      </c>
      <c r="R2" s="3" t="inlineStr">
        <is>
          <t>https://www.etenders.gov.za/home/Download/?blobName=8bac8f74-f6a7-45bd-864b-b14a54ff6d36.pdf&amp;downloadedFileName=JW%20OPS%20028-25%20PROVISION%20OF%20PEST%20CONTROL%20SERVICES.pdf</t>
        </is>
      </c>
      <c r="S2" t="inlineStr"/>
      <c r="T2" t="inlineStr"/>
      <c r="U2" t="inlineStr"/>
      <c r="V2" t="inlineStr"/>
      <c r="W2" t="inlineStr"/>
    </row>
    <row r="3">
      <c r="A3" s="2" t="n">
        <v>46163</v>
      </c>
      <c r="B3" t="n">
        <v>103</v>
      </c>
      <c r="C3" t="inlineStr">
        <is>
          <t>NCC/01/2026/2027</t>
        </is>
      </c>
      <c r="D3" s="2" t="n">
        <v>46149</v>
      </c>
      <c r="E3" s="2" t="n">
        <v>46171</v>
      </c>
      <c r="F3" t="inlineStr">
        <is>
          <t>14:00</t>
        </is>
      </c>
      <c r="G3" t="inlineStr">
        <is>
          <t>Request for Bid(Open-Tender)</t>
        </is>
      </c>
      <c r="H3" t="inlineStr">
        <is>
          <t>THE APPOINTMENT OF A SERVICE PROVIDER FOR THE PROOF READING, PHOTOGRAPHY, COPY EDITING, DESIGN, LAY-OUT, AND PRINTING OF VARIOUS DOCUMENTATION FOR A PERIOD OF THREE (3) YEARS.</t>
        </is>
      </c>
      <c r="I3" t="inlineStr">
        <is>
          <t>ETENDERS.GOV.ZA</t>
        </is>
      </c>
      <c r="J3" t="inlineStr">
        <is>
          <t>National Consumer Commission</t>
        </is>
      </c>
      <c r="K3" t="inlineStr">
        <is>
          <t>Gauteng</t>
        </is>
      </c>
      <c r="L3" t="inlineStr">
        <is>
          <t>No</t>
        </is>
      </c>
      <c r="M3" t="inlineStr">
        <is>
          <t>Printing and reproduction of recorded media</t>
        </is>
      </c>
      <c r="N3" t="inlineStr">
        <is>
          <t>Yes</t>
        </is>
      </c>
      <c r="O3" s="2" t="n">
        <v>46160</v>
      </c>
      <c r="P3" t="inlineStr">
        <is>
          <t>Yes</t>
        </is>
      </c>
      <c r="Q3" t="inlineStr">
        <is>
          <t>Microsoft Teams https://teams.microsoft.com/meet/310140206564104?p=vaDlEnnSBKYGtLuR1Q</t>
        </is>
      </c>
      <c r="R3" s="3" t="inlineStr">
        <is>
          <t>https://www.etenders.gov.za/home/Download/?blobName=318e41af-fe30-4688-a0f6-20916c0d99a6.pdf&amp;downloadedFileName=general%20conditions%20of%20contract.pdf</t>
        </is>
      </c>
      <c r="S3" t="inlineStr"/>
      <c r="T3" t="inlineStr"/>
      <c r="U3" t="inlineStr"/>
      <c r="V3" t="inlineStr"/>
      <c r="W3" t="inlineStr"/>
    </row>
    <row r="4">
      <c r="A4" s="2" t="n">
        <v>46163</v>
      </c>
      <c r="B4" t="n">
        <v>102</v>
      </c>
      <c r="C4" t="inlineStr">
        <is>
          <t>NDWB 53/25/26</t>
        </is>
      </c>
      <c r="D4" s="2" t="n">
        <v>46149</v>
      </c>
      <c r="E4" s="2" t="n">
        <v>46181</v>
      </c>
      <c r="F4" t="inlineStr">
        <is>
          <t>12:00</t>
        </is>
      </c>
      <c r="G4" t="inlineStr">
        <is>
          <t>Request for Bid(Open-Tender)</t>
        </is>
      </c>
      <c r="H4" t="inlineStr">
        <is>
          <t>Provision for removal and collection of waste for a period of 36 months</t>
        </is>
      </c>
      <c r="I4" t="inlineStr">
        <is>
          <t>ETENDERS.GOV.ZA</t>
        </is>
      </c>
      <c r="J4" t="inlineStr">
        <is>
          <t>Ndwedwe Local Municipality</t>
        </is>
      </c>
      <c r="K4" t="inlineStr">
        <is>
          <t>KwaZulu-Natal</t>
        </is>
      </c>
      <c r="L4" t="inlineStr">
        <is>
          <t>No</t>
        </is>
      </c>
      <c r="M4" t="inlineStr">
        <is>
          <t>Waste collection, treatment and disposal activities; materials recovery</t>
        </is>
      </c>
      <c r="N4" t="inlineStr">
        <is>
          <t>No</t>
        </is>
      </c>
      <c r="O4" t="inlineStr">
        <is>
          <t>N/A</t>
        </is>
      </c>
      <c r="P4" t="inlineStr">
        <is>
          <t>No</t>
        </is>
      </c>
      <c r="Q4" t="inlineStr">
        <is>
          <t>N/A</t>
        </is>
      </c>
      <c r="R4" s="3" t="inlineStr">
        <is>
          <t>https://www.etenders.gov.za/home/Download/?blobName=fd574cd8-7747-4036-aee6-90bea18e24e7.pdf&amp;downloadedFileName=ADVERT%20FOR%20WASTE%20COLLECTION%20AND%20TOWN%20PLANNERS%20(170mm%20High%20%20X%20%20125mm%20Wide%204column)%2017X4.pdf</t>
        </is>
      </c>
      <c r="S4" t="inlineStr"/>
      <c r="T4" t="inlineStr"/>
      <c r="U4" t="inlineStr"/>
      <c r="V4" t="inlineStr"/>
      <c r="W4" t="inlineStr"/>
    </row>
    <row r="5">
      <c r="A5" s="2" t="n">
        <v>46163</v>
      </c>
      <c r="B5" t="n">
        <v>101</v>
      </c>
      <c r="C5" t="inlineStr">
        <is>
          <t>NDWP 25/25/26</t>
        </is>
      </c>
      <c r="D5" s="2" t="n">
        <v>46149</v>
      </c>
      <c r="E5" s="2" t="n">
        <v>46181</v>
      </c>
      <c r="F5" t="inlineStr">
        <is>
          <t>12:00</t>
        </is>
      </c>
      <c r="G5" t="inlineStr">
        <is>
          <t>Request for Bid(Open-Tender)</t>
        </is>
      </c>
      <c r="H5" t="inlineStr">
        <is>
          <t>A panel of professional town planners to undertake planning projects for a period of 36 months</t>
        </is>
      </c>
      <c r="I5" t="inlineStr">
        <is>
          <t>ETENDERS.GOV.ZA</t>
        </is>
      </c>
      <c r="J5" t="inlineStr">
        <is>
          <t>Ndwedwe Local Municipality</t>
        </is>
      </c>
      <c r="K5" t="inlineStr">
        <is>
          <t>KwaZulu-Natal</t>
        </is>
      </c>
      <c r="L5" t="inlineStr">
        <is>
          <t>No</t>
        </is>
      </c>
      <c r="M5" t="inlineStr">
        <is>
          <t>Services: Professional</t>
        </is>
      </c>
      <c r="N5" t="inlineStr">
        <is>
          <t>No</t>
        </is>
      </c>
      <c r="O5" t="inlineStr">
        <is>
          <t>N/A</t>
        </is>
      </c>
      <c r="P5" t="inlineStr">
        <is>
          <t>No</t>
        </is>
      </c>
      <c r="Q5" t="inlineStr">
        <is>
          <t>N/A</t>
        </is>
      </c>
      <c r="R5" s="3" t="inlineStr">
        <is>
          <t>https://www.etenders.gov.za/home/Download/?blobName=40ae76b3-fd16-4673-a51c-c7d7725f14f7.pdf&amp;downloadedFileName=ADVERT%20FOR%20WASTE%20COLLECTION%20AND%20TOWN%20PLANNERS%20(170mm%20High%20%20X%20%20125mm%20Wide%204column)%2017X4.pdf</t>
        </is>
      </c>
      <c r="S5" t="inlineStr"/>
      <c r="T5" t="inlineStr"/>
      <c r="U5" t="inlineStr"/>
      <c r="V5" t="inlineStr"/>
      <c r="W5" t="inlineStr"/>
    </row>
    <row r="6">
      <c r="A6" s="2" t="n">
        <v>46163</v>
      </c>
      <c r="B6" t="n">
        <v>100</v>
      </c>
      <c r="C6" t="inlineStr">
        <is>
          <t>CO0022604RFQ00000004</t>
        </is>
      </c>
      <c r="D6" s="2" t="n">
        <v>46149</v>
      </c>
      <c r="E6" s="2" t="n">
        <v>46164</v>
      </c>
      <c r="F6" t="inlineStr">
        <is>
          <t>11:00</t>
        </is>
      </c>
      <c r="G6" t="inlineStr">
        <is>
          <t>Request for Quotation</t>
        </is>
      </c>
      <c r="H6" t="inlineStr">
        <is>
          <t>THE APPOINTMENT OF A QUALIFIED AND EXPERIENCED SERVICE PROVIDER FOR THE PROVISION OF CHIEF RISK MANAGEMENT SERVICES ON A RETAINER BASIS, MANAGING THE ARC’S RISK MANAGEMENT PORTFOLIO.</t>
        </is>
      </c>
      <c r="I6" t="inlineStr">
        <is>
          <t>ETENDERS.GOV.ZA</t>
        </is>
      </c>
      <c r="J6" t="inlineStr">
        <is>
          <t>Agricultural Research Council</t>
        </is>
      </c>
      <c r="K6" t="inlineStr">
        <is>
          <t>Gauteng</t>
        </is>
      </c>
      <c r="L6" t="inlineStr">
        <is>
          <t>No</t>
        </is>
      </c>
      <c r="M6" t="inlineStr">
        <is>
          <t>Services: Professional</t>
        </is>
      </c>
      <c r="N6" t="inlineStr">
        <is>
          <t>No</t>
        </is>
      </c>
      <c r="O6" t="inlineStr">
        <is>
          <t>N/A</t>
        </is>
      </c>
      <c r="P6" t="inlineStr">
        <is>
          <t>No</t>
        </is>
      </c>
      <c r="Q6" t="inlineStr">
        <is>
          <t>N/A</t>
        </is>
      </c>
      <c r="R6" s="3" t="inlineStr">
        <is>
          <t>https://www.etenders.gov.za/home/Download/?blobName=53a48cb8-d135-4689-9820-08362a7b654c.pdf&amp;downloadedFileName=CO0022604RFQ00000004%20Chief%20Risk%20Officer.pdf</t>
        </is>
      </c>
      <c r="S6" t="inlineStr"/>
      <c r="T6" t="inlineStr"/>
      <c r="U6" t="inlineStr"/>
      <c r="V6" t="inlineStr"/>
      <c r="W6" t="inlineStr"/>
    </row>
    <row r="7">
      <c r="A7" s="2" t="n">
        <v>46163</v>
      </c>
      <c r="B7" t="n">
        <v>99</v>
      </c>
      <c r="C7" t="inlineStr">
        <is>
          <t>GSH:PT207/R/2026</t>
        </is>
      </c>
      <c r="D7" s="2" t="n">
        <v>46149</v>
      </c>
      <c r="E7" s="2" t="n">
        <v>46177</v>
      </c>
      <c r="F7" t="inlineStr">
        <is>
          <t>11:00</t>
        </is>
      </c>
      <c r="G7" t="inlineStr">
        <is>
          <t>Request for Bid(Open-Tender)</t>
        </is>
      </c>
      <c r="H7" t="inlineStr">
        <is>
          <t>FOR THE SUPPLY AND DELIVERY OF HAKE LOIN TO BE USED IN THE MAIN KITCHEN AT GROOTE SCHUUR HOSPITAL OVER A TWO (2) YEAR PERIOD.</t>
        </is>
      </c>
      <c r="I7" t="inlineStr">
        <is>
          <t>ETENDERS.GOV.ZA</t>
        </is>
      </c>
      <c r="J7" t="inlineStr">
        <is>
          <t>Western Cape - Health</t>
        </is>
      </c>
      <c r="K7" t="inlineStr">
        <is>
          <t>Western Cape</t>
        </is>
      </c>
      <c r="L7" t="inlineStr">
        <is>
          <t>No</t>
        </is>
      </c>
      <c r="M7" t="inlineStr">
        <is>
          <t>Food and beverage service activities</t>
        </is>
      </c>
      <c r="N7" t="inlineStr">
        <is>
          <t>No</t>
        </is>
      </c>
      <c r="O7" t="inlineStr">
        <is>
          <t>N/A</t>
        </is>
      </c>
      <c r="P7" t="inlineStr">
        <is>
          <t>No</t>
        </is>
      </c>
      <c r="Q7" t="inlineStr">
        <is>
          <t>N/A</t>
        </is>
      </c>
      <c r="R7" s="3" t="inlineStr">
        <is>
          <t>https://www.etenders.gov.za/home/Download/?blobName=07afb7cb-1bb7-4f9c-9c38-8786b8b11c31.pdf&amp;downloadedFileName=Bid%20document%20GSHPT207-R-2026.pdf</t>
        </is>
      </c>
      <c r="S7" t="inlineStr"/>
      <c r="T7" t="inlineStr"/>
      <c r="U7" t="inlineStr"/>
      <c r="V7" t="inlineStr"/>
      <c r="W7" t="inlineStr"/>
    </row>
    <row r="8">
      <c r="A8" s="2" t="n">
        <v>46163</v>
      </c>
      <c r="B8" t="n">
        <v>98</v>
      </c>
      <c r="C8" t="inlineStr">
        <is>
          <t>RFQJW103NS26</t>
        </is>
      </c>
      <c r="D8" s="2" t="n">
        <v>46149</v>
      </c>
      <c r="E8" s="2" t="n">
        <v>46164</v>
      </c>
      <c r="F8" t="inlineStr">
        <is>
          <t>16:00</t>
        </is>
      </c>
      <c r="G8" t="inlineStr">
        <is>
          <t>Request for Quotation</t>
        </is>
      </c>
      <c r="H8" t="inlineStr">
        <is>
          <t>UNIT 4 HIGH MAST LIGHTS REPAIR</t>
        </is>
      </c>
      <c r="I8" t="inlineStr">
        <is>
          <t>ETENDERS.GOV.ZA</t>
        </is>
      </c>
      <c r="J8" t="inlineStr">
        <is>
          <t>Johannesburg Water</t>
        </is>
      </c>
      <c r="K8" t="inlineStr">
        <is>
          <t>Gauteng</t>
        </is>
      </c>
      <c r="L8" t="inlineStr">
        <is>
          <t>No</t>
        </is>
      </c>
      <c r="M8" t="inlineStr">
        <is>
          <t>Services: Electrical</t>
        </is>
      </c>
      <c r="N8" t="inlineStr">
        <is>
          <t>Yes</t>
        </is>
      </c>
      <c r="O8" s="2" t="n">
        <v>46157</v>
      </c>
      <c r="P8" t="inlineStr">
        <is>
          <t>Yes</t>
        </is>
      </c>
      <c r="Q8" t="inlineStr">
        <is>
          <t>388 JR Portion 1, Northern Works , William Nicol Dr Diepsloot</t>
        </is>
      </c>
      <c r="R8" s="3" t="inlineStr">
        <is>
          <t>https://www.etenders.gov.za/home/Download/?blobName=b4344b97-bbae-4c2b-a9f3-fff9c4c71dc7.pdf&amp;downloadedFileName=RFQJW103NS26-UNIT%204%20HIGH%20MAST%20LIGHTS%20REPAIR(07-22%20MAY).pdf</t>
        </is>
      </c>
      <c r="S8" t="inlineStr"/>
      <c r="T8" t="inlineStr"/>
      <c r="U8" t="inlineStr"/>
      <c r="V8" t="inlineStr"/>
      <c r="W8" t="inlineStr"/>
    </row>
    <row r="9">
      <c r="A9" s="2" t="n">
        <v>46163</v>
      </c>
      <c r="B9" t="n">
        <v>97</v>
      </c>
      <c r="C9" t="inlineStr">
        <is>
          <t>ULM-INFR 007 /26</t>
        </is>
      </c>
      <c r="D9" s="2" t="n">
        <v>46149</v>
      </c>
      <c r="E9" s="2" t="n">
        <v>46185</v>
      </c>
      <c r="F9" t="inlineStr">
        <is>
          <t>12:00</t>
        </is>
      </c>
      <c r="G9" t="inlineStr">
        <is>
          <t>Request for Bid(Open-Tender)</t>
        </is>
      </c>
      <c r="H9" t="inlineStr">
        <is>
          <t>CONSTRUCTION OF WARD 18 SPORTFIELD (MAGWALA) - Re-advert</t>
        </is>
      </c>
      <c r="I9" t="inlineStr">
        <is>
          <t>ETENDERS.GOV.ZA</t>
        </is>
      </c>
      <c r="J9" t="inlineStr">
        <is>
          <t>Umzimkhulu Local Municipality</t>
        </is>
      </c>
      <c r="K9" t="inlineStr">
        <is>
          <t>KwaZulu-Natal</t>
        </is>
      </c>
      <c r="L9" t="inlineStr">
        <is>
          <t>No</t>
        </is>
      </c>
      <c r="M9" t="inlineStr">
        <is>
          <t>Construction</t>
        </is>
      </c>
      <c r="N9" t="inlineStr">
        <is>
          <t>Yes</t>
        </is>
      </c>
      <c r="O9" s="2" t="n">
        <v>46163</v>
      </c>
      <c r="P9" t="inlineStr">
        <is>
          <t>Yes</t>
        </is>
      </c>
      <c r="Q9" t="inlineStr">
        <is>
          <t>uMzimkhulu Municipality Makhosini Building Boardroom,247 Mzimkhulu Mlonyana Street, uMzimkhulu 3297.</t>
        </is>
      </c>
      <c r="R9" s="3" t="inlineStr">
        <is>
          <t>https://www.etenders.gov.za/home/Download/?blobName=3773e6af-68c1-4aaf-8646-4c79d1103f12.pdf&amp;downloadedFileName=07-05-2026%20TENDER%20RE-ADVERT%20-%20CONSTRUCTION%20OF%20WARD%2018%20SPORTFIELD%20(MAGWALA).pdf</t>
        </is>
      </c>
      <c r="S9" t="inlineStr"/>
      <c r="T9" t="inlineStr"/>
      <c r="U9" t="inlineStr"/>
      <c r="V9" t="inlineStr"/>
      <c r="W9" t="inlineStr"/>
    </row>
    <row r="10">
      <c r="A10" s="2" t="n">
        <v>46163</v>
      </c>
      <c r="B10" t="n">
        <v>96</v>
      </c>
      <c r="C10" t="inlineStr">
        <is>
          <t>E2883GXMPTUT</t>
        </is>
      </c>
      <c r="D10" s="2" t="n">
        <v>46149</v>
      </c>
      <c r="E10" s="2" t="n">
        <v>46170</v>
      </c>
      <c r="F10" t="inlineStr">
        <is>
          <t>10:00</t>
        </is>
      </c>
      <c r="G10" t="inlineStr">
        <is>
          <t>Request for Bid(Open-Tender)</t>
        </is>
      </c>
      <c r="H10" t="inlineStr">
        <is>
          <t>Refurbishment of Coal Silos units 1-6 for period of a 3 years at Tutuka Power Station</t>
        </is>
      </c>
      <c r="I10" t="inlineStr">
        <is>
          <t>ETENDERS.GOV.ZA</t>
        </is>
      </c>
      <c r="J10" t="inlineStr">
        <is>
          <t>ESKOM</t>
        </is>
      </c>
      <c r="K10" t="inlineStr">
        <is>
          <t>Mpumalanga</t>
        </is>
      </c>
      <c r="L10" t="inlineStr">
        <is>
          <t>No</t>
        </is>
      </c>
      <c r="M10" t="inlineStr">
        <is>
          <t>Services: Civil</t>
        </is>
      </c>
      <c r="N10" t="inlineStr">
        <is>
          <t>Yes</t>
        </is>
      </c>
      <c r="O10" s="2" t="n">
        <v>46162</v>
      </c>
      <c r="P10" t="inlineStr">
        <is>
          <t>No</t>
        </is>
      </c>
      <c r="Q10" t="inlineStr">
        <is>
          <t>Tutuka Conference room</t>
        </is>
      </c>
      <c r="R10" s="3" t="inlineStr">
        <is>
          <t>https://www.etenders.gov.za/home/Download/?blobName=960896f6-d5fb-40a5-b99d-15c769f9fcad.pdf&amp;downloadedFileName=Eskom_-_Standard_Conditions_of_Tender.pdf</t>
        </is>
      </c>
      <c r="S10" t="inlineStr"/>
      <c r="T10" t="inlineStr"/>
      <c r="U10" t="inlineStr"/>
      <c r="V10" t="inlineStr"/>
      <c r="W10" t="inlineStr"/>
    </row>
    <row r="11">
      <c r="A11" s="2" t="n">
        <v>46163</v>
      </c>
      <c r="B11" t="n">
        <v>95</v>
      </c>
      <c r="C11" t="inlineStr">
        <is>
          <t>E2836GXMPARN</t>
        </is>
      </c>
      <c r="D11" s="2" t="n">
        <v>46149</v>
      </c>
      <c r="E11" s="2" t="n">
        <v>46171</v>
      </c>
      <c r="F11" t="inlineStr">
        <is>
          <t>10:00</t>
        </is>
      </c>
      <c r="G11" t="inlineStr">
        <is>
          <t>Request for Bid(Open-Tender)</t>
        </is>
      </c>
      <c r="H11" t="inlineStr">
        <is>
          <t>Coal Samples Analysis contract at Arnot Power Station on an as and when required basis for a period of 60 months</t>
        </is>
      </c>
      <c r="I11" t="inlineStr">
        <is>
          <t>ETENDERS.GOV.ZA</t>
        </is>
      </c>
      <c r="J11" t="inlineStr">
        <is>
          <t>ESKOM</t>
        </is>
      </c>
      <c r="K11" t="inlineStr">
        <is>
          <t>Mpumalanga</t>
        </is>
      </c>
      <c r="L11" t="inlineStr">
        <is>
          <t>No</t>
        </is>
      </c>
      <c r="M11" t="inlineStr">
        <is>
          <t>Services: General</t>
        </is>
      </c>
      <c r="N11" t="inlineStr">
        <is>
          <t>No</t>
        </is>
      </c>
      <c r="O11" t="inlineStr">
        <is>
          <t>N/A</t>
        </is>
      </c>
      <c r="P11" t="inlineStr">
        <is>
          <t>No</t>
        </is>
      </c>
      <c r="Q11" t="inlineStr">
        <is>
          <t>N/A</t>
        </is>
      </c>
      <c r="R11" s="3" t="inlineStr">
        <is>
          <t>https://www.etenders.gov.za/home/Download/?blobName=727e9658-d7f3-43ff-ba9f-350a04666dd7.zip&amp;downloadedFileName=Financial%20Analysis.zip</t>
        </is>
      </c>
      <c r="S11" t="inlineStr"/>
      <c r="T11" t="inlineStr"/>
      <c r="U11" t="inlineStr"/>
      <c r="V11" t="inlineStr"/>
      <c r="W11" t="inlineStr"/>
    </row>
    <row r="12">
      <c r="A12" s="2" t="n">
        <v>46163</v>
      </c>
      <c r="B12" t="n">
        <v>94</v>
      </c>
      <c r="C12" t="inlineStr">
        <is>
          <t>DSAC02/26-27</t>
        </is>
      </c>
      <c r="D12" s="2" t="n">
        <v>46149</v>
      </c>
      <c r="E12" s="2" t="n">
        <v>46183</v>
      </c>
      <c r="F12" t="inlineStr">
        <is>
          <t>11:00</t>
        </is>
      </c>
      <c r="G12" t="inlineStr">
        <is>
          <t>Request for Bid(Open-Tender)</t>
        </is>
      </c>
      <c r="H12" t="inlineStr">
        <is>
          <t>REQUEST FOR PROPOSALS (RFP) FOR THE PROVISION OF OFFICE SPACE IN THE JOHANNESBURG METROPOLITAN AREA FOR A PERIOD OF FIVE (5) YEARS FOR THE DEPARTMENT OF SPORT, ARTS AND CULTURE (DSAC).</t>
        </is>
      </c>
      <c r="I12" t="inlineStr">
        <is>
          <t>ETENDERS.GOV.ZA</t>
        </is>
      </c>
      <c r="J12" t="inlineStr">
        <is>
          <t>Department of Sports, Arts &amp; Culture</t>
        </is>
      </c>
      <c r="K12" t="inlineStr">
        <is>
          <t>National</t>
        </is>
      </c>
      <c r="L12" t="inlineStr">
        <is>
          <t>No</t>
        </is>
      </c>
      <c r="M12" t="inlineStr">
        <is>
          <t>Rental and leasing activities</t>
        </is>
      </c>
      <c r="N12" t="inlineStr">
        <is>
          <t>Yes</t>
        </is>
      </c>
      <c r="O12" s="2" t="n">
        <v>46157</v>
      </c>
      <c r="P12" t="inlineStr">
        <is>
          <t>Yes</t>
        </is>
      </c>
      <c r="Q12" t="inlineStr">
        <is>
          <t>https://shorturl.at/65zpl</t>
        </is>
      </c>
      <c r="R12" s="3" t="inlineStr">
        <is>
          <t>https://www.etenders.gov.za/home/Download/?blobName=81e08be3-6ee3-4eaa-a337-105d753be1f1.pdf&amp;downloadedFileName=Tender%20Document.pdf</t>
        </is>
      </c>
      <c r="S12" t="inlineStr"/>
      <c r="T12" t="inlineStr"/>
      <c r="U12" t="inlineStr"/>
      <c r="V12" t="inlineStr"/>
      <c r="W12" t="inlineStr"/>
    </row>
    <row r="13">
      <c r="A13" s="2" t="n">
        <v>46163</v>
      </c>
      <c r="B13" t="n">
        <v>93</v>
      </c>
      <c r="C13" t="inlineStr">
        <is>
          <t>DBN/OPS(BAC)064</t>
        </is>
      </c>
      <c r="D13" s="2" t="n">
        <v>46149</v>
      </c>
      <c r="E13" s="2" t="n">
        <v>46185</v>
      </c>
      <c r="F13" t="inlineStr">
        <is>
          <t>12:00</t>
        </is>
      </c>
      <c r="G13" t="inlineStr">
        <is>
          <t>Request for Proposal</t>
        </is>
      </c>
      <c r="H13" t="inlineStr">
        <is>
          <t>REQUEST FOR PROPOSAL(RFP) FOR THE APPOINTMENT OF A PANEL OF SERVICE PROVIDERS FOR SUPPLY AND DELIVERY OF CLEANING CHEMICALS AND HORTICULTURE MATERIALS FOR THE PERIOD OF 36 MONTHS ON AN AS AND WHEN REQUIRED BASIS IN THE KZN REGION</t>
        </is>
      </c>
      <c r="I13" t="inlineStr">
        <is>
          <t>ETENDERS.GOV.ZA</t>
        </is>
      </c>
      <c r="J13" t="inlineStr">
        <is>
          <t>Passenger Rail Agency of South Africa</t>
        </is>
      </c>
      <c r="K13" t="inlineStr">
        <is>
          <t>KwaZulu-Natal</t>
        </is>
      </c>
      <c r="L13" t="inlineStr">
        <is>
          <t>No</t>
        </is>
      </c>
      <c r="M13" t="inlineStr">
        <is>
          <t>Supplies: General</t>
        </is>
      </c>
      <c r="N13" t="inlineStr">
        <is>
          <t>Yes</t>
        </is>
      </c>
      <c r="O13" s="2" t="n">
        <v>46161</v>
      </c>
      <c r="P13" t="inlineStr">
        <is>
          <t>Yes</t>
        </is>
      </c>
      <c r="Q13" t="inlineStr">
        <is>
          <t>PRASA RAIL KZN, 65 Masabalala Yengwa Avenue, Greyvile, Durban Station, Roof Level Entrance</t>
        </is>
      </c>
      <c r="R13" s="3" t="inlineStr">
        <is>
          <t>https://www.etenders.gov.za/home/Download/?blobName=66fee62a-5947-47bf-94a7-7069f5bbecd0.pdf&amp;downloadedFileName=ANNEXURE%201-VOL%201-MASTER%20RFP-CHEMICAL%20&amp;%20HORTICULTURE%20MAT.pdf</t>
        </is>
      </c>
      <c r="S13" t="inlineStr"/>
      <c r="T13" t="inlineStr"/>
      <c r="U13" t="inlineStr"/>
      <c r="V13" t="inlineStr"/>
      <c r="W13" t="inlineStr"/>
    </row>
    <row r="14">
      <c r="A14" s="2" t="n">
        <v>46163</v>
      </c>
      <c r="B14" t="n">
        <v>92</v>
      </c>
      <c r="C14" t="inlineStr">
        <is>
          <t>E2860DXKZNOU</t>
        </is>
      </c>
      <c r="D14" s="2" t="n">
        <v>46149</v>
      </c>
      <c r="E14" s="2" t="n">
        <v>46175</v>
      </c>
      <c r="F14" t="inlineStr">
        <is>
          <t>10:00</t>
        </is>
      </c>
      <c r="G14" t="inlineStr">
        <is>
          <t>Request for Bid(Open-Tender)</t>
        </is>
      </c>
      <c r="H14" t="inlineStr">
        <is>
          <t>The manufacture, supply, installation, commissioning, training and delivery of an 8 Ton coiling and winding machine to New Germany Regional Distribution Centre (RDC), KwaZulu Natal Operating Unit</t>
        </is>
      </c>
      <c r="I14" t="inlineStr">
        <is>
          <t>ETENDERS.GOV.ZA</t>
        </is>
      </c>
      <c r="J14" t="inlineStr">
        <is>
          <t>ESKOM</t>
        </is>
      </c>
      <c r="K14" t="inlineStr">
        <is>
          <t>KwaZulu-Natal</t>
        </is>
      </c>
      <c r="L14" t="inlineStr">
        <is>
          <t>No</t>
        </is>
      </c>
      <c r="M14" t="inlineStr">
        <is>
          <t>Manufacture of machinery and equipment n.e.c.</t>
        </is>
      </c>
      <c r="N14" t="inlineStr">
        <is>
          <t>Yes</t>
        </is>
      </c>
      <c r="O14" s="2" t="n">
        <v>46157</v>
      </c>
      <c r="P14" t="inlineStr">
        <is>
          <t>No</t>
        </is>
      </c>
      <c r="Q14" t="inlineStr">
        <is>
          <t>https://teams.microsoft.com/meet/327993799461180?p=U5Mka PXeINnsGAuCha</t>
        </is>
      </c>
      <c r="R14" s="3" t="inlineStr">
        <is>
          <t>https://www.etenders.gov.za/home/Download/?blobName=9479eb2a-43e1-4694-826a-7f5fca11d025.pdf&amp;downloadedFileName=Rev1_Invitation%20to%20Tender%20(ITT)%20-%208%20Ton%20Coiling%20and%20winding%20Machine%20%2019.05.2026.pdf</t>
        </is>
      </c>
      <c r="S14" t="inlineStr"/>
      <c r="T14" t="inlineStr"/>
      <c r="U14" t="inlineStr"/>
      <c r="V14" t="inlineStr"/>
      <c r="W14" t="inlineStr"/>
    </row>
    <row r="15">
      <c r="A15" s="2" t="n">
        <v>46163</v>
      </c>
      <c r="B15" t="n">
        <v>91</v>
      </c>
      <c r="C15" t="inlineStr">
        <is>
          <t>ULM-INFR 006/ 26</t>
        </is>
      </c>
      <c r="D15" s="2" t="n">
        <v>46149</v>
      </c>
      <c r="E15" s="2" t="n">
        <v>46185</v>
      </c>
      <c r="F15" t="inlineStr">
        <is>
          <t>12:00</t>
        </is>
      </c>
      <c r="G15" t="inlineStr">
        <is>
          <t>Request for Bid(Open-Tender)</t>
        </is>
      </c>
      <c r="H15" t="inlineStr">
        <is>
          <t>CONSTRUCTION OF KOKSHILL/MACUMENI GRAVEL ACCESS ROAD -WARD 13 - Re-advert</t>
        </is>
      </c>
      <c r="I15" t="inlineStr">
        <is>
          <t>ETENDERS.GOV.ZA</t>
        </is>
      </c>
      <c r="J15" t="inlineStr">
        <is>
          <t>Umzimkhulu Local Municipality</t>
        </is>
      </c>
      <c r="K15" t="inlineStr">
        <is>
          <t>KwaZulu-Natal</t>
        </is>
      </c>
      <c r="L15" t="inlineStr">
        <is>
          <t>No</t>
        </is>
      </c>
      <c r="M15" t="inlineStr">
        <is>
          <t>Construction</t>
        </is>
      </c>
      <c r="N15" t="inlineStr">
        <is>
          <t>Yes</t>
        </is>
      </c>
      <c r="O15" s="2" t="n">
        <v>46161</v>
      </c>
      <c r="P15" t="inlineStr">
        <is>
          <t>Yes</t>
        </is>
      </c>
      <c r="Q15" t="inlineStr">
        <is>
          <t>uMzimkhulu Municipality Makhosini Building Boardroom,247 Mzimkhulu Mlonyana Street, uMzimkhulu 3297.</t>
        </is>
      </c>
      <c r="R15" s="3" t="inlineStr">
        <is>
          <t>https://www.etenders.gov.za/home/Download/?blobName=1d57b65b-59b0-4570-916c-534a3fcda136.pdf&amp;downloadedFileName=07-05-2026%20TENDER%20RE-ADVERT%20-%20CONSTRUCTION%20OF%20JAMES,%20KOKSHILLMACUMENI%20GRAVEL%20AR%20&amp;%20NGQUMARHENI%20AR%20AND%20BRIDGE%20%20-WARD%2010,11%20&amp;%2013.pdf</t>
        </is>
      </c>
      <c r="S15" t="inlineStr"/>
      <c r="T15" t="inlineStr"/>
      <c r="U15" t="inlineStr"/>
      <c r="V15" t="inlineStr"/>
      <c r="W15" t="inlineStr"/>
    </row>
    <row r="16">
      <c r="A16" s="2" t="n">
        <v>46163</v>
      </c>
      <c r="B16" t="n">
        <v>90</v>
      </c>
      <c r="C16" t="inlineStr">
        <is>
          <t>LDPWRI-R/20646</t>
        </is>
      </c>
      <c r="D16" s="2" t="n">
        <v>46149</v>
      </c>
      <c r="E16" s="2" t="n">
        <v>46174</v>
      </c>
      <c r="F16" t="inlineStr">
        <is>
          <t>11:00</t>
        </is>
      </c>
      <c r="G16" t="inlineStr">
        <is>
          <t>Request for Bid(Open-Tender)</t>
        </is>
      </c>
      <c r="H16" t="inlineStr">
        <is>
          <t>Provision and Servicing of VIP Mobile Toilet Units for Five Districts for a Period of 3 Years (36) Months.</t>
        </is>
      </c>
      <c r="I16" t="inlineStr">
        <is>
          <t>ETENDERS.GOV.ZA</t>
        </is>
      </c>
      <c r="J16" t="inlineStr">
        <is>
          <t>Limpopo - Public Works</t>
        </is>
      </c>
      <c r="K16" t="inlineStr">
        <is>
          <t>Limpopo</t>
        </is>
      </c>
      <c r="L16" t="inlineStr">
        <is>
          <t>No</t>
        </is>
      </c>
      <c r="M16" t="inlineStr">
        <is>
          <t>Rental and leasing activities</t>
        </is>
      </c>
      <c r="N16" t="inlineStr">
        <is>
          <t>No</t>
        </is>
      </c>
      <c r="O16" t="inlineStr">
        <is>
          <t>N/A</t>
        </is>
      </c>
      <c r="P16" t="inlineStr">
        <is>
          <t>No</t>
        </is>
      </c>
      <c r="Q16" t="inlineStr">
        <is>
          <t>N/A</t>
        </is>
      </c>
      <c r="R16" s="3" t="inlineStr">
        <is>
          <t>https://www.etenders.gov.za/home/Download/?blobName=649bd499-5978-4ab3-a2a1-8f32150a74ac.pdf&amp;downloadedFileName=LDPWRI%20R%2020646.pdf</t>
        </is>
      </c>
      <c r="S16" t="inlineStr"/>
      <c r="T16" t="inlineStr"/>
      <c r="U16" t="inlineStr"/>
      <c r="V16" t="inlineStr"/>
      <c r="W16" t="inlineStr"/>
    </row>
    <row r="17">
      <c r="A17" s="2" t="n">
        <v>46163</v>
      </c>
      <c r="B17" t="n">
        <v>89</v>
      </c>
      <c r="C17" t="inlineStr">
        <is>
          <t>PU3018/010</t>
        </is>
      </c>
      <c r="D17" s="2" t="n">
        <v>46149</v>
      </c>
      <c r="E17" s="2" t="n">
        <v>46171</v>
      </c>
      <c r="F17" t="inlineStr">
        <is>
          <t>23:30</t>
        </is>
      </c>
      <c r="G17" t="inlineStr">
        <is>
          <t>Request for Proposal</t>
        </is>
      </c>
      <c r="H17" t="inlineStr">
        <is>
          <t>Supply of Plumbing Material and All Related Products</t>
        </is>
      </c>
      <c r="I17" t="inlineStr">
        <is>
          <t>ETENDERS.GOV.ZA</t>
        </is>
      </c>
      <c r="J17" t="inlineStr">
        <is>
          <t>Purchasing Consortium Southern Africa (PURCOSA)</t>
        </is>
      </c>
      <c r="K17" t="inlineStr">
        <is>
          <t>National</t>
        </is>
      </c>
      <c r="L17" t="inlineStr">
        <is>
          <t>No</t>
        </is>
      </c>
      <c r="M17" t="inlineStr">
        <is>
          <t>Water supply; sewerage, waste management and remediation activities</t>
        </is>
      </c>
      <c r="N17" t="inlineStr">
        <is>
          <t>No</t>
        </is>
      </c>
      <c r="O17" t="inlineStr">
        <is>
          <t>N/A</t>
        </is>
      </c>
      <c r="P17" t="inlineStr">
        <is>
          <t>No</t>
        </is>
      </c>
      <c r="Q17" t="inlineStr">
        <is>
          <t>N/A</t>
        </is>
      </c>
      <c r="R17" s="3" t="inlineStr">
        <is>
          <t>https://www.etenders.gov.za/home/Download/?blobName=b944471e-3418-40b4-80fa-389ff2706cda.pdf&amp;downloadedFileName=Advert%20-%20PU3018-010%20PLUMBING%20MATERIAL%20and%20All%20Related%20Products%20and%20Services.pdf</t>
        </is>
      </c>
      <c r="S17" t="inlineStr"/>
      <c r="T17" t="inlineStr"/>
      <c r="U17" t="inlineStr"/>
      <c r="V17" t="inlineStr"/>
      <c r="W17" t="inlineStr"/>
    </row>
    <row r="18">
      <c r="A18" s="2" t="n">
        <v>46163</v>
      </c>
      <c r="B18" t="n">
        <v>88</v>
      </c>
      <c r="C18" t="inlineStr">
        <is>
          <t>MDDA/01/2026</t>
        </is>
      </c>
      <c r="D18" s="2" t="n">
        <v>46149</v>
      </c>
      <c r="E18" s="2" t="n">
        <v>46178</v>
      </c>
      <c r="F18" t="inlineStr">
        <is>
          <t>11:00</t>
        </is>
      </c>
      <c r="G18" t="inlineStr">
        <is>
          <t>Request for Bid(Open-Tender)</t>
        </is>
      </c>
      <c r="H18" t="inlineStr">
        <is>
          <t>APPOINTMENT OF A SERVICE PROVIDER TO PROVIDE INTERNAL AUDIT SERVICES FOR THE MEDIA DEVELOPMENT AND DIVERSITY AGENCY FOR A PERIOD OF THIRTY-SIX (36) MONTHS</t>
        </is>
      </c>
      <c r="I18" t="inlineStr">
        <is>
          <t>ETENDERS.GOV.ZA</t>
        </is>
      </c>
      <c r="J18" t="inlineStr">
        <is>
          <t>Media Development and Diversity Agency</t>
        </is>
      </c>
      <c r="K18" t="inlineStr">
        <is>
          <t>National</t>
        </is>
      </c>
      <c r="L18" t="inlineStr">
        <is>
          <t>No</t>
        </is>
      </c>
      <c r="M18" t="inlineStr">
        <is>
          <t>Services: Professional</t>
        </is>
      </c>
      <c r="N18" t="inlineStr">
        <is>
          <t>No</t>
        </is>
      </c>
      <c r="O18" t="inlineStr">
        <is>
          <t>N/A</t>
        </is>
      </c>
      <c r="P18" t="inlineStr">
        <is>
          <t>No</t>
        </is>
      </c>
      <c r="Q18" t="inlineStr">
        <is>
          <t>N/A</t>
        </is>
      </c>
      <c r="R18" s="3" t="inlineStr">
        <is>
          <t>https://www.etenders.gov.za/home/Download/?blobName=68060876-5d60-49cd-bde0-fb1217fce7d4.pdf&amp;downloadedFileName=Annexure%20C.pdf</t>
        </is>
      </c>
      <c r="S18" t="inlineStr"/>
      <c r="T18" t="inlineStr"/>
      <c r="U18" t="inlineStr"/>
      <c r="V18" t="inlineStr"/>
      <c r="W18" t="inlineStr"/>
    </row>
    <row r="19">
      <c r="A19" s="2" t="n">
        <v>46163</v>
      </c>
      <c r="B19" t="n">
        <v>87</v>
      </c>
      <c r="C19" t="inlineStr">
        <is>
          <t>NMM-2026-02</t>
        </is>
      </c>
      <c r="D19" s="2" t="n">
        <v>46149</v>
      </c>
      <c r="E19" s="2" t="n">
        <v>46171</v>
      </c>
      <c r="F19" t="inlineStr">
        <is>
          <t>12:00</t>
        </is>
      </c>
      <c r="G19" t="inlineStr">
        <is>
          <t>Request for Bid(Open-Tender)</t>
        </is>
      </c>
      <c r="H19" t="inlineStr">
        <is>
          <t>APPOINTMENT OF A MULTI-DISCIPLINARY TEAM OF PROFFESSIONAL SERVICE PROVIDER FOR THE NELSON MANDELA MUSEUM FOR A PERIOD OF THREE YEARS (3)</t>
        </is>
      </c>
      <c r="I19" t="inlineStr">
        <is>
          <t>ETENDERS.GOV.ZA</t>
        </is>
      </c>
      <c r="J19" t="inlineStr">
        <is>
          <t>Nelson Mandela National Museum</t>
        </is>
      </c>
      <c r="K19" t="inlineStr">
        <is>
          <t>Eastern Cape</t>
        </is>
      </c>
      <c r="L19" t="inlineStr">
        <is>
          <t>No</t>
        </is>
      </c>
      <c r="M19" t="inlineStr">
        <is>
          <t>Services: Professional</t>
        </is>
      </c>
      <c r="N19" t="inlineStr">
        <is>
          <t>Yes</t>
        </is>
      </c>
      <c r="O19" s="2" t="n">
        <v>46157</v>
      </c>
      <c r="P19" t="inlineStr">
        <is>
          <t>Yes</t>
        </is>
      </c>
      <c r="Q19" t="inlineStr">
        <is>
          <t>Microsoft Teams meeting</t>
        </is>
      </c>
      <c r="R19" s="3" t="inlineStr">
        <is>
          <t>https://www.etenders.gov.za/home/Download/?blobName=ef3b1da1-f52e-4819-8ac2-b01fe0e20c1e.pdf&amp;downloadedFileName=Updated%20SBD%20Forms.pdf</t>
        </is>
      </c>
      <c r="S19" t="inlineStr"/>
      <c r="T19" t="inlineStr"/>
      <c r="U19" t="inlineStr"/>
      <c r="V19" t="inlineStr"/>
      <c r="W19" t="inlineStr"/>
    </row>
    <row r="20">
      <c r="A20" s="2" t="n">
        <v>46163</v>
      </c>
      <c r="B20" t="n">
        <v>86</v>
      </c>
      <c r="C20" t="inlineStr">
        <is>
          <t>TE/2026/03/0679/2699/RFQ</t>
        </is>
      </c>
      <c r="D20" s="2" t="n">
        <v>46149</v>
      </c>
      <c r="E20" s="2" t="n">
        <v>46171</v>
      </c>
      <c r="F20" t="inlineStr">
        <is>
          <t>16:00</t>
        </is>
      </c>
      <c r="G20" t="inlineStr">
        <is>
          <t>Request for Bid(Open-Tender)</t>
        </is>
      </c>
      <c r="H20" t="inlineStr">
        <is>
          <t>FOR THE PROVISION OF RADIOGRAPHY TESTING FOR THE FOUNDRY BUSSINESS KOEDOESPOORT FOR A PERIOD OF 12 MONTHS ON AN AS AND WHEN REQUIRED BASIS.</t>
        </is>
      </c>
      <c r="I20" t="inlineStr">
        <is>
          <t>ETENDERS.GOV.ZA</t>
        </is>
      </c>
      <c r="J20" t="inlineStr">
        <is>
          <t>Transnet SOC Ltd</t>
        </is>
      </c>
      <c r="K20" t="inlineStr">
        <is>
          <t>Gauteng</t>
        </is>
      </c>
      <c r="L20" t="inlineStr">
        <is>
          <t>No</t>
        </is>
      </c>
      <c r="M20" t="inlineStr">
        <is>
          <t>Architectural and engineering activities; technical testing and analysis</t>
        </is>
      </c>
      <c r="N20" t="inlineStr">
        <is>
          <t>No</t>
        </is>
      </c>
      <c r="O20" t="inlineStr">
        <is>
          <t>N/A</t>
        </is>
      </c>
      <c r="P20" t="inlineStr">
        <is>
          <t>No</t>
        </is>
      </c>
      <c r="Q20" t="inlineStr">
        <is>
          <t>N/A</t>
        </is>
      </c>
      <c r="R20" s="3" t="inlineStr">
        <is>
          <t>https://www.etenders.gov.za/home/Download/?blobName=9f083f97-84ca-4677-8c35-6e5b4228c683.pdf&amp;downloadedFileName=Annexure%20A%20-Draft_Master_Service_Agreement_MSA_template_.pdf</t>
        </is>
      </c>
      <c r="S20" t="inlineStr"/>
      <c r="T20" t="inlineStr"/>
      <c r="U20" t="inlineStr"/>
      <c r="V20" t="inlineStr"/>
      <c r="W20" t="inlineStr"/>
    </row>
    <row r="21">
      <c r="A21" s="2" t="n">
        <v>46163</v>
      </c>
      <c r="B21" t="n">
        <v>85</v>
      </c>
      <c r="C21" t="inlineStr">
        <is>
          <t>PPA - 089548</t>
        </is>
      </c>
      <c r="D21" s="2" t="n">
        <v>46149</v>
      </c>
      <c r="E21" s="2" t="n">
        <v>46168</v>
      </c>
      <c r="F21" t="inlineStr">
        <is>
          <t>12:00</t>
        </is>
      </c>
      <c r="G21" t="inlineStr">
        <is>
          <t>Request for Proposal</t>
        </is>
      </c>
      <c r="H21" t="inlineStr">
        <is>
          <t>FABRICATION AND INSTALLATION WALKWAY STRUCTURAL SUPPORTS FOR TRANSNET SOC LTD (REG. N0 1990/000900/30) OPERATING AS TRANSNET PORT TERMINALS (HEREINAFTER REFERRED TO AS “TPT”) FOR PORT OF RICHARDS BAY — PORT RAIL TERMINAL (PRT) MAGNETITE SHUTDOWN, AS ONCE OFF.</t>
        </is>
      </c>
      <c r="I21" t="inlineStr">
        <is>
          <t>ETENDERS.GOV.ZA</t>
        </is>
      </c>
      <c r="J21" t="inlineStr">
        <is>
          <t>Transnet SOC Ltd</t>
        </is>
      </c>
      <c r="K21" t="inlineStr">
        <is>
          <t>KwaZulu-Natal</t>
        </is>
      </c>
      <c r="L21" t="inlineStr">
        <is>
          <t>No</t>
        </is>
      </c>
      <c r="M21" t="inlineStr">
        <is>
          <t>Manufacture of basic metals</t>
        </is>
      </c>
      <c r="N21" t="inlineStr">
        <is>
          <t>Yes</t>
        </is>
      </c>
      <c r="O21" s="2" t="n">
        <v>46156</v>
      </c>
      <c r="P21" t="inlineStr">
        <is>
          <t>Yes</t>
        </is>
      </c>
      <c r="Q21" t="inlineStr">
        <is>
          <t>Transnet Port Terminal (Habour) Mhlathuze Building in Port of Richards Bay</t>
        </is>
      </c>
      <c r="R21" s="3" t="inlineStr">
        <is>
          <t>https://www.etenders.gov.za/home/Download/?blobName=a35ac6b0-6519-4ace-a6a9-c3be996d49b9.pdf&amp;downloadedFileName=CIDB%20tender%20pack%20-%20structural%20works%20MAGNETITE%20SHUT--.pdf</t>
        </is>
      </c>
      <c r="S21" t="inlineStr"/>
      <c r="T21" t="inlineStr"/>
      <c r="U21" t="inlineStr"/>
      <c r="V21" t="inlineStr"/>
      <c r="W21" t="inlineStr"/>
    </row>
    <row r="22">
      <c r="A22" s="2" t="n">
        <v>46163</v>
      </c>
      <c r="B22" t="n">
        <v>84</v>
      </c>
      <c r="C22" t="inlineStr">
        <is>
          <t>EABL/2026/03</t>
        </is>
      </c>
      <c r="D22" s="2" t="n">
        <v>46149</v>
      </c>
      <c r="E22" s="2" t="n">
        <v>46174</v>
      </c>
      <c r="F22" t="inlineStr">
        <is>
          <t>11:00</t>
        </is>
      </c>
      <c r="G22" t="inlineStr">
        <is>
          <t>Request for Bid(Open-Tender)</t>
        </is>
      </c>
      <c r="H22" t="inlineStr">
        <is>
          <t>The Appointment of a Panel of Service Providers for Car Services for a Period of Five (5) Years</t>
        </is>
      </c>
      <c r="I22" t="inlineStr">
        <is>
          <t>ETENDERS.GOV.ZA</t>
        </is>
      </c>
      <c r="J22" t="inlineStr">
        <is>
          <t>ARMSCOR</t>
        </is>
      </c>
      <c r="K22" t="inlineStr">
        <is>
          <t>Gauteng</t>
        </is>
      </c>
      <c r="L22" t="inlineStr">
        <is>
          <t>No</t>
        </is>
      </c>
      <c r="M22" t="inlineStr">
        <is>
          <t>Services: Professional</t>
        </is>
      </c>
      <c r="N22" t="inlineStr">
        <is>
          <t>No</t>
        </is>
      </c>
      <c r="O22" t="inlineStr">
        <is>
          <t>N/A</t>
        </is>
      </c>
      <c r="P22" t="inlineStr">
        <is>
          <t>No</t>
        </is>
      </c>
      <c r="Q22" t="inlineStr">
        <is>
          <t>N/A</t>
        </is>
      </c>
      <c r="R22" s="3" t="inlineStr">
        <is>
          <t>https://www.etenders.gov.za/home/Download/?blobName=1c37c737-4cdd-42b2-8590-124317d820f3.pdf&amp;downloadedFileName=Updated%20EABL_2026_03.pdf</t>
        </is>
      </c>
      <c r="S22" t="inlineStr"/>
      <c r="T22" t="inlineStr"/>
      <c r="U22" t="inlineStr"/>
      <c r="V22" t="inlineStr"/>
      <c r="W22" t="inlineStr"/>
    </row>
    <row r="23">
      <c r="A23" s="2" t="n">
        <v>46163</v>
      </c>
      <c r="B23" t="n">
        <v>83</v>
      </c>
      <c r="C23" t="inlineStr">
        <is>
          <t>24490/GGHNP/2026-27</t>
        </is>
      </c>
      <c r="D23" s="2" t="n">
        <v>46149</v>
      </c>
      <c r="E23" s="2" t="n">
        <v>46164</v>
      </c>
      <c r="F23" t="inlineStr">
        <is>
          <t>16:00</t>
        </is>
      </c>
      <c r="G23" t="inlineStr">
        <is>
          <t>Request for Quotation</t>
        </is>
      </c>
      <c r="H23" t="inlineStr">
        <is>
          <t>Appointment of a Service Provider To Service GGHNP Fire Fighting Equipment</t>
        </is>
      </c>
      <c r="I23" t="inlineStr">
        <is>
          <t>ETENDERS.GOV.ZA</t>
        </is>
      </c>
      <c r="J23" t="inlineStr">
        <is>
          <t>South African National Parks</t>
        </is>
      </c>
      <c r="K23" t="inlineStr">
        <is>
          <t>Free State</t>
        </is>
      </c>
      <c r="L23" t="inlineStr">
        <is>
          <t>No</t>
        </is>
      </c>
      <c r="M23" t="inlineStr">
        <is>
          <t>Repair and installation of machinery and equipment</t>
        </is>
      </c>
      <c r="N23" t="inlineStr">
        <is>
          <t>No</t>
        </is>
      </c>
      <c r="O23" t="inlineStr">
        <is>
          <t>N/A</t>
        </is>
      </c>
      <c r="P23" t="inlineStr">
        <is>
          <t>No</t>
        </is>
      </c>
      <c r="Q23" t="inlineStr">
        <is>
          <t>N/A</t>
        </is>
      </c>
      <c r="R23" s="3" t="inlineStr">
        <is>
          <t>https://www.etenders.gov.za/home/Download/?blobName=9d9618b6-4626-4a53-8dbb-c3a873ae9b1f.pdf&amp;downloadedFileName=RFQ%2024490GGHNP2026-27_%20Appointment%20of%20a%20Service%20Provider%20To%20Service%20GGHNP%20Fire%20Fighting%20Equipment%2007_05_2026.pdf</t>
        </is>
      </c>
      <c r="S23" t="inlineStr"/>
      <c r="T23" t="inlineStr"/>
      <c r="U23" t="inlineStr"/>
      <c r="V23" t="inlineStr"/>
      <c r="W23" t="inlineStr"/>
    </row>
    <row r="24">
      <c r="A24" s="2" t="n">
        <v>46163</v>
      </c>
      <c r="B24" t="n">
        <v>82</v>
      </c>
      <c r="C24" t="inlineStr">
        <is>
          <t>ULM-MM/COMM 003 / 25</t>
        </is>
      </c>
      <c r="D24" s="2" t="n">
        <v>46149</v>
      </c>
      <c r="E24" s="2" t="n">
        <v>46171</v>
      </c>
      <c r="F24" t="inlineStr">
        <is>
          <t>12:00</t>
        </is>
      </c>
      <c r="G24" t="inlineStr">
        <is>
          <t>Request for Bid(Open-Tender)</t>
        </is>
      </c>
      <c r="H24" t="inlineStr">
        <is>
          <t>Design, Print, Supply and Deliver of Marketing, Branding and Promotional Material - Re-advert</t>
        </is>
      </c>
      <c r="I24" t="inlineStr">
        <is>
          <t>ETENDERS.GOV.ZA</t>
        </is>
      </c>
      <c r="J24" t="inlineStr">
        <is>
          <t>Umzimkhulu Local Municipality</t>
        </is>
      </c>
      <c r="K24" t="inlineStr">
        <is>
          <t>KwaZulu-Natal</t>
        </is>
      </c>
      <c r="L24" t="inlineStr">
        <is>
          <t>No</t>
        </is>
      </c>
      <c r="M24" t="inlineStr">
        <is>
          <t>Supplies: General</t>
        </is>
      </c>
      <c r="N24" t="inlineStr">
        <is>
          <t>Yes</t>
        </is>
      </c>
      <c r="O24" s="2" t="n">
        <v>46156</v>
      </c>
      <c r="P24" t="inlineStr">
        <is>
          <t>Yes</t>
        </is>
      </c>
      <c r="Q24" t="inlineStr">
        <is>
          <t>uMzimkhulu Municipality Makhosini Building Boardroom,247 Mzimkhulu Mlonyana Street, uMzimkhulu 3297.</t>
        </is>
      </c>
      <c r="R24" s="3" t="inlineStr">
        <is>
          <t>https://www.etenders.gov.za/home/Download/?blobName=ecb287fd-3c20-4cad-9c02-7ad439867f48.pdf&amp;downloadedFileName=07-05-2026%20TENDER%20%20RE-ADVERT%20-%20DESIGN,%20PRINT,%20SUPPLY%20AND%20DELIVER%20OF%20MARKETING,%20%20BRANDING%20AND%20PROMOTIONAL%20MATERIAL.pdf</t>
        </is>
      </c>
      <c r="S24" t="inlineStr"/>
      <c r="T24" t="inlineStr"/>
      <c r="U24" t="inlineStr"/>
      <c r="V24" t="inlineStr"/>
      <c r="W24" t="inlineStr"/>
    </row>
    <row r="25">
      <c r="A25" s="2" t="n">
        <v>46163</v>
      </c>
      <c r="B25" t="n">
        <v>81</v>
      </c>
      <c r="C25" t="inlineStr">
        <is>
          <t>LDPWRI-R/20645</t>
        </is>
      </c>
      <c r="D25" s="2" t="n">
        <v>46149</v>
      </c>
      <c r="E25" s="2" t="n">
        <v>46174</v>
      </c>
      <c r="F25" t="inlineStr">
        <is>
          <t>11:00</t>
        </is>
      </c>
      <c r="G25" t="inlineStr">
        <is>
          <t>Request for Bid(Open-Tender)</t>
        </is>
      </c>
      <c r="H25" t="inlineStr">
        <is>
          <t>Provision of 50 Mobile Caravans in 05 Districts in Limpopo Province for the Department of Public Works Roads and Infrastructure, Once Off.</t>
        </is>
      </c>
      <c r="I25" t="inlineStr">
        <is>
          <t>ETENDERS.GOV.ZA</t>
        </is>
      </c>
      <c r="J25" t="inlineStr">
        <is>
          <t>Limpopo - Public Works</t>
        </is>
      </c>
      <c r="K25" t="inlineStr">
        <is>
          <t>Limpopo</t>
        </is>
      </c>
      <c r="L25" t="inlineStr">
        <is>
          <t>No</t>
        </is>
      </c>
      <c r="M25" t="inlineStr">
        <is>
          <t>Services: General</t>
        </is>
      </c>
      <c r="N25" t="inlineStr">
        <is>
          <t>Yes</t>
        </is>
      </c>
      <c r="O25" s="2" t="n">
        <v>46161</v>
      </c>
      <c r="P25" t="inlineStr">
        <is>
          <t>Yes</t>
        </is>
      </c>
      <c r="Q25" t="inlineStr">
        <is>
          <t>CAPRICORN DISTRICT NEXT TO CORRECTIONAL SERVICES OFFICE</t>
        </is>
      </c>
      <c r="R25" s="3" t="inlineStr">
        <is>
          <t>https://www.etenders.gov.za/home/Download/?blobName=c6aaef01-7650-428b-bf7f-a406c1caa2d3.pdf&amp;downloadedFileName=LDPWRI%20R%2020645.pdf</t>
        </is>
      </c>
      <c r="S25" t="inlineStr"/>
      <c r="T25" t="inlineStr"/>
      <c r="U25" t="inlineStr"/>
      <c r="V25" t="inlineStr"/>
      <c r="W25" t="inlineStr"/>
    </row>
    <row r="26">
      <c r="A26" s="2" t="n">
        <v>46163</v>
      </c>
      <c r="B26" t="n">
        <v>80</v>
      </c>
      <c r="C26" t="inlineStr">
        <is>
          <t>LDPWRI-P/20647</t>
        </is>
      </c>
      <c r="D26" s="2" t="n">
        <v>46149</v>
      </c>
      <c r="E26" s="2" t="n">
        <v>46175</v>
      </c>
      <c r="F26" t="inlineStr">
        <is>
          <t>11:00</t>
        </is>
      </c>
      <c r="G26" t="inlineStr">
        <is>
          <t>Request for Bid(Open-Tender)</t>
        </is>
      </c>
      <c r="H26" t="inlineStr">
        <is>
          <t>Acquisition/Provisioning of Office Accommodation for the Department of Transport and Community Safety: Waterberg District Office in Limpopo Province for a Period of 09 Years and 11 Months.</t>
        </is>
      </c>
      <c r="I26" t="inlineStr">
        <is>
          <t>ETENDERS.GOV.ZA</t>
        </is>
      </c>
      <c r="J26" t="inlineStr">
        <is>
          <t>Limpopo - Public Works</t>
        </is>
      </c>
      <c r="K26" t="inlineStr">
        <is>
          <t>Limpopo</t>
        </is>
      </c>
      <c r="L26" t="inlineStr">
        <is>
          <t>No</t>
        </is>
      </c>
      <c r="M26" t="inlineStr">
        <is>
          <t>Rental and leasing activities</t>
        </is>
      </c>
      <c r="N26" t="inlineStr">
        <is>
          <t>Yes</t>
        </is>
      </c>
      <c r="O26" t="inlineStr">
        <is>
          <t>N/A</t>
        </is>
      </c>
      <c r="P26" t="inlineStr">
        <is>
          <t>Yes</t>
        </is>
      </c>
      <c r="Q26" t="inlineStr">
        <is>
          <t>CAPRICORN DISTRICT NEXT TO CORRECTIONAL SERVICES OFFICE</t>
        </is>
      </c>
      <c r="R26" s="3" t="inlineStr">
        <is>
          <t>https://www.etenders.gov.za/home/Download/?blobName=50d7bfec-fd2b-49d0-b46d-8b9ce846e2bc.pdf&amp;downloadedFileName=LDPWRI-P20647.pdf</t>
        </is>
      </c>
      <c r="S26" t="inlineStr"/>
      <c r="T26" t="inlineStr"/>
      <c r="U26" t="inlineStr"/>
      <c r="V26" t="inlineStr"/>
      <c r="W26" t="inlineStr"/>
    </row>
    <row r="27">
      <c r="A27" s="2" t="n">
        <v>46163</v>
      </c>
      <c r="B27" t="n">
        <v>79</v>
      </c>
      <c r="C27" t="inlineStr">
        <is>
          <t>26-2025/2026 (Re-advert)</t>
        </is>
      </c>
      <c r="D27" s="2" t="n">
        <v>46149</v>
      </c>
      <c r="E27" s="2" t="n">
        <v>46182</v>
      </c>
      <c r="F27" t="inlineStr">
        <is>
          <t>12:00</t>
        </is>
      </c>
      <c r="G27" t="inlineStr">
        <is>
          <t>Request for Bid(Open-Tender)</t>
        </is>
      </c>
      <c r="H27" t="inlineStr">
        <is>
          <t>Sefakaola Cluster (Mitchell, Maruteng, Masehlaneng, Mohlabaneng 1 &amp; 2( Phase 2)</t>
        </is>
      </c>
      <c r="I27" t="inlineStr">
        <is>
          <t>ETENDERS.GOV.ZA</t>
        </is>
      </c>
      <c r="J27" t="inlineStr">
        <is>
          <t>Mogalakwena Local Municipality</t>
        </is>
      </c>
      <c r="K27" t="inlineStr">
        <is>
          <t>Limpopo</t>
        </is>
      </c>
      <c r="L27" t="inlineStr">
        <is>
          <t>No</t>
        </is>
      </c>
      <c r="M27" t="inlineStr">
        <is>
          <t>Construction</t>
        </is>
      </c>
      <c r="N27" t="inlineStr">
        <is>
          <t>Yes</t>
        </is>
      </c>
      <c r="O27" t="inlineStr">
        <is>
          <t>N/A</t>
        </is>
      </c>
      <c r="P27" t="inlineStr">
        <is>
          <t>Yes</t>
        </is>
      </c>
      <c r="Q27" t="inlineStr">
        <is>
          <t>Old Council chambers</t>
        </is>
      </c>
      <c r="R27" s="3" t="inlineStr">
        <is>
          <t>https://www.etenders.gov.za/home/Download/?blobName=418bca61-4b94-4333-95eb-d9113660746a.pdf&amp;downloadedFileName=TENDER%20RE-ADVERT%20FOR%20Sefakaola%20Cluster%20Phase%202.pdf</t>
        </is>
      </c>
      <c r="S27" t="inlineStr"/>
      <c r="T27" t="inlineStr"/>
      <c r="U27" t="inlineStr"/>
      <c r="V27" t="inlineStr"/>
      <c r="W27" t="inlineStr"/>
    </row>
    <row r="28">
      <c r="A28" s="2" t="n">
        <v>46163</v>
      </c>
      <c r="B28" t="n">
        <v>78</v>
      </c>
      <c r="C28" t="inlineStr">
        <is>
          <t>E2633CXMWPRBIDDERSLIST</t>
        </is>
      </c>
      <c r="D28" s="2" t="n">
        <v>46149</v>
      </c>
      <c r="E28" s="2" t="n">
        <v>46181</v>
      </c>
      <c r="F28" t="inlineStr">
        <is>
          <t>10:00</t>
        </is>
      </c>
      <c r="G28" t="inlineStr">
        <is>
          <t>Participation</t>
        </is>
      </c>
      <c r="H28" t="inlineStr">
        <is>
          <t>Bidders List - E2633CXMWPR - Provision of Tax Health Assessment Review at Eskom Holdings SOC Ltd and National Transmission Company South Africa (NTCSA) for the Period of Twelve (12) Months.</t>
        </is>
      </c>
      <c r="I28" t="inlineStr">
        <is>
          <t>ETENDERS.GOV.ZA</t>
        </is>
      </c>
      <c r="J28" t="inlineStr">
        <is>
          <t>ESKOM</t>
        </is>
      </c>
      <c r="K28" t="inlineStr">
        <is>
          <t>National</t>
        </is>
      </c>
      <c r="L28" t="inlineStr">
        <is>
          <t>No</t>
        </is>
      </c>
      <c r="M28" t="inlineStr">
        <is>
          <t>Administrative and support activities</t>
        </is>
      </c>
      <c r="N28" t="inlineStr">
        <is>
          <t>No</t>
        </is>
      </c>
      <c r="O28" t="inlineStr">
        <is>
          <t>N/A</t>
        </is>
      </c>
      <c r="P28" t="inlineStr">
        <is>
          <t>No</t>
        </is>
      </c>
      <c r="Q28" t="inlineStr">
        <is>
          <t>N/A</t>
        </is>
      </c>
      <c r="R28" s="3" t="inlineStr">
        <is>
          <t>https://www.etenders.gov.za/home/Download/?blobName=e35fef4c-81fc-447b-b5b0-6fae0fb2adb9.pdf&amp;downloadedFileName=Suppliers%20Bidder%20List.pdf</t>
        </is>
      </c>
      <c r="S28" t="inlineStr"/>
      <c r="T28" t="inlineStr"/>
      <c r="U28" t="inlineStr"/>
      <c r="V28" t="inlineStr"/>
      <c r="W28" t="inlineStr"/>
    </row>
    <row r="29">
      <c r="A29" s="2" t="n">
        <v>46163</v>
      </c>
      <c r="B29" t="n">
        <v>77</v>
      </c>
      <c r="C29" t="inlineStr">
        <is>
          <t>8/3-60/2024.</t>
        </is>
      </c>
      <c r="D29" s="2" t="n">
        <v>46149</v>
      </c>
      <c r="E29" s="2" t="n">
        <v>46167</v>
      </c>
      <c r="F29" t="inlineStr">
        <is>
          <t>12:00</t>
        </is>
      </c>
      <c r="G29" t="inlineStr">
        <is>
          <t>Request for Bid(Open-Tender)</t>
        </is>
      </c>
      <c r="H29" t="inlineStr">
        <is>
          <t>Appointment of a competent service provider to conduct a comprehensive work study and organizational alignment to the Municipal staff regulation issued under Government Notice Number 890</t>
        </is>
      </c>
      <c r="I29" t="inlineStr">
        <is>
          <t>ETENDERS.GOV.ZA</t>
        </is>
      </c>
      <c r="J29" t="inlineStr">
        <is>
          <t>Msukaligwa Local Municipality</t>
        </is>
      </c>
      <c r="K29" t="inlineStr">
        <is>
          <t>Mpumalanga</t>
        </is>
      </c>
      <c r="L29" t="inlineStr">
        <is>
          <t>No</t>
        </is>
      </c>
      <c r="M29" t="inlineStr">
        <is>
          <t>Administrative and support activities</t>
        </is>
      </c>
      <c r="N29" t="inlineStr">
        <is>
          <t>No</t>
        </is>
      </c>
      <c r="O29" t="inlineStr">
        <is>
          <t>N/A</t>
        </is>
      </c>
      <c r="P29" t="inlineStr">
        <is>
          <t>No</t>
        </is>
      </c>
      <c r="Q29" t="inlineStr">
        <is>
          <t>N/A</t>
        </is>
      </c>
      <c r="R29" s="3" t="inlineStr">
        <is>
          <t>https://www.etenders.gov.za/home/Download/?blobName=8ff37d5e-1e21-4571-8f82-55dac5f8bb48.pdf&amp;downloadedFileName=RE%20ADVERT%20FOR%20WORK%20STUDY.pdf</t>
        </is>
      </c>
      <c r="S29" t="inlineStr"/>
      <c r="T29" t="inlineStr"/>
      <c r="U29" t="inlineStr"/>
      <c r="V29" t="inlineStr"/>
      <c r="W29" t="inlineStr"/>
    </row>
    <row r="30">
      <c r="A30" s="2" t="n">
        <v>46163</v>
      </c>
      <c r="B30" t="n">
        <v>76</v>
      </c>
      <c r="C30" t="inlineStr">
        <is>
          <t>RFQ/PPECB/ARMED-RESPONSE/CENTURION/05-26</t>
        </is>
      </c>
      <c r="D30" s="2" t="n">
        <v>46149</v>
      </c>
      <c r="E30" s="2" t="n">
        <v>46164</v>
      </c>
      <c r="F30" t="inlineStr">
        <is>
          <t>04:00</t>
        </is>
      </c>
      <c r="G30" t="inlineStr">
        <is>
          <t>Request for Quotation</t>
        </is>
      </c>
      <c r="H30" t="inlineStr">
        <is>
          <t>PROVISION OF A NEW ALARM AND ARMED RESPONSE SERVICES</t>
        </is>
      </c>
      <c r="I30" t="inlineStr">
        <is>
          <t>ETENDERS.GOV.ZA</t>
        </is>
      </c>
      <c r="J30" t="inlineStr">
        <is>
          <t>Perishable Products Export Control Board</t>
        </is>
      </c>
      <c r="K30" t="inlineStr">
        <is>
          <t>Western Cape</t>
        </is>
      </c>
      <c r="L30" t="inlineStr">
        <is>
          <t>No</t>
        </is>
      </c>
      <c r="M30" t="inlineStr">
        <is>
          <t>Security and investigation activities</t>
        </is>
      </c>
      <c r="N30" t="inlineStr">
        <is>
          <t>Yes</t>
        </is>
      </c>
      <c r="O30" s="2" t="n">
        <v>46154</v>
      </c>
      <c r="P30" t="inlineStr">
        <is>
          <t>Yes</t>
        </is>
      </c>
      <c r="Q30" t="inlineStr">
        <is>
          <t>Centurion Close, Block B, Unit 4, 119 Gerhard Street, Centurion, Gauteng, 0157</t>
        </is>
      </c>
      <c r="R30" s="3" t="inlineStr">
        <is>
          <t>https://www.etenders.gov.za/home/Download/?blobName=851ca179-a67d-45f0-81a8-bac608ef33f2.pdf&amp;downloadedFileName=RFQ-Centurion..pdf</t>
        </is>
      </c>
      <c r="S30" t="inlineStr"/>
      <c r="T30" t="inlineStr"/>
      <c r="U30" t="inlineStr"/>
      <c r="V30" t="inlineStr"/>
      <c r="W30" t="inlineStr"/>
    </row>
    <row r="31">
      <c r="A31" s="2" t="n">
        <v>46163</v>
      </c>
      <c r="B31" t="n">
        <v>75</v>
      </c>
      <c r="C31" t="inlineStr">
        <is>
          <t>E0225TSSERI CL</t>
        </is>
      </c>
      <c r="D31" s="2" t="n">
        <v>46149</v>
      </c>
      <c r="E31" s="2" t="n">
        <v>46181</v>
      </c>
      <c r="F31" t="inlineStr">
        <is>
          <t>11:00</t>
        </is>
      </c>
      <c r="G31" t="inlineStr">
        <is>
          <t>Request for Bid(Open-Tender)</t>
        </is>
      </c>
      <c r="H31" t="inlineStr">
        <is>
          <t>Cancellation letter - OIL SPILLAGE MANAGEMENT FOR A PERIOD OF 5 YEARS</t>
        </is>
      </c>
      <c r="I31" t="inlineStr">
        <is>
          <t>ETENDERS.GOV.ZA</t>
        </is>
      </c>
      <c r="J31" t="inlineStr">
        <is>
          <t>ESKOM</t>
        </is>
      </c>
      <c r="K31" t="inlineStr">
        <is>
          <t>Gauteng</t>
        </is>
      </c>
      <c r="L31" t="inlineStr">
        <is>
          <t>No</t>
        </is>
      </c>
      <c r="M31" t="inlineStr">
        <is>
          <t>Other service activities</t>
        </is>
      </c>
      <c r="N31" t="inlineStr">
        <is>
          <t>No</t>
        </is>
      </c>
      <c r="O31" t="inlineStr">
        <is>
          <t>N/A</t>
        </is>
      </c>
      <c r="P31" t="inlineStr">
        <is>
          <t>No</t>
        </is>
      </c>
      <c r="Q31" t="inlineStr">
        <is>
          <t>N/A</t>
        </is>
      </c>
      <c r="R31" s="3" t="inlineStr">
        <is>
          <t>https://www.etenders.gov.za/home/Download/?blobName=83f122f8-5383-4b25-85d0-980f3b3c08d0.pdf&amp;downloadedFileName=Tender%20Cancellation%20Letter%20Template%20-%20Oil%20Spillage%20management%201.pdf</t>
        </is>
      </c>
      <c r="S31" t="inlineStr"/>
      <c r="T31" t="inlineStr"/>
      <c r="U31" t="inlineStr"/>
      <c r="V31" t="inlineStr"/>
      <c r="W31" t="inlineStr"/>
    </row>
    <row r="32">
      <c r="A32" s="2" t="n">
        <v>46163</v>
      </c>
      <c r="B32" t="n">
        <v>74</v>
      </c>
      <c r="C32" t="inlineStr">
        <is>
          <t>RFB003/2026</t>
        </is>
      </c>
      <c r="D32" s="2" t="n">
        <v>46149</v>
      </c>
      <c r="E32" s="2" t="n">
        <v>46170</v>
      </c>
      <c r="F32" t="inlineStr">
        <is>
          <t>12:00</t>
        </is>
      </c>
      <c r="G32" t="inlineStr">
        <is>
          <t>Request for Bid(Open-Tender)</t>
        </is>
      </c>
      <c r="H32" t="inlineStr">
        <is>
          <t>APPOINTMENT OF SERVICE PROVIDERS TO SUPPLY AND DELIVER FUEL PRODUCTS (PETROL &amp; DIESEL) TO SAFCOL FOR A PERIOD OF 3 YEARS.</t>
        </is>
      </c>
      <c r="I32" t="inlineStr">
        <is>
          <t>ETENDERS.GOV.ZA</t>
        </is>
      </c>
      <c r="J32" t="inlineStr">
        <is>
          <t>South African Forestry Company Limited</t>
        </is>
      </c>
      <c r="K32" t="inlineStr">
        <is>
          <t>Mpumalanga</t>
        </is>
      </c>
      <c r="L32" t="inlineStr">
        <is>
          <t>No</t>
        </is>
      </c>
      <c r="M32" t="inlineStr">
        <is>
          <t>Transportation and storage</t>
        </is>
      </c>
      <c r="N32" t="inlineStr">
        <is>
          <t>Yes</t>
        </is>
      </c>
      <c r="O32" s="2" t="n">
        <v>46156</v>
      </c>
      <c r="P32" t="inlineStr">
        <is>
          <t>Yes</t>
        </is>
      </c>
      <c r="Q32" t="inlineStr">
        <is>
          <t>https://teams.microsoft.com/meet/334196096299294?p=oAqNCLdqmJeewhQ4oF</t>
        </is>
      </c>
      <c r="R32" s="3" t="inlineStr">
        <is>
          <t>https://www.etenders.gov.za/home/Download/?blobName=1d4c364c-6b9b-42a7-ac74-d6538e72e971.pdf&amp;downloadedFileName=RFB003.2026%20-%20ANNEXURE%20A%20-%20DRAFT%20NEC%20SUPPLY%20CONTRACT.pdf</t>
        </is>
      </c>
      <c r="S32" t="inlineStr"/>
      <c r="T32" t="inlineStr"/>
      <c r="U32" t="inlineStr"/>
      <c r="V32" t="inlineStr"/>
      <c r="W32" t="inlineStr"/>
    </row>
    <row r="33">
      <c r="A33" s="2" t="n">
        <v>46163</v>
      </c>
      <c r="B33" t="n">
        <v>73</v>
      </c>
      <c r="C33" t="inlineStr">
        <is>
          <t>RFP/2021/001418</t>
        </is>
      </c>
      <c r="D33" s="2" t="n">
        <v>46149</v>
      </c>
      <c r="E33" s="2" t="n">
        <v>46169</v>
      </c>
      <c r="F33" t="inlineStr">
        <is>
          <t>11:00</t>
        </is>
      </c>
      <c r="G33" t="inlineStr">
        <is>
          <t>Request for Quotation</t>
        </is>
      </c>
      <c r="H33" t="inlineStr">
        <is>
          <t>APPOINTMENT OF A QUALIFICATION DEVELOPMENT FACILITATOR FOR THE REVIEW AND RE-ALIGNMENT OF PSETA OCCUPATIONAL QUALIFICATIONS</t>
        </is>
      </c>
      <c r="I33" t="inlineStr">
        <is>
          <t>ETENDERS.GOV.ZA</t>
        </is>
      </c>
      <c r="J33" t="inlineStr">
        <is>
          <t>Public Service Sector Education and Training Authority</t>
        </is>
      </c>
      <c r="K33" t="inlineStr">
        <is>
          <t>Gauteng</t>
        </is>
      </c>
      <c r="L33" t="inlineStr">
        <is>
          <t>No</t>
        </is>
      </c>
      <c r="M33" t="inlineStr">
        <is>
          <t>Services: Professional</t>
        </is>
      </c>
      <c r="N33" t="inlineStr">
        <is>
          <t>No</t>
        </is>
      </c>
      <c r="O33" t="inlineStr">
        <is>
          <t>N/A</t>
        </is>
      </c>
      <c r="P33" t="inlineStr">
        <is>
          <t>No</t>
        </is>
      </c>
      <c r="Q33" t="inlineStr">
        <is>
          <t>N/A</t>
        </is>
      </c>
      <c r="R33" s="3" t="inlineStr">
        <is>
          <t>https://www.etenders.gov.za/home/Download/?blobName=54cd034b-836e-49c0-8437-caf8ef7b7958.zip&amp;downloadedFileName=RFP2021001418-RE-ALIGNMENT%20OF%20PSETA%20OCCUPATIONAL%20QUALIFICATIONS.zip</t>
        </is>
      </c>
      <c r="S33" t="inlineStr"/>
      <c r="T33" t="inlineStr"/>
      <c r="U33" t="inlineStr"/>
      <c r="V33" t="inlineStr"/>
      <c r="W33" t="inlineStr"/>
    </row>
    <row r="34">
      <c r="A34" s="2" t="n">
        <v>46163</v>
      </c>
      <c r="B34" t="n">
        <v>72</v>
      </c>
      <c r="C34" t="inlineStr">
        <is>
          <t>ULM-INFR 005 /26</t>
        </is>
      </c>
      <c r="D34" s="2" t="n">
        <v>46149</v>
      </c>
      <c r="E34" s="2" t="n">
        <v>46185</v>
      </c>
      <c r="F34" t="inlineStr">
        <is>
          <t>12:00</t>
        </is>
      </c>
      <c r="G34" t="inlineStr">
        <is>
          <t>Request for Bid(Open-Tender)</t>
        </is>
      </c>
      <c r="H34" t="inlineStr">
        <is>
          <t>CONSTRUCTION OF JAMES GRAVEL ACCESS ROAD IN WARD 11 - re-advert</t>
        </is>
      </c>
      <c r="I34" t="inlineStr">
        <is>
          <t>ETENDERS.GOV.ZA</t>
        </is>
      </c>
      <c r="J34" t="inlineStr">
        <is>
          <t>Umzimkhulu Local Municipality</t>
        </is>
      </c>
      <c r="K34" t="inlineStr">
        <is>
          <t>KwaZulu-Natal</t>
        </is>
      </c>
      <c r="L34" t="inlineStr">
        <is>
          <t>No</t>
        </is>
      </c>
      <c r="M34" t="inlineStr">
        <is>
          <t>Construction</t>
        </is>
      </c>
      <c r="N34" t="inlineStr">
        <is>
          <t>Yes</t>
        </is>
      </c>
      <c r="O34" s="2" t="n">
        <v>46161</v>
      </c>
      <c r="P34" t="inlineStr">
        <is>
          <t>Yes</t>
        </is>
      </c>
      <c r="Q34" t="inlineStr">
        <is>
          <t>uMzimkhulu Municipality Makhosini Building Boardroom,247 Mzimkhulu Mlonyana Street, uMzimkhulu 3297.</t>
        </is>
      </c>
      <c r="R34" s="3" t="inlineStr">
        <is>
          <t>https://www.etenders.gov.za/home/Download/?blobName=1ee55088-b467-440b-9d01-56bb01cd74c1.pdf&amp;downloadedFileName=07-05-2026%20TENDER%20RE-ADVERT%20-%20CONSTRUCTION%20OF%20JAMES,%20KOKSHILLMACUMENI%20GRAVEL%20AR%20&amp;%20NGQUMARHENI%20AR%20AND%20BRIDGE%20%20-WARD%2010,11%20&amp;%2013.pdf</t>
        </is>
      </c>
      <c r="S34" t="inlineStr"/>
      <c r="T34" t="inlineStr"/>
      <c r="U34" t="inlineStr"/>
      <c r="V34" t="inlineStr"/>
      <c r="W34" t="inlineStr"/>
    </row>
    <row r="35">
      <c r="A35" s="2" t="n">
        <v>46163</v>
      </c>
      <c r="B35" t="n">
        <v>71</v>
      </c>
      <c r="C35" t="inlineStr">
        <is>
          <t>REQ0006100</t>
        </is>
      </c>
      <c r="D35" s="2" t="n">
        <v>46149</v>
      </c>
      <c r="E35" s="2" t="n">
        <v>46167</v>
      </c>
      <c r="F35" t="inlineStr">
        <is>
          <t>11:00</t>
        </is>
      </c>
      <c r="G35" t="inlineStr">
        <is>
          <t>Request for Quotation</t>
        </is>
      </c>
      <c r="H35" t="inlineStr">
        <is>
          <t>REQ0006100-Server Room Monitoring System</t>
        </is>
      </c>
      <c r="I35" t="inlineStr">
        <is>
          <t>ETENDERS.GOV.ZA</t>
        </is>
      </c>
      <c r="J35" t="inlineStr">
        <is>
          <t>South African National Accreditation System</t>
        </is>
      </c>
      <c r="K35" t="inlineStr">
        <is>
          <t>Gauteng</t>
        </is>
      </c>
      <c r="L35" t="inlineStr">
        <is>
          <t>No</t>
        </is>
      </c>
      <c r="M35" t="inlineStr">
        <is>
          <t>Services: Professional</t>
        </is>
      </c>
      <c r="N35" t="inlineStr">
        <is>
          <t>Yes</t>
        </is>
      </c>
      <c r="O35" s="2" t="n">
        <v>46162</v>
      </c>
      <c r="P35" t="inlineStr">
        <is>
          <t>Yes</t>
        </is>
      </c>
      <c r="Q35" t="inlineStr">
        <is>
          <t>SANAS Office, 303 Libertas Office Park, Highway street, Equestria</t>
        </is>
      </c>
      <c r="R35" s="3" t="inlineStr">
        <is>
          <t>https://www.etenders.gov.za/home/Download/?blobName=c314f57a-1eb1-47ee-85fc-85a2f6ce1cf2.pdf&amp;downloadedFileName=REQ0006100%20-%20Server%20Room%20Monitoring%20System.pdf</t>
        </is>
      </c>
      <c r="S35" t="inlineStr"/>
      <c r="T35" t="inlineStr"/>
      <c r="U35" t="inlineStr"/>
      <c r="V35" t="inlineStr"/>
      <c r="W35" t="inlineStr"/>
    </row>
    <row r="36">
      <c r="A36" s="2" t="n">
        <v>46163</v>
      </c>
      <c r="B36" t="n">
        <v>70</v>
      </c>
      <c r="C36" t="inlineStr">
        <is>
          <t>21427/GGHNP/2026-27</t>
        </is>
      </c>
      <c r="D36" s="2" t="n">
        <v>46149</v>
      </c>
      <c r="E36" s="2" t="n">
        <v>46164</v>
      </c>
      <c r="F36" t="inlineStr">
        <is>
          <t>16:00</t>
        </is>
      </c>
      <c r="G36" t="inlineStr">
        <is>
          <t>Request for Quotation</t>
        </is>
      </c>
      <c r="H36" t="inlineStr">
        <is>
          <t>Appointment of a service provider for the provision of plumbing services</t>
        </is>
      </c>
      <c r="I36" t="inlineStr">
        <is>
          <t>ETENDERS.GOV.ZA</t>
        </is>
      </c>
      <c r="J36" t="inlineStr">
        <is>
          <t>South African National Parks</t>
        </is>
      </c>
      <c r="K36" t="inlineStr">
        <is>
          <t>Free State</t>
        </is>
      </c>
      <c r="L36" t="inlineStr">
        <is>
          <t>No</t>
        </is>
      </c>
      <c r="M36" t="inlineStr">
        <is>
          <t>Services to buildings and landscape activities</t>
        </is>
      </c>
      <c r="N36" t="inlineStr">
        <is>
          <t>Yes</t>
        </is>
      </c>
      <c r="O36" s="2" t="n">
        <v>46157</v>
      </c>
      <c r="P36" t="inlineStr">
        <is>
          <t>No</t>
        </is>
      </c>
      <c r="Q36" t="inlineStr">
        <is>
          <t>Eland Conference Room, Golden Gate Hotel</t>
        </is>
      </c>
      <c r="R36" s="3" t="inlineStr">
        <is>
          <t>https://www.etenders.gov.za/home/Download/?blobName=0f387ec2-a1be-4b79-852c-393f0256bafc.pdf&amp;downloadedFileName=21427-GGHNP-2026-27_Appointment%20of%20a%20service%20provider%20for%20the%20provision%20of%20plumbing%20services.pdf</t>
        </is>
      </c>
      <c r="S36" t="inlineStr"/>
      <c r="T36" t="inlineStr"/>
      <c r="U36" t="inlineStr"/>
      <c r="V36" t="inlineStr"/>
      <c r="W36" t="inlineStr"/>
    </row>
    <row r="37">
      <c r="A37" s="2" t="n">
        <v>46163</v>
      </c>
      <c r="B37" t="n">
        <v>69</v>
      </c>
      <c r="C37" t="inlineStr">
        <is>
          <t>ULM-INFR 009/ 26</t>
        </is>
      </c>
      <c r="D37" s="2" t="n">
        <v>46149</v>
      </c>
      <c r="E37" s="2" t="n">
        <v>46185</v>
      </c>
      <c r="F37" t="inlineStr">
        <is>
          <t>12:00</t>
        </is>
      </c>
      <c r="G37" t="inlineStr">
        <is>
          <t>Request for Bid(Open-Tender)</t>
        </is>
      </c>
      <c r="H37" t="inlineStr">
        <is>
          <t>CONSTRUCTION OF NGQUMARHENI ACCESS ROAD AND BRIDGE ( WARD 10) - Re-advert</t>
        </is>
      </c>
      <c r="I37" t="inlineStr">
        <is>
          <t>ETENDERS.GOV.ZA</t>
        </is>
      </c>
      <c r="J37" t="inlineStr">
        <is>
          <t>Umzimkhulu Local Municipality</t>
        </is>
      </c>
      <c r="K37" t="inlineStr">
        <is>
          <t>KwaZulu-Natal</t>
        </is>
      </c>
      <c r="L37" t="inlineStr">
        <is>
          <t>No</t>
        </is>
      </c>
      <c r="M37" t="inlineStr">
        <is>
          <t>Construction</t>
        </is>
      </c>
      <c r="N37" t="inlineStr">
        <is>
          <t>Yes</t>
        </is>
      </c>
      <c r="O37" s="2" t="n">
        <v>46161</v>
      </c>
      <c r="P37" t="inlineStr">
        <is>
          <t>Yes</t>
        </is>
      </c>
      <c r="Q37" t="inlineStr">
        <is>
          <t>uMzimkhulu Municipality Makhosini Building Boardroom,247 Mzimkhulu Mlonyana Street, uMzimkhulu 3297.</t>
        </is>
      </c>
      <c r="R37" s="3" t="inlineStr">
        <is>
          <t>https://www.etenders.gov.za/home/Download/?blobName=14b1aaa0-2cf0-4c24-89c5-a023ea73d013.pdf&amp;downloadedFileName=07-05-2026%20TENDER%20RE-ADVERT%20-%20CONSTRUCTION%20OF%20JAMES,%20KOKSHILLMACUMENI%20GRAVEL%20AR%20&amp;%20NGQUMARHENI%20AR%20AND%20BRIDGE%20%20-WARD%2010,11%20&amp;%2013.pdf</t>
        </is>
      </c>
      <c r="S37" t="inlineStr"/>
      <c r="T37" t="inlineStr"/>
      <c r="U37" t="inlineStr"/>
      <c r="V37" t="inlineStr"/>
      <c r="W37" t="inlineStr"/>
    </row>
    <row r="38">
      <c r="A38" s="2" t="n">
        <v>46163</v>
      </c>
      <c r="B38" t="n">
        <v>68</v>
      </c>
      <c r="C38" t="inlineStr">
        <is>
          <t>233Q/2025/26</t>
        </is>
      </c>
      <c r="D38" s="2" t="n">
        <v>46150</v>
      </c>
      <c r="E38" s="2" t="n">
        <v>46182</v>
      </c>
      <c r="F38" t="inlineStr">
        <is>
          <t>10:00</t>
        </is>
      </c>
      <c r="G38" t="inlineStr">
        <is>
          <t>Request for Bid(Open-Tender)</t>
        </is>
      </c>
      <c r="H38" t="inlineStr">
        <is>
          <t>MACASSAR HOUSING PROJECT: CONSTRUCTION AND REHABILITATION OF CIVIL WORKS FOR PHASE 2 &amp; 3, AND TOP STRUCTURES AND INTERNAL ELECTRICAL INFRASTRUCTURE FOR 1026 ERVEN</t>
        </is>
      </c>
      <c r="I38" t="inlineStr">
        <is>
          <t>ETENDERS.GOV.ZA</t>
        </is>
      </c>
      <c r="J38" t="inlineStr">
        <is>
          <t>City of Cape Town</t>
        </is>
      </c>
      <c r="K38" t="inlineStr">
        <is>
          <t>Western Cape</t>
        </is>
      </c>
      <c r="L38" t="inlineStr">
        <is>
          <t>No</t>
        </is>
      </c>
      <c r="M38" t="inlineStr">
        <is>
          <t>Construction</t>
        </is>
      </c>
      <c r="N38" t="inlineStr">
        <is>
          <t>Yes</t>
        </is>
      </c>
      <c r="O38" s="2" t="n">
        <v>46164</v>
      </c>
      <c r="P38" t="inlineStr">
        <is>
          <t>No</t>
        </is>
      </c>
      <c r="Q38" t="inlineStr">
        <is>
          <t>Online via Teams https://teams.microsoft.com/meet/3447221468 01877?p=AlfI5QLt1guijXl9z3 Meeting ID:</t>
        </is>
      </c>
      <c r="R38" s="3" t="inlineStr">
        <is>
          <t>https://www.etenders.gov.za/home/Download/?blobName=865602ea-ddeb-498d-9f8b-78c8c287db4f.pdf&amp;downloadedFileName=Tender%20Document%20233Q-2025-26.pdf</t>
        </is>
      </c>
      <c r="S38" t="inlineStr"/>
      <c r="T38" t="inlineStr"/>
      <c r="U38" t="inlineStr"/>
      <c r="V38" t="inlineStr"/>
      <c r="W38" t="inlineStr"/>
    </row>
    <row r="39">
      <c r="A39" s="2" t="n">
        <v>46163</v>
      </c>
      <c r="B39" t="n">
        <v>67</v>
      </c>
      <c r="C39" t="inlineStr">
        <is>
          <t>ELA8037/2025/RFP</t>
        </is>
      </c>
      <c r="D39" s="2" t="n">
        <v>46150</v>
      </c>
      <c r="E39" s="2" t="n">
        <v>46184</v>
      </c>
      <c r="F39" t="inlineStr">
        <is>
          <t>12:00</t>
        </is>
      </c>
      <c r="G39" t="inlineStr">
        <is>
          <t>Request for Proposal</t>
        </is>
      </c>
      <c r="H39" t="inlineStr">
        <is>
          <t>THE REFURBISHMENT OF THE ELECTRICAL COMPLEX AND FURNITURE REPLACEMENT PROJECT FOR A PERIOD OF 30 MONTHS AT KING PHALO AIRPORT</t>
        </is>
      </c>
      <c r="I39" t="inlineStr">
        <is>
          <t>ETENDERS.GOV.ZA</t>
        </is>
      </c>
      <c r="J39" t="inlineStr">
        <is>
          <t>Airports Company of South Africa</t>
        </is>
      </c>
      <c r="K39" t="inlineStr">
        <is>
          <t>Eastern Cape</t>
        </is>
      </c>
      <c r="L39" t="inlineStr">
        <is>
          <t>No</t>
        </is>
      </c>
      <c r="M39" t="inlineStr">
        <is>
          <t>Construction of buildings</t>
        </is>
      </c>
      <c r="N39" t="inlineStr">
        <is>
          <t>Yes</t>
        </is>
      </c>
      <c r="O39" s="2" t="n">
        <v>46157</v>
      </c>
      <c r="P39" t="inlineStr">
        <is>
          <t>Yes</t>
        </is>
      </c>
      <c r="Q39" t="inlineStr">
        <is>
          <t>King Phalo Airport</t>
        </is>
      </c>
      <c r="R39" s="3" t="inlineStr">
        <is>
          <t>https://www.etenders.gov.za/home/Download/?blobName=12d0cff2-ff13-4dd7-a744-1d40fe243fe1.pdf&amp;downloadedFileName=BILLS%20OF%20QUANTITIES-%20LATEST.pdf</t>
        </is>
      </c>
      <c r="S39" t="inlineStr"/>
      <c r="T39" t="inlineStr"/>
      <c r="U39" t="inlineStr"/>
      <c r="V39" t="inlineStr"/>
      <c r="W39" t="inlineStr"/>
    </row>
    <row r="40">
      <c r="A40" s="2" t="n">
        <v>46163</v>
      </c>
      <c r="B40" t="n">
        <v>66</v>
      </c>
      <c r="C40" t="inlineStr">
        <is>
          <t>BSM 83/26</t>
        </is>
      </c>
      <c r="D40" s="2" t="n">
        <v>46150</v>
      </c>
      <c r="E40" s="2" t="n">
        <v>46181</v>
      </c>
      <c r="F40" t="inlineStr">
        <is>
          <t>12:00</t>
        </is>
      </c>
      <c r="G40" t="inlineStr">
        <is>
          <t>Request for Bid(Open-Tender)</t>
        </is>
      </c>
      <c r="H40" t="inlineStr">
        <is>
          <t>APPOINTMENT OF A SERVICE PROVIDER FOR THE ESTABLISHMENT OF AN INTEGRATED INFRASTRUCTURE ASSET MANAGEMENT PLAN (IAMP) COMPRISING FOUR SERVICE-SPECIFIC VOLUMES</t>
        </is>
      </c>
      <c r="I40" t="inlineStr">
        <is>
          <t>ETENDERS.GOV.ZA</t>
        </is>
      </c>
      <c r="J40" t="inlineStr">
        <is>
          <t>Stellenbosch Municipality</t>
        </is>
      </c>
      <c r="K40" t="inlineStr">
        <is>
          <t>Western Cape</t>
        </is>
      </c>
      <c r="L40" t="inlineStr">
        <is>
          <t>No</t>
        </is>
      </c>
      <c r="M40" t="inlineStr">
        <is>
          <t>Services: Professional</t>
        </is>
      </c>
      <c r="N40" t="inlineStr">
        <is>
          <t>Yes</t>
        </is>
      </c>
      <c r="O40" s="2" t="n">
        <v>46162</v>
      </c>
      <c r="P40" t="inlineStr">
        <is>
          <t>Yes</t>
        </is>
      </c>
      <c r="Q40" t="inlineStr">
        <is>
          <t>virtual MS Teams</t>
        </is>
      </c>
      <c r="R40" s="3" t="inlineStr">
        <is>
          <t>https://www.etenders.gov.za/home/Download/?blobName=fe53ce1a-ce96-4e8d-8999-7bcbf8adc443.pdf&amp;downloadedFileName=Tender%20BSM%2083%2026%20Appointment%20o%20f%20a%20Service%20Provider%20for%20Establishment%20of%20an%20Integrated%20Infrastructure%20Assets.pdf</t>
        </is>
      </c>
      <c r="S40" t="inlineStr"/>
      <c r="T40" t="inlineStr"/>
      <c r="U40" t="inlineStr"/>
      <c r="V40" t="inlineStr"/>
      <c r="W40" t="inlineStr"/>
    </row>
    <row r="41">
      <c r="A41" s="2" t="n">
        <v>46163</v>
      </c>
      <c r="B41" t="n">
        <v>65</v>
      </c>
      <c r="C41" t="inlineStr">
        <is>
          <t>234Q/2025/26</t>
        </is>
      </c>
      <c r="D41" s="2" t="n">
        <v>46150</v>
      </c>
      <c r="E41" s="2" t="n">
        <v>46183</v>
      </c>
      <c r="F41" t="inlineStr">
        <is>
          <t>10:00</t>
        </is>
      </c>
      <c r="G41" t="inlineStr">
        <is>
          <t>Request for Bid(Open-Tender)</t>
        </is>
      </c>
      <c r="H41" t="inlineStr">
        <is>
          <t>CONSTRUCTION OF THE IRT PHASE 2A, LEFT-ALIGNED MEDIAN AND KERB SIDE STOP INFRASTRUCTURE</t>
        </is>
      </c>
      <c r="I41" t="inlineStr">
        <is>
          <t>ETENDERS.GOV.ZA</t>
        </is>
      </c>
      <c r="J41" t="inlineStr">
        <is>
          <t>City of Cape Town</t>
        </is>
      </c>
      <c r="K41" t="inlineStr">
        <is>
          <t>Western Cape</t>
        </is>
      </c>
      <c r="L41" t="inlineStr">
        <is>
          <t>No</t>
        </is>
      </c>
      <c r="M41" t="inlineStr">
        <is>
          <t>Construction</t>
        </is>
      </c>
      <c r="N41" t="inlineStr">
        <is>
          <t>Yes</t>
        </is>
      </c>
      <c r="O41" t="inlineStr">
        <is>
          <t>N/A</t>
        </is>
      </c>
      <c r="P41" t="inlineStr">
        <is>
          <t>Yes</t>
        </is>
      </c>
      <c r="Q41" t="inlineStr">
        <is>
          <t>MS Teams: Meeting ID: 335 956 976 304 767 Passcode: hu76WG9X</t>
        </is>
      </c>
      <c r="R41" s="3" t="inlineStr">
        <is>
          <t>https://www.etenders.gov.za/home/Download/?blobName=8cb04421-7e75-41ea-8eb5-f8029f56cb67.pdf&amp;downloadedFileName=234Q_2025_26%20TENDER%20DOCUMENT%20For%20Advert.pdf</t>
        </is>
      </c>
      <c r="S41" t="inlineStr"/>
      <c r="T41" t="inlineStr"/>
      <c r="U41" t="inlineStr"/>
      <c r="V41" t="inlineStr"/>
      <c r="W41" t="inlineStr"/>
    </row>
    <row r="42">
      <c r="A42" s="2" t="n">
        <v>46163</v>
      </c>
      <c r="B42" t="n">
        <v>64</v>
      </c>
      <c r="C42" t="inlineStr">
        <is>
          <t>SCM/TSW/23/2025-2026</t>
        </is>
      </c>
      <c r="D42" s="2" t="n">
        <v>46150</v>
      </c>
      <c r="E42" s="2" t="n">
        <v>46181</v>
      </c>
      <c r="F42" t="inlineStr">
        <is>
          <t>12:00</t>
        </is>
      </c>
      <c r="G42" t="inlineStr">
        <is>
          <t>Request for Bid(Open-Tender)</t>
        </is>
      </c>
      <c r="H42" t="inlineStr">
        <is>
          <t>APPOINTMENT OF SERVICE PROVIDER FOR THE MIGRATION OF CURRENT EMAIL SERVICES TO MICROSOFT 365 BUSINESS STANDARD SUBSCRIPTION LICENSES FOR 110 USERS AT TSWELOPELE LOCAL MUNICIPALITY FOR A PERIOD OF THREE (3) YEARS.</t>
        </is>
      </c>
      <c r="I42" t="inlineStr">
        <is>
          <t>ETENDERS.GOV.ZA</t>
        </is>
      </c>
      <c r="J42" t="inlineStr">
        <is>
          <t>Tswelopele Local Municipality</t>
        </is>
      </c>
      <c r="K42" t="inlineStr">
        <is>
          <t>Free State</t>
        </is>
      </c>
      <c r="L42" t="inlineStr">
        <is>
          <t>No</t>
        </is>
      </c>
      <c r="M42" t="inlineStr">
        <is>
          <t>Information and communication</t>
        </is>
      </c>
      <c r="N42" t="inlineStr">
        <is>
          <t>No</t>
        </is>
      </c>
      <c r="O42" t="inlineStr">
        <is>
          <t>N/A</t>
        </is>
      </c>
      <c r="P42" t="inlineStr">
        <is>
          <t>No</t>
        </is>
      </c>
      <c r="Q42" t="inlineStr">
        <is>
          <t>N/A</t>
        </is>
      </c>
      <c r="R42" s="3" t="inlineStr">
        <is>
          <t>https://www.etenders.gov.za/home/Download/?blobName=abb6a29d-d30d-4728-b563-8b2c14dd7372.pdf&amp;downloadedFileName=Tender%20document%20-%20SCM-TSW-23-2025-2026%20-%20%20MIGRATION%20OF%20CURRENT%20EMAIL%20SERVICES%20TO%20MICROSOFT%20365%20BUSINESS%20STANDARD.pdf</t>
        </is>
      </c>
      <c r="S42" t="inlineStr"/>
      <c r="T42" t="inlineStr"/>
      <c r="U42" t="inlineStr"/>
      <c r="V42" t="inlineStr"/>
      <c r="W42" t="inlineStr"/>
    </row>
    <row r="43">
      <c r="A43" s="2" t="n">
        <v>46163</v>
      </c>
      <c r="B43" t="n">
        <v>63</v>
      </c>
      <c r="C43" t="inlineStr">
        <is>
          <t>E2878GXMPLET</t>
        </is>
      </c>
      <c r="D43" s="2" t="n">
        <v>46150</v>
      </c>
      <c r="E43" s="2" t="n">
        <v>46188</v>
      </c>
      <c r="F43" t="inlineStr">
        <is>
          <t>10:00</t>
        </is>
      </c>
      <c r="G43" t="inlineStr">
        <is>
          <t>Request for Bid(Open-Tender)</t>
        </is>
      </c>
      <c r="H43" t="inlineStr">
        <is>
          <t>SPECIFICATION FOR MAINTENANCE AND CLEANING OF SPECIFICATION FOR MAINTENANCE AND CLEANING OF MAIN COOLING WATER COOLING TOWERS AT LETHABO POWER STATION FOR PERIOD OF 5 YEARS COOLING TOWERS AT LETHABO POWER STATION FOR PERIOD OF 5 YEARS.</t>
        </is>
      </c>
      <c r="I43" t="inlineStr">
        <is>
          <t>ETENDERS.GOV.ZA</t>
        </is>
      </c>
      <c r="J43" t="inlineStr">
        <is>
          <t>ESKOM</t>
        </is>
      </c>
      <c r="K43" t="inlineStr">
        <is>
          <t>Free State</t>
        </is>
      </c>
      <c r="L43" t="inlineStr">
        <is>
          <t>No</t>
        </is>
      </c>
      <c r="M43" t="inlineStr">
        <is>
          <t>Services: General</t>
        </is>
      </c>
      <c r="N43" t="inlineStr">
        <is>
          <t>Yes</t>
        </is>
      </c>
      <c r="O43" s="2" t="n">
        <v>46176</v>
      </c>
      <c r="P43" t="inlineStr">
        <is>
          <t>No</t>
        </is>
      </c>
      <c r="Q43" t="inlineStr">
        <is>
          <t>MS teams link:Meeting ID: 311 721 832 025 737 Passcode: fA2dr7Xr</t>
        </is>
      </c>
      <c r="R43" s="3" t="inlineStr">
        <is>
          <t>https://www.etenders.gov.za/home/Download/?blobName=7cdf90d2-c9d6-47f2-84eb-8fedb1284aec.pdf&amp;downloadedFileName=Invitation%20to%20tender.pdf</t>
        </is>
      </c>
      <c r="S43" t="inlineStr"/>
      <c r="T43" t="inlineStr"/>
      <c r="U43" t="inlineStr"/>
      <c r="V43" t="inlineStr"/>
      <c r="W43" t="inlineStr"/>
    </row>
    <row r="44">
      <c r="A44" s="2" t="n">
        <v>46163</v>
      </c>
      <c r="B44" t="n">
        <v>62</v>
      </c>
      <c r="C44" t="inlineStr">
        <is>
          <t>E2893GXMPDUV</t>
        </is>
      </c>
      <c r="D44" s="2" t="n">
        <v>46150</v>
      </c>
      <c r="E44" s="2" t="n">
        <v>46181</v>
      </c>
      <c r="F44" t="inlineStr">
        <is>
          <t>10:00</t>
        </is>
      </c>
      <c r="G44" t="inlineStr">
        <is>
          <t>Request for Bid(Open-Tender)</t>
        </is>
      </c>
      <c r="H44" t="inlineStr">
        <is>
          <t>REPAIRING OF THE STORM WATER PIPE AT THE HIGH VOLTAGE (HV) YARD AT DUVHA POWER STATION FOR FIVE MONTHS</t>
        </is>
      </c>
      <c r="I44" t="inlineStr">
        <is>
          <t>ETENDERS.GOV.ZA</t>
        </is>
      </c>
      <c r="J44" t="inlineStr">
        <is>
          <t>ESKOM</t>
        </is>
      </c>
      <c r="K44" t="inlineStr">
        <is>
          <t>Mpumalanga</t>
        </is>
      </c>
      <c r="L44" t="inlineStr">
        <is>
          <t>No</t>
        </is>
      </c>
      <c r="M44" t="inlineStr">
        <is>
          <t>Services: General</t>
        </is>
      </c>
      <c r="N44" t="inlineStr">
        <is>
          <t>Yes</t>
        </is>
      </c>
      <c r="O44" s="2" t="n">
        <v>46161</v>
      </c>
      <c r="P44" t="inlineStr">
        <is>
          <t>No</t>
        </is>
      </c>
      <c r="Q44" t="inlineStr">
        <is>
          <t>MS Teams</t>
        </is>
      </c>
      <c r="R44" s="3" t="inlineStr">
        <is>
          <t>https://www.etenders.gov.za/home/Download/?blobName=ff1dd310-ad44-46e5-8568-176babcd1689.pdf&amp;downloadedFileName=PPE%20Requirements%20for%20the%20Site%20Walk%20%20dated%2020%20May%202026.pdf</t>
        </is>
      </c>
      <c r="S44" t="inlineStr"/>
      <c r="T44" t="inlineStr"/>
      <c r="U44" t="inlineStr"/>
      <c r="V44" t="inlineStr"/>
      <c r="W44" t="inlineStr"/>
    </row>
    <row r="45">
      <c r="A45" s="2" t="n">
        <v>46163</v>
      </c>
      <c r="B45" t="n">
        <v>61</v>
      </c>
      <c r="C45" t="inlineStr">
        <is>
          <t>NLM/CS/RA-PSS/2026/2027</t>
        </is>
      </c>
      <c r="D45" s="2" t="n">
        <v>46150</v>
      </c>
      <c r="E45" s="2" t="n">
        <v>46181</v>
      </c>
      <c r="F45" t="inlineStr">
        <is>
          <t>12:00</t>
        </is>
      </c>
      <c r="G45" t="inlineStr">
        <is>
          <t>Request for Bid(Open-Tender)</t>
        </is>
      </c>
      <c r="H45" t="inlineStr">
        <is>
          <t>RE-ADVERT FOR PROVISION OF SECURITY SERVICES FOR A PERIOD OF TWENTY-FOUR (24) MONTHS</t>
        </is>
      </c>
      <c r="I45" t="inlineStr">
        <is>
          <t>ETENDERS.GOV.ZA</t>
        </is>
      </c>
      <c r="J45" t="inlineStr">
        <is>
          <t>Ntabankulu Local Municipality</t>
        </is>
      </c>
      <c r="K45" t="inlineStr">
        <is>
          <t>Eastern Cape</t>
        </is>
      </c>
      <c r="L45" t="inlineStr">
        <is>
          <t>No</t>
        </is>
      </c>
      <c r="M45" t="inlineStr">
        <is>
          <t>Security and investigation activities</t>
        </is>
      </c>
      <c r="N45" t="inlineStr">
        <is>
          <t>Yes</t>
        </is>
      </c>
      <c r="O45" s="2" t="n">
        <v>46157</v>
      </c>
      <c r="P45" t="inlineStr">
        <is>
          <t>Yes</t>
        </is>
      </c>
      <c r="Q45" t="inlineStr">
        <is>
          <t>Erf 85 Main Street, Ntabankulu Local Municipality, Ntabankulu Town Hall</t>
        </is>
      </c>
      <c r="R45" s="3" t="inlineStr">
        <is>
          <t>https://www.etenders.gov.za/home/Download/?blobName=096388b0-c6db-407e-8eee-b18732120e62.pdf&amp;downloadedFileName=Re-Advert%20for%20Provision%20of%20Security%20Services%20for%20Twenty%20Four%20Months.pdf</t>
        </is>
      </c>
      <c r="S45" t="inlineStr"/>
      <c r="T45" t="inlineStr"/>
      <c r="U45" t="inlineStr"/>
      <c r="V45" t="inlineStr"/>
      <c r="W45" t="inlineStr"/>
    </row>
    <row r="46">
      <c r="A46" s="2" t="n">
        <v>46163</v>
      </c>
      <c r="B46" t="n">
        <v>60</v>
      </c>
      <c r="C46" t="inlineStr">
        <is>
          <t>09/2026</t>
        </is>
      </c>
      <c r="D46" s="2" t="n">
        <v>46150</v>
      </c>
      <c r="E46" s="2" t="n">
        <v>46182</v>
      </c>
      <c r="F46" t="inlineStr">
        <is>
          <t>11:00</t>
        </is>
      </c>
      <c r="G46" t="inlineStr">
        <is>
          <t>Request for Bid(Open-Tender)</t>
        </is>
      </c>
      <c r="H46" t="inlineStr">
        <is>
          <t>PROVISION OF OFFICE ACCOMMODATION FOR A PERIOD OF UP TO FIVE (5) YEARS IN RESPECT OF BURGERSFORT SATELLITE OFFICE</t>
        </is>
      </c>
      <c r="I46" t="inlineStr">
        <is>
          <t>ETENDERS.GOV.ZA</t>
        </is>
      </c>
      <c r="J46" t="inlineStr">
        <is>
          <t>Legal Aid South Africa</t>
        </is>
      </c>
      <c r="K46" t="inlineStr">
        <is>
          <t>Mpumalanga</t>
        </is>
      </c>
      <c r="L46" t="inlineStr">
        <is>
          <t>No</t>
        </is>
      </c>
      <c r="M46" t="inlineStr">
        <is>
          <t>Accommodation</t>
        </is>
      </c>
      <c r="N46" t="inlineStr">
        <is>
          <t>Yes</t>
        </is>
      </c>
      <c r="O46" s="2" t="n">
        <v>46160</v>
      </c>
      <c r="P46" t="inlineStr">
        <is>
          <t>No</t>
        </is>
      </c>
      <c r="Q46" t="inlineStr">
        <is>
          <t>Suite 2, Umshanti Building, Ground Floor, 83 Aloe Street, Aloe Ridge West, 1150</t>
        </is>
      </c>
      <c r="R46" s="3" t="inlineStr">
        <is>
          <t>https://www.etenders.gov.za/home/Download/?blobName=5f33e482-bdca-4d7b-b3ef-ff639ef94549.pdf&amp;downloadedFileName=RFP%20-%20Property%20Leasing%20Burgersfort%20Satellite%20Office.pdf</t>
        </is>
      </c>
      <c r="S46" t="inlineStr"/>
      <c r="T46" t="inlineStr"/>
      <c r="U46" t="inlineStr"/>
      <c r="V46" t="inlineStr"/>
      <c r="W46" t="inlineStr"/>
    </row>
    <row r="47">
      <c r="A47" s="2" t="n">
        <v>46163</v>
      </c>
      <c r="B47" t="n">
        <v>59</v>
      </c>
      <c r="C47" t="inlineStr">
        <is>
          <t>10/2026</t>
        </is>
      </c>
      <c r="D47" s="2" t="n">
        <v>46150</v>
      </c>
      <c r="E47" s="2" t="n">
        <v>46182</v>
      </c>
      <c r="F47" t="inlineStr">
        <is>
          <t>11:00</t>
        </is>
      </c>
      <c r="G47" t="inlineStr">
        <is>
          <t>Request for Bid(Open-Tender)</t>
        </is>
      </c>
      <c r="H47" t="inlineStr">
        <is>
          <t>PROVISION OF OFFICE ACCOMMODATION FOR A PERIOD OF UP TO FIVE (5) YEARS IN RESPECT OF ELUKWATINI (EERSTEHOEK) SATELLITE OFFICE</t>
        </is>
      </c>
      <c r="I47" t="inlineStr">
        <is>
          <t>ETENDERS.GOV.ZA</t>
        </is>
      </c>
      <c r="J47" t="inlineStr">
        <is>
          <t>Legal Aid South Africa</t>
        </is>
      </c>
      <c r="K47" t="inlineStr">
        <is>
          <t>Mpumalanga</t>
        </is>
      </c>
      <c r="L47" t="inlineStr">
        <is>
          <t>No</t>
        </is>
      </c>
      <c r="M47" t="inlineStr">
        <is>
          <t>Accommodation</t>
        </is>
      </c>
      <c r="N47" t="inlineStr">
        <is>
          <t>Yes</t>
        </is>
      </c>
      <c r="O47" s="2" t="n">
        <v>46163</v>
      </c>
      <c r="P47" t="inlineStr">
        <is>
          <t>No</t>
        </is>
      </c>
      <c r="Q47" t="inlineStr">
        <is>
          <t>Stand Number 88, Nhlazatshe G, Elukwatini, 1192</t>
        </is>
      </c>
      <c r="R47" s="3" t="inlineStr">
        <is>
          <t>https://www.etenders.gov.za/home/Download/?blobName=93e6fe35-587a-4e4c-aa42-c62b14833cac.pdf&amp;downloadedFileName=Request%20for%20Proposals%20Elukwatini%20(Eerstehoek).pdf</t>
        </is>
      </c>
      <c r="S47" t="inlineStr"/>
      <c r="T47" t="inlineStr"/>
      <c r="U47" t="inlineStr"/>
      <c r="V47" t="inlineStr"/>
      <c r="W47" t="inlineStr"/>
    </row>
    <row r="48">
      <c r="A48" s="2" t="n">
        <v>46163</v>
      </c>
      <c r="B48" t="n">
        <v>58</v>
      </c>
      <c r="C48" t="inlineStr">
        <is>
          <t>RFP/SASSETA/24251124</t>
        </is>
      </c>
      <c r="D48" s="2" t="n">
        <v>46150</v>
      </c>
      <c r="E48" s="2" t="n">
        <v>46175</v>
      </c>
      <c r="F48" t="inlineStr">
        <is>
          <t>11:00</t>
        </is>
      </c>
      <c r="G48" t="inlineStr">
        <is>
          <t>Request for Proposal</t>
        </is>
      </c>
      <c r="H48" t="inlineStr">
        <is>
          <t>Appointment of a panel of two (2) service providers to render learner time and attendance management and learner payroll /stipend / disbursement solution to SASSETA for a period ending on 31st March 2030 with an option to extend up to a maximum of five (5) years;</t>
        </is>
      </c>
      <c r="I48" t="inlineStr">
        <is>
          <t>ETENDERS.GOV.ZA</t>
        </is>
      </c>
      <c r="J48" t="inlineStr">
        <is>
          <t>Safety and Security Sector Education and Training Authority (Sasseta)</t>
        </is>
      </c>
      <c r="K48" t="inlineStr">
        <is>
          <t>Gauteng</t>
        </is>
      </c>
      <c r="L48" t="inlineStr">
        <is>
          <t>No</t>
        </is>
      </c>
      <c r="M48" t="inlineStr">
        <is>
          <t>Services: Professional</t>
        </is>
      </c>
      <c r="N48" t="inlineStr">
        <is>
          <t>No</t>
        </is>
      </c>
      <c r="O48" t="inlineStr">
        <is>
          <t>N/A</t>
        </is>
      </c>
      <c r="P48" t="inlineStr">
        <is>
          <t>No</t>
        </is>
      </c>
      <c r="Q48" t="inlineStr">
        <is>
          <t>N/A</t>
        </is>
      </c>
      <c r="R48" s="3" t="inlineStr">
        <is>
          <t>https://www.etenders.gov.za/home/Download/?blobName=09f34661-a465-430f-90f7-12cabc90e2e4.xlsx&amp;downloadedFileName=Annexure%20C-%20Pricing%20Schedule%20(Learner%20attendance).xlsx</t>
        </is>
      </c>
      <c r="S48" t="inlineStr"/>
      <c r="T48" t="inlineStr"/>
      <c r="U48" t="inlineStr"/>
      <c r="V48" t="inlineStr"/>
      <c r="W48" t="inlineStr"/>
    </row>
    <row r="49">
      <c r="A49" s="2" t="n">
        <v>46163</v>
      </c>
      <c r="B49" t="n">
        <v>57</v>
      </c>
      <c r="C49" t="inlineStr">
        <is>
          <t>GTAC 003-2026-27</t>
        </is>
      </c>
      <c r="D49" s="2" t="n">
        <v>46150</v>
      </c>
      <c r="E49" s="2" t="n">
        <v>46174</v>
      </c>
      <c r="F49" t="inlineStr">
        <is>
          <t>11:00</t>
        </is>
      </c>
      <c r="G49" t="inlineStr">
        <is>
          <t>Request for Bid(Open-Tender)</t>
        </is>
      </c>
      <c r="H49" t="inlineStr">
        <is>
          <t>FOR THE PROVISION OF TECHNICAL ASSISTANCE SERVICES TO THE JOBS FUND WITH AGRICULTURAL EXPERTISE</t>
        </is>
      </c>
      <c r="I49" t="inlineStr">
        <is>
          <t>ETENDERS.GOV.ZA</t>
        </is>
      </c>
      <c r="J49" t="inlineStr">
        <is>
          <t>Government Technical Advisory Centre (GTAC)</t>
        </is>
      </c>
      <c r="K49" t="inlineStr">
        <is>
          <t>National</t>
        </is>
      </c>
      <c r="L49" t="inlineStr">
        <is>
          <t>No</t>
        </is>
      </c>
      <c r="M49" t="inlineStr">
        <is>
          <t>Services: Professional</t>
        </is>
      </c>
      <c r="N49" t="inlineStr">
        <is>
          <t>No</t>
        </is>
      </c>
      <c r="O49" t="inlineStr">
        <is>
          <t>N/A</t>
        </is>
      </c>
      <c r="P49" t="inlineStr">
        <is>
          <t>No</t>
        </is>
      </c>
      <c r="Q49" t="inlineStr">
        <is>
          <t>N/A</t>
        </is>
      </c>
      <c r="R49" s="3" t="inlineStr">
        <is>
          <t>https://www.etenders.gov.za/home/Download/?blobName=49728e14-0de4-41fd-88fa-b7ab6ea60978.pdf&amp;downloadedFileName=ToR%20for%20Agricultural%20Specialists.pdf</t>
        </is>
      </c>
      <c r="S49" t="inlineStr"/>
      <c r="T49" t="inlineStr"/>
      <c r="U49" t="inlineStr"/>
      <c r="V49" t="inlineStr"/>
      <c r="W49" t="inlineStr"/>
    </row>
    <row r="50">
      <c r="A50" s="2" t="n">
        <v>46163</v>
      </c>
      <c r="B50" t="n">
        <v>56</v>
      </c>
      <c r="C50" t="inlineStr">
        <is>
          <t>RFP 02/03/2026</t>
        </is>
      </c>
      <c r="D50" s="2" t="n">
        <v>46150</v>
      </c>
      <c r="E50" s="2" t="n">
        <v>46183</v>
      </c>
      <c r="F50" t="inlineStr">
        <is>
          <t>12:00</t>
        </is>
      </c>
      <c r="G50" t="inlineStr">
        <is>
          <t>Request for Proposal</t>
        </is>
      </c>
      <c r="H50" t="inlineStr">
        <is>
          <t>APPOINTMENT OF A PANEL OF ATTORNEYS TO PROVIDE LEJWELEPUTSWA DISTRICT MUNICIPALITY WITH PROFESSIONAL LEGAL SERVICES ON AN AS-AND- WHEN-REQUIRED BASIS FOR A PERIOD OF 3 YEARS.</t>
        </is>
      </c>
      <c r="I50" t="inlineStr">
        <is>
          <t>ETENDERS.GOV.ZA</t>
        </is>
      </c>
      <c r="J50" t="inlineStr">
        <is>
          <t>Lejweleputswa District Municipality</t>
        </is>
      </c>
      <c r="K50" t="inlineStr">
        <is>
          <t>Free State</t>
        </is>
      </c>
      <c r="L50" t="inlineStr">
        <is>
          <t>No</t>
        </is>
      </c>
      <c r="M50" t="inlineStr">
        <is>
          <t>Legal and accounting activities</t>
        </is>
      </c>
      <c r="N50" t="inlineStr">
        <is>
          <t>No</t>
        </is>
      </c>
      <c r="O50" t="inlineStr">
        <is>
          <t>N/A</t>
        </is>
      </c>
      <c r="P50" t="inlineStr">
        <is>
          <t>No</t>
        </is>
      </c>
      <c r="Q50" t="inlineStr">
        <is>
          <t>N/A</t>
        </is>
      </c>
      <c r="R50" s="3" t="inlineStr">
        <is>
          <t>https://www.etenders.gov.za/home/Download/?blobName=9ad7c836-39ac-443d-9aa2-d126d14e7fd1.pdf&amp;downloadedFileName=PANEL%20FOR%20LEGAL%20SERVICES%20-%20RFP%2002-03-2026%20(TENDER%20DOCUMENT).pdf</t>
        </is>
      </c>
      <c r="S50" t="inlineStr"/>
      <c r="T50" t="inlineStr"/>
      <c r="U50" t="inlineStr"/>
      <c r="V50" t="inlineStr"/>
      <c r="W50" t="inlineStr"/>
    </row>
    <row r="51">
      <c r="A51" s="2" t="n">
        <v>46163</v>
      </c>
      <c r="B51" t="n">
        <v>55</v>
      </c>
      <c r="C51" t="inlineStr">
        <is>
          <t>ZNB 5051/2026-H</t>
        </is>
      </c>
      <c r="D51" s="2" t="n">
        <v>46150</v>
      </c>
      <c r="E51" s="2" t="n">
        <v>46177</v>
      </c>
      <c r="F51" t="inlineStr">
        <is>
          <t>11:00</t>
        </is>
      </c>
      <c r="G51" t="inlineStr">
        <is>
          <t>Request for Bid(Open-Tender)</t>
        </is>
      </c>
      <c r="H51" t="inlineStr">
        <is>
          <t>SUPPLY, DELIVERY AND INSTALLATION OF A UROLOGY LASER, HOLMIUM YAG (SPEC: E181) FOR VICTORIA MXENGE HOSPITAL</t>
        </is>
      </c>
      <c r="I51" t="inlineStr">
        <is>
          <t>ETENDERS.GOV.ZA</t>
        </is>
      </c>
      <c r="J51" t="inlineStr">
        <is>
          <t>Kwazulu Natal - Health</t>
        </is>
      </c>
      <c r="K51" t="inlineStr">
        <is>
          <t>KwaZulu-Natal</t>
        </is>
      </c>
      <c r="L51" t="inlineStr">
        <is>
          <t>No</t>
        </is>
      </c>
      <c r="M51" t="inlineStr">
        <is>
          <t>Supplies: Medical</t>
        </is>
      </c>
      <c r="N51" t="inlineStr">
        <is>
          <t>No</t>
        </is>
      </c>
      <c r="O51" t="inlineStr">
        <is>
          <t>N/A</t>
        </is>
      </c>
      <c r="P51" t="inlineStr">
        <is>
          <t>No</t>
        </is>
      </c>
      <c r="Q51" t="inlineStr">
        <is>
          <t>N/A</t>
        </is>
      </c>
      <c r="R51" s="3" t="inlineStr">
        <is>
          <t>https://www.etenders.gov.za/home/Download/?blobName=6ddc3099-f0b3-4ab1-8cb7-b7fb393e2c7a.docx&amp;downloadedFileName=BID%20ADVERT%20ZNB%205051-2026-H-UROLOGY%20LASER%20HOLMIUM%20YAG%20(SPEC-%20E181)%20FOR%20VICTORIA%20MXENGE%20HOSPITAL.docx</t>
        </is>
      </c>
      <c r="S51" t="inlineStr"/>
      <c r="T51" t="inlineStr"/>
      <c r="U51" t="inlineStr"/>
      <c r="V51" t="inlineStr"/>
      <c r="W51" t="inlineStr"/>
    </row>
    <row r="52">
      <c r="A52" s="2" t="n">
        <v>46163</v>
      </c>
      <c r="B52" t="n">
        <v>54</v>
      </c>
      <c r="C52" t="inlineStr">
        <is>
          <t>TDR143/2025/2026</t>
        </is>
      </c>
      <c r="D52" s="2" t="n">
        <v>46150</v>
      </c>
      <c r="E52" s="2" t="n">
        <v>46185</v>
      </c>
      <c r="F52" t="inlineStr">
        <is>
          <t>12:00</t>
        </is>
      </c>
      <c r="G52" t="inlineStr">
        <is>
          <t>Request for Bid(Open-Tender)</t>
        </is>
      </c>
      <c r="H52" t="inlineStr">
        <is>
          <t>SUPPLY AND DELIVERY OF SPARE PARTS FOR BERMAD PRESSURE CONTROL VALVES</t>
        </is>
      </c>
      <c r="I52" t="inlineStr">
        <is>
          <t>ETENDERS.GOV.ZA</t>
        </is>
      </c>
      <c r="J52" t="inlineStr">
        <is>
          <t>Mossel Bay Municipality</t>
        </is>
      </c>
      <c r="K52" t="inlineStr">
        <is>
          <t>Western Cape</t>
        </is>
      </c>
      <c r="L52" t="inlineStr">
        <is>
          <t>No</t>
        </is>
      </c>
      <c r="M52" t="inlineStr">
        <is>
          <t>Supplies: General</t>
        </is>
      </c>
      <c r="N52" t="inlineStr">
        <is>
          <t>No</t>
        </is>
      </c>
      <c r="O52" t="inlineStr">
        <is>
          <t>N/A</t>
        </is>
      </c>
      <c r="P52" t="inlineStr">
        <is>
          <t>No</t>
        </is>
      </c>
      <c r="Q52" t="inlineStr">
        <is>
          <t>N/A</t>
        </is>
      </c>
      <c r="R52" s="3" t="inlineStr">
        <is>
          <t>https://www.etenders.gov.za/home/Download/?blobName=fd0c1829-ccea-41e0-80c5-9e9ea64b018d.pdf&amp;downloadedFileName=143-2025-2026%20TENDER%20DOCUMENT.pdf</t>
        </is>
      </c>
      <c r="S52" t="inlineStr"/>
      <c r="T52" t="inlineStr"/>
      <c r="U52" t="inlineStr"/>
      <c r="V52" t="inlineStr"/>
      <c r="W52" t="inlineStr"/>
    </row>
    <row r="53">
      <c r="A53" s="2" t="n">
        <v>46163</v>
      </c>
      <c r="B53" t="n">
        <v>53</v>
      </c>
      <c r="C53" t="inlineStr">
        <is>
          <t>ZNB 5622/2026-H</t>
        </is>
      </c>
      <c r="D53" s="2" t="n">
        <v>46150</v>
      </c>
      <c r="E53" s="2" t="n">
        <v>46177</v>
      </c>
      <c r="F53" t="inlineStr">
        <is>
          <t>11:00</t>
        </is>
      </c>
      <c r="G53" t="inlineStr">
        <is>
          <t>Request for Bid(Open-Tender)</t>
        </is>
      </c>
      <c r="H53" t="inlineStr">
        <is>
          <t>APPOINTMENT OF A SERVICE PROVIDER TO PROCESS AND COLLECT CLAIMS IN RESPECT OF KZN DEPARTMENT OF HEALTH, INCLUDING INJURY-ON-DUTY SUPPLIER CLAIMS, ROAD ACCIDENT FUND SUPPLIER CLAIMS IN TERMS OF SECTION 17 (5) OF THE ROAD ACCIDENT FUND ACT NO56 OF 1996 (AS AMENDED) AND COLLECTION OF DEPARTMENTAL DEBTS IN ACCORDANCE WITH CHAPTER 5, SEC 38(C) OF THE PFMA NO.01 OF 1999. ON BEHALF OF THE KWAZULU-NATAL DEPARTMENT OF HEALTH FOR A THREE-YEAR PERIOD CONTRACT (36 MONTHS)</t>
        </is>
      </c>
      <c r="I53" t="inlineStr">
        <is>
          <t>ETENDERS.GOV.ZA</t>
        </is>
      </c>
      <c r="J53" t="inlineStr">
        <is>
          <t>Kwazulu Natal - Health</t>
        </is>
      </c>
      <c r="K53" t="inlineStr">
        <is>
          <t>KwaZulu-Natal</t>
        </is>
      </c>
      <c r="L53" t="inlineStr">
        <is>
          <t>No</t>
        </is>
      </c>
      <c r="M53" t="inlineStr">
        <is>
          <t>Other service activities</t>
        </is>
      </c>
      <c r="N53" t="inlineStr">
        <is>
          <t>No</t>
        </is>
      </c>
      <c r="O53" t="inlineStr">
        <is>
          <t>N/A</t>
        </is>
      </c>
      <c r="P53" t="inlineStr">
        <is>
          <t>No</t>
        </is>
      </c>
      <c r="Q53" t="inlineStr">
        <is>
          <t>N/A</t>
        </is>
      </c>
      <c r="R53" s="3" t="inlineStr">
        <is>
          <t>https://www.etenders.gov.za/home/Download/?blobName=5e56f112-f5f3-4084-b69a-ae2b0a42048f.docx&amp;downloadedFileName=BID%20ADVERT%20ZNB%205622-2026-H-ROAD%20ACCIDENT%20FUND.docx</t>
        </is>
      </c>
      <c r="S53" t="inlineStr"/>
      <c r="T53" t="inlineStr"/>
      <c r="U53" t="inlineStr"/>
      <c r="V53" t="inlineStr"/>
      <c r="W53" t="inlineStr"/>
    </row>
    <row r="54">
      <c r="A54" s="2" t="n">
        <v>46163</v>
      </c>
      <c r="B54" t="n">
        <v>52</v>
      </c>
      <c r="C54" t="inlineStr">
        <is>
          <t>SCMU 16/2026</t>
        </is>
      </c>
      <c r="D54" s="2" t="n">
        <v>46150</v>
      </c>
      <c r="E54" s="2" t="n">
        <v>46181</v>
      </c>
      <c r="F54" t="inlineStr">
        <is>
          <t>12:00</t>
        </is>
      </c>
      <c r="G54" t="inlineStr">
        <is>
          <t>Request for Bid(Open-Tender)</t>
        </is>
      </c>
      <c r="H54" t="inlineStr">
        <is>
          <t>MAINTENANCE OF TRAFFIC LIGHTS, LIFTS, AND DIESEL GENERATORS AT GREATER TZANEEN MUNICIPALITY FOR THE PERIOD OF 36 MONTHS</t>
        </is>
      </c>
      <c r="I54" t="inlineStr">
        <is>
          <t>ETENDERS.GOV.ZA</t>
        </is>
      </c>
      <c r="J54" t="inlineStr">
        <is>
          <t>Greater Tzaneen Municipality</t>
        </is>
      </c>
      <c r="K54" t="inlineStr">
        <is>
          <t>Limpopo</t>
        </is>
      </c>
      <c r="L54" t="inlineStr">
        <is>
          <t>No</t>
        </is>
      </c>
      <c r="M54" t="inlineStr">
        <is>
          <t>Services: Professional</t>
        </is>
      </c>
      <c r="N54" t="inlineStr">
        <is>
          <t>Yes</t>
        </is>
      </c>
      <c r="O54" s="2" t="n">
        <v>46162</v>
      </c>
      <c r="P54" t="inlineStr">
        <is>
          <t>Yes</t>
        </is>
      </c>
      <c r="Q54" t="inlineStr">
        <is>
          <t>GREATER TZANEEN MUNICIPALITY, CIVIC CENTRE. OLD FIRE HALL</t>
        </is>
      </c>
      <c r="R54" s="3" t="inlineStr">
        <is>
          <t>https://www.etenders.gov.za/home/Download/?blobName=32055965-3ea1-4abc-9088-c8f1337cc385.pdf&amp;downloadedFileName=COMBINED%20MAY%20ADVERT%2001.pdf</t>
        </is>
      </c>
      <c r="S54" t="inlineStr"/>
      <c r="T54" t="inlineStr"/>
      <c r="U54" t="inlineStr"/>
      <c r="V54" t="inlineStr"/>
      <c r="W54" t="inlineStr"/>
    </row>
    <row r="55">
      <c r="A55" s="2" t="n">
        <v>46163</v>
      </c>
      <c r="B55" t="n">
        <v>51</v>
      </c>
      <c r="C55" t="inlineStr">
        <is>
          <t>RFP02-2025 ADVERT</t>
        </is>
      </c>
      <c r="D55" s="2" t="n">
        <v>46150</v>
      </c>
      <c r="E55" s="2" t="n">
        <v>46181</v>
      </c>
      <c r="F55" t="inlineStr">
        <is>
          <t>12:00</t>
        </is>
      </c>
      <c r="G55" t="inlineStr">
        <is>
          <t>Request for Bid(Open-Tender)</t>
        </is>
      </c>
      <c r="H55" t="inlineStr">
        <is>
          <t>REQUEST FOR PROPOSAL [RFP]: APPOINTMENT OF TRANSACTIONAL ADVISORS FOR PPP PROJECTS FOR A PERIOD OF FIVE YEARS</t>
        </is>
      </c>
      <c r="I55" t="inlineStr">
        <is>
          <t>ETENDERS.GOV.ZA</t>
        </is>
      </c>
      <c r="J55" t="inlineStr">
        <is>
          <t>iSimangaliso Wetland Park</t>
        </is>
      </c>
      <c r="K55" t="inlineStr">
        <is>
          <t>KwaZulu-Natal</t>
        </is>
      </c>
      <c r="L55" t="inlineStr">
        <is>
          <t>No</t>
        </is>
      </c>
      <c r="M55" t="inlineStr">
        <is>
          <t>Services: Professional</t>
        </is>
      </c>
      <c r="N55" t="inlineStr">
        <is>
          <t>No</t>
        </is>
      </c>
      <c r="O55" t="inlineStr">
        <is>
          <t>N/A</t>
        </is>
      </c>
      <c r="P55" t="inlineStr">
        <is>
          <t>No</t>
        </is>
      </c>
      <c r="Q55" t="inlineStr">
        <is>
          <t>N/A</t>
        </is>
      </c>
      <c r="R55" s="3" t="inlineStr">
        <is>
          <t>https://www.etenders.gov.za/home/Download/?blobName=d28e7b0c-e609-4063-b2fc-ce78572107ce.pdf&amp;downloadedFileName=RFP%2002-2026%20Appointmentment%20of%20Transactional%20Advisors%20for%20PPP%20Projects_.pdf</t>
        </is>
      </c>
      <c r="S55" t="inlineStr"/>
      <c r="T55" t="inlineStr"/>
      <c r="U55" t="inlineStr"/>
      <c r="V55" t="inlineStr"/>
      <c r="W55" t="inlineStr"/>
    </row>
    <row r="56">
      <c r="A56" s="2" t="n">
        <v>46163</v>
      </c>
      <c r="B56" t="n">
        <v>50</v>
      </c>
      <c r="C56" t="inlineStr">
        <is>
          <t>GAAL 142/2025/2026</t>
        </is>
      </c>
      <c r="D56" s="2" t="n">
        <v>46150</v>
      </c>
      <c r="E56" s="2" t="n">
        <v>46171</v>
      </c>
      <c r="F56" t="inlineStr">
        <is>
          <t>11:00</t>
        </is>
      </c>
      <c r="G56" t="inlineStr">
        <is>
          <t>Request for Bid(Open-Tender)</t>
        </is>
      </c>
      <c r="H56" t="inlineStr">
        <is>
          <t>Re-Advertisement Design, Supply, Installation and Commissioning of Instrument Landing System (ILS) Localizer, Glide Path and Distance Measuring Equipment (DME) at Polokwane International Airport.</t>
        </is>
      </c>
      <c r="I56" t="inlineStr">
        <is>
          <t>ETENDERS.GOV.ZA</t>
        </is>
      </c>
      <c r="J56" t="inlineStr">
        <is>
          <t>Limpopo - Gateway Airport Authority Limited</t>
        </is>
      </c>
      <c r="K56" t="inlineStr">
        <is>
          <t>Limpopo</t>
        </is>
      </c>
      <c r="L56" t="inlineStr">
        <is>
          <t>No</t>
        </is>
      </c>
      <c r="M56" t="inlineStr">
        <is>
          <t>Supplies: General</t>
        </is>
      </c>
      <c r="N56" t="inlineStr">
        <is>
          <t>No</t>
        </is>
      </c>
      <c r="O56" t="inlineStr">
        <is>
          <t>N/A</t>
        </is>
      </c>
      <c r="P56" t="inlineStr">
        <is>
          <t>No</t>
        </is>
      </c>
      <c r="Q56" t="inlineStr">
        <is>
          <t>N/A</t>
        </is>
      </c>
      <c r="R56" s="3" t="inlineStr">
        <is>
          <t>https://www.etenders.gov.za/home/Download/?blobName=63435735-2231-4be8-85f8-a48080cd32a1.pdf&amp;downloadedFileName=BID%20DOCUMENT%20RE_ADVERTISEMENT%20DESIGN,%20SUPPLY,%20INSTALLATION,%20%20AND%20COMMISSION%20OF%20ILS%20AND%20DME%20AT%20POLOKWANE%20INTERNATIONAL%20AIRPORT.pdf</t>
        </is>
      </c>
      <c r="S56" t="inlineStr"/>
      <c r="T56" t="inlineStr"/>
      <c r="U56" t="inlineStr"/>
      <c r="V56" t="inlineStr"/>
      <c r="W56" t="inlineStr"/>
    </row>
    <row r="57">
      <c r="A57" s="2" t="n">
        <v>46163</v>
      </c>
      <c r="B57" t="n">
        <v>49</v>
      </c>
      <c r="C57" t="inlineStr">
        <is>
          <t>GSDM58/2025</t>
        </is>
      </c>
      <c r="D57" s="2" t="n">
        <v>46150</v>
      </c>
      <c r="E57" s="2" t="n">
        <v>46184</v>
      </c>
      <c r="F57" t="inlineStr">
        <is>
          <t>12:00</t>
        </is>
      </c>
      <c r="G57" t="inlineStr">
        <is>
          <t>Request for Bid(Open-Tender)</t>
        </is>
      </c>
      <c r="H57" t="inlineStr">
        <is>
          <t>APPOINTMENT OF PANEL OF SERVICE PROVIDERS FOR SUPPLY AND DELIVERY OF VARIOUS LABORATORY CHEMICALS INCLUDING SALTS AND ACIDS TO THE GERT SIBANDE DISTRICT MUNICIPALITY WATER QUALITY LABORATORY AS AND WHEN REQUIRED FOR THE PERIOD OF THIRTY-SIX (36) MONTHS</t>
        </is>
      </c>
      <c r="I57" t="inlineStr">
        <is>
          <t>ETENDERS.GOV.ZA</t>
        </is>
      </c>
      <c r="J57" t="inlineStr">
        <is>
          <t>Gert Sibande District Municipality</t>
        </is>
      </c>
      <c r="K57" t="inlineStr">
        <is>
          <t>Mpumalanga</t>
        </is>
      </c>
      <c r="L57" t="inlineStr">
        <is>
          <t>No</t>
        </is>
      </c>
      <c r="M57" t="inlineStr">
        <is>
          <t>Services: Professional</t>
        </is>
      </c>
      <c r="N57" t="inlineStr">
        <is>
          <t>Yes</t>
        </is>
      </c>
      <c r="O57" s="2" t="n">
        <v>46163</v>
      </c>
      <c r="P57" t="inlineStr">
        <is>
          <t>Yes</t>
        </is>
      </c>
      <c r="Q57" t="inlineStr">
        <is>
          <t>https://teams.microsoft.com/meet/343673857348229?p=0oenyU7xZG6FskzeAa)</t>
        </is>
      </c>
      <c r="R57" s="3" t="inlineStr">
        <is>
          <t>https://www.etenders.gov.za/home/Download/?blobName=a793f023-5204-4503-afc1-81f76e76527c.pdf&amp;downloadedFileName=GSDM58-2025%20Supply%20and%20Delivery%20of%20various%20laboratory%20chemicals%20including%20salts%20and%20acids%20for%2036%20months%20updated.pdf</t>
        </is>
      </c>
      <c r="S57" t="inlineStr"/>
      <c r="T57" t="inlineStr"/>
      <c r="U57" t="inlineStr"/>
      <c r="V57" t="inlineStr"/>
      <c r="W57" t="inlineStr"/>
    </row>
    <row r="58">
      <c r="A58" s="2" t="n">
        <v>46163</v>
      </c>
      <c r="B58" t="n">
        <v>48</v>
      </c>
      <c r="C58" t="inlineStr">
        <is>
          <t>06/2026</t>
        </is>
      </c>
      <c r="D58" s="2" t="n">
        <v>46150</v>
      </c>
      <c r="E58" s="2" t="n">
        <v>46182</v>
      </c>
      <c r="F58" t="inlineStr">
        <is>
          <t>11:00</t>
        </is>
      </c>
      <c r="G58" t="inlineStr">
        <is>
          <t>Request for Bid(Open-Tender)</t>
        </is>
      </c>
      <c r="H58" t="inlineStr">
        <is>
          <t>PROVISION OF OFFICE ACCOMMODATION FOR A PERIOD OF UP TO FIVE (5) YEARS IN RESPECT OF SENWABARWANA (BOCHUM) SATELLITE OFFICE</t>
        </is>
      </c>
      <c r="I58" t="inlineStr">
        <is>
          <t>ETENDERS.GOV.ZA</t>
        </is>
      </c>
      <c r="J58" t="inlineStr">
        <is>
          <t>Legal Aid South Africa</t>
        </is>
      </c>
      <c r="K58" t="inlineStr">
        <is>
          <t>Limpopo</t>
        </is>
      </c>
      <c r="L58" t="inlineStr">
        <is>
          <t>No</t>
        </is>
      </c>
      <c r="M58" t="inlineStr">
        <is>
          <t>Accommodation</t>
        </is>
      </c>
      <c r="N58" t="inlineStr">
        <is>
          <t>Yes</t>
        </is>
      </c>
      <c r="O58" s="2" t="n">
        <v>46157</v>
      </c>
      <c r="P58" t="inlineStr">
        <is>
          <t>No</t>
        </is>
      </c>
      <c r="Q58" t="inlineStr">
        <is>
          <t>Stand No. 526, Senwabarwana Office Park, Senwabarwana, 0790</t>
        </is>
      </c>
      <c r="R58" s="3" t="inlineStr">
        <is>
          <t>https://www.etenders.gov.za/home/Download/?blobName=d1651a62-28ed-4f0c-802d-b193b8af1a24.pdf&amp;downloadedFileName=RFP%20-%20Property%20Leasing%20Senwabarwana%20(Bochum)%20Satellite%20Office.pdf</t>
        </is>
      </c>
      <c r="S58" t="inlineStr"/>
      <c r="T58" t="inlineStr"/>
      <c r="U58" t="inlineStr"/>
      <c r="V58" t="inlineStr"/>
      <c r="W58" t="inlineStr"/>
    </row>
    <row r="59">
      <c r="A59" s="2" t="n">
        <v>46163</v>
      </c>
      <c r="B59" t="n">
        <v>47</v>
      </c>
      <c r="C59" t="inlineStr">
        <is>
          <t>COR 02/2026/27</t>
        </is>
      </c>
      <c r="D59" s="2" t="n">
        <v>46150</v>
      </c>
      <c r="E59" s="2" t="n">
        <v>46185</v>
      </c>
      <c r="F59" t="inlineStr">
        <is>
          <t>12:00</t>
        </is>
      </c>
      <c r="G59" t="inlineStr">
        <is>
          <t>Request for Proposal</t>
        </is>
      </c>
      <c r="H59" t="inlineStr">
        <is>
          <t>GROUP LIFE INSURANCE SCHEME FOR THE PERIOD FROM 01 JULY 2026 TO 30 JUNE 2029.</t>
        </is>
      </c>
      <c r="I59" t="inlineStr">
        <is>
          <t>ETENDERS.GOV.ZA</t>
        </is>
      </c>
      <c r="J59" t="inlineStr">
        <is>
          <t>Theewaterkloof Municipality</t>
        </is>
      </c>
      <c r="K59" t="inlineStr">
        <is>
          <t>Western Cape</t>
        </is>
      </c>
      <c r="L59" t="inlineStr">
        <is>
          <t>No</t>
        </is>
      </c>
      <c r="M59" t="inlineStr">
        <is>
          <t>Activities auxiliary to financial service and insurance activities.</t>
        </is>
      </c>
      <c r="N59" t="inlineStr">
        <is>
          <t>No</t>
        </is>
      </c>
      <c r="O59" t="inlineStr">
        <is>
          <t>N/A</t>
        </is>
      </c>
      <c r="P59" t="inlineStr">
        <is>
          <t>No</t>
        </is>
      </c>
      <c r="Q59" t="inlineStr">
        <is>
          <t>N/A</t>
        </is>
      </c>
      <c r="R59" s="3" t="inlineStr">
        <is>
          <t>https://www.etenders.gov.za/home/Download/?blobName=578c8f33-bd8c-488e-8576-fd06d6e3bb67.pdf&amp;downloadedFileName=Advert%20-%20COR%2002-2026-27.pdf</t>
        </is>
      </c>
      <c r="S59" t="inlineStr"/>
      <c r="T59" t="inlineStr"/>
      <c r="U59" t="inlineStr"/>
      <c r="V59" t="inlineStr"/>
      <c r="W59" t="inlineStr"/>
    </row>
    <row r="60">
      <c r="A60" s="2" t="n">
        <v>46163</v>
      </c>
      <c r="B60" t="n">
        <v>46</v>
      </c>
      <c r="C60" t="inlineStr">
        <is>
          <t>BS08/04/2026</t>
        </is>
      </c>
      <c r="D60" s="2" t="n">
        <v>46150</v>
      </c>
      <c r="E60" s="2" t="n">
        <v>46183</v>
      </c>
      <c r="F60" t="inlineStr">
        <is>
          <t>12:00</t>
        </is>
      </c>
      <c r="G60" t="inlineStr">
        <is>
          <t>Request for Bid(Open-Tender)</t>
        </is>
      </c>
      <c r="H60" t="inlineStr">
        <is>
          <t>APPOINTMENT OF SERVICE PROVIDER FOR PRINTING AND POSTING OF MONTHLY ACCOUNTS FOR 36 MONTHS</t>
        </is>
      </c>
      <c r="I60" t="inlineStr">
        <is>
          <t>ETENDERS.GOV.ZA</t>
        </is>
      </c>
      <c r="J60" t="inlineStr">
        <is>
          <t>Steve Tshwete Local Municipality</t>
        </is>
      </c>
      <c r="K60" t="inlineStr">
        <is>
          <t>Mpumalanga</t>
        </is>
      </c>
      <c r="L60" t="inlineStr">
        <is>
          <t>No</t>
        </is>
      </c>
      <c r="M60" t="inlineStr">
        <is>
          <t>Advertising and market research</t>
        </is>
      </c>
      <c r="N60" t="inlineStr">
        <is>
          <t>Yes</t>
        </is>
      </c>
      <c r="O60" t="inlineStr">
        <is>
          <t>N/A</t>
        </is>
      </c>
      <c r="P60" t="inlineStr">
        <is>
          <t>Yes</t>
        </is>
      </c>
      <c r="Q60" t="inlineStr">
        <is>
          <t>LIBRARY AUDITORIUM, GERARD SEKOTO LIBRARY, CIVIC CENTER, CNR WALTER SISULU &amp; WANDERERS, MIDDELBURG,</t>
        </is>
      </c>
      <c r="R60" s="3" t="inlineStr">
        <is>
          <t>https://www.etenders.gov.za/home/Download/?blobName=64bc4d94-8da4-498c-9b5d-1b740d439d56.pdf&amp;downloadedFileName=advert%20BS08-04-2026%20printing%20and%20posting%20April%202026.pdf</t>
        </is>
      </c>
      <c r="S60" t="inlineStr"/>
      <c r="T60" t="inlineStr"/>
      <c r="U60" t="inlineStr"/>
      <c r="V60" t="inlineStr"/>
      <c r="W60" t="inlineStr"/>
    </row>
    <row r="61">
      <c r="A61" s="2" t="n">
        <v>46163</v>
      </c>
      <c r="B61" t="n">
        <v>45</v>
      </c>
      <c r="C61" t="inlineStr">
        <is>
          <t>ACDP 26/01</t>
        </is>
      </c>
      <c r="D61" s="2" t="n">
        <v>46150</v>
      </c>
      <c r="E61" s="2" t="n">
        <v>46176</v>
      </c>
      <c r="F61" t="inlineStr">
        <is>
          <t>11:00</t>
        </is>
      </c>
      <c r="G61" t="inlineStr">
        <is>
          <t>Request for Bid(Open-Tender)</t>
        </is>
      </c>
      <c r="H61" t="inlineStr">
        <is>
          <t>SUPPLY, DELIVERY, INSTALLATION AND MAINTENANCE OF HYGIENIC SERVICES FOR LIMPOPO DEPARTMENT OF AGRICULTURE AND RURAL DEVELOPMENT (LDARD) FOR A PERIOD OF 36 MONTHS.</t>
        </is>
      </c>
      <c r="I61" t="inlineStr">
        <is>
          <t>ETENDERS.GOV.ZA</t>
        </is>
      </c>
      <c r="J61" t="inlineStr">
        <is>
          <t>Limpopo - Agriculture</t>
        </is>
      </c>
      <c r="K61" t="inlineStr">
        <is>
          <t>Limpopo</t>
        </is>
      </c>
      <c r="L61" t="inlineStr">
        <is>
          <t>No</t>
        </is>
      </c>
      <c r="M61" t="inlineStr">
        <is>
          <t>Services: General</t>
        </is>
      </c>
      <c r="N61" t="inlineStr">
        <is>
          <t>Yes</t>
        </is>
      </c>
      <c r="O61" t="inlineStr">
        <is>
          <t>N/A</t>
        </is>
      </c>
      <c r="P61" t="inlineStr">
        <is>
          <t>Yes</t>
        </is>
      </c>
      <c r="Q61" t="inlineStr">
        <is>
          <t>DEPARTMENT OF AGRICULTURE AND RURAL DEVELOPMENT, NO 67/69 BICCARD STREET, AGRIVILLAGE 1 FOYER</t>
        </is>
      </c>
      <c r="R61" s="3" t="inlineStr">
        <is>
          <t>https://www.etenders.gov.za/home/Download/?blobName=509f6f11-c277-47cf-bb3f-18ead7a11d66.pdf&amp;downloadedFileName=ACDP%2026%2001%20hygiene.pdf</t>
        </is>
      </c>
      <c r="S61" t="inlineStr"/>
      <c r="T61" t="inlineStr"/>
      <c r="U61" t="inlineStr"/>
      <c r="V61" t="inlineStr"/>
      <c r="W61" t="inlineStr"/>
    </row>
    <row r="62">
      <c r="A62" s="2" t="n">
        <v>46163</v>
      </c>
      <c r="B62" t="n">
        <v>44</v>
      </c>
      <c r="C62" t="inlineStr">
        <is>
          <t>RFQ/LOG/2026/10251300/14</t>
        </is>
      </c>
      <c r="D62" s="2" t="n">
        <v>46150</v>
      </c>
      <c r="E62" s="2" t="n">
        <v>46171</v>
      </c>
      <c r="F62" t="inlineStr">
        <is>
          <t>12:00</t>
        </is>
      </c>
      <c r="G62" t="inlineStr">
        <is>
          <t>Request for Quotation</t>
        </is>
      </c>
      <c r="H62" t="inlineStr">
        <is>
          <t>APPOINTMENT OF A SERVICE PROVIDER FOR THE SUPPLY, INSTALATION AND COMMISSIONING OF HEATING, VENTILATION, AND AIR CONDITIONING (HVAC) SYSTEM FOR DUAL UNINTERRUPTIBLE POWER SUPPLY (UPS) AS ONCE OFF PROJECT.</t>
        </is>
      </c>
      <c r="I62" t="inlineStr">
        <is>
          <t>ETENDERS.GOV.ZA</t>
        </is>
      </c>
      <c r="J62" t="inlineStr">
        <is>
          <t>South African Broadcasting Corporation Limited</t>
        </is>
      </c>
      <c r="K62" t="inlineStr">
        <is>
          <t>National</t>
        </is>
      </c>
      <c r="L62" t="inlineStr">
        <is>
          <t>No</t>
        </is>
      </c>
      <c r="M62" t="inlineStr">
        <is>
          <t>Administrative and support activities</t>
        </is>
      </c>
      <c r="N62" t="inlineStr">
        <is>
          <t>Yes</t>
        </is>
      </c>
      <c r="O62" s="2" t="n">
        <v>46157</v>
      </c>
      <c r="P62" t="inlineStr">
        <is>
          <t>Yes</t>
        </is>
      </c>
      <c r="Q62" t="inlineStr">
        <is>
          <t>SABC AUCKLAND PARK RADIO PARK RECEPTION ENTRANCE 2 HENLEY ROAD</t>
        </is>
      </c>
      <c r="R62" s="3" t="inlineStr">
        <is>
          <t>https://www.etenders.gov.za/home/Download/?blobName=81cd4c0b-9b28-4305-aaa8-cbe48e4ffd58.pdf&amp;downloadedFileName=RFQ%20%20-%20UPS%20SUPPLY%20May%202026.pdf</t>
        </is>
      </c>
      <c r="S62" t="inlineStr"/>
      <c r="T62" t="inlineStr"/>
      <c r="U62" t="inlineStr"/>
      <c r="V62" t="inlineStr"/>
      <c r="W62" t="inlineStr"/>
    </row>
    <row r="63">
      <c r="A63" s="2" t="n">
        <v>46163</v>
      </c>
      <c r="B63" t="n">
        <v>43</v>
      </c>
      <c r="C63" t="inlineStr">
        <is>
          <t>DPWFS (T) 003/2026</t>
        </is>
      </c>
      <c r="D63" s="2" t="n">
        <v>46150</v>
      </c>
      <c r="E63" s="2" t="n">
        <v>46171</v>
      </c>
      <c r="F63" t="inlineStr">
        <is>
          <t>11:00</t>
        </is>
      </c>
      <c r="G63" t="inlineStr">
        <is>
          <t>Request for Bid(Open-Tender)</t>
        </is>
      </c>
      <c r="H63" t="inlineStr">
        <is>
          <t>APPOINTMENT OF A SUITABLY QUALIFIED CONTRACTOR, JOINT VENTURE OR CONSORTIUM FOR DECOMMISSIONING OF EXISTING THIRTEEN LIFTS, DESIGN NEW LIFTS, SUPPLY, DELIVERY, INSTALLATION AND COMMISSIONING OF THIRTEEN LIFTS. THE CONTRACTOR MAY BE REQUESTED TO INSTALL ADDITIONAL LIFTS AS IN WHEN NEEDED AT FREE STATE PROVINCIAL GOVERNMENT BUILDINGS ON BEHALF OF THE DEPARTMENT OF PUBLIC WORKS AND INFRASTRUCTURE</t>
        </is>
      </c>
      <c r="I63" t="inlineStr">
        <is>
          <t>ETENDERS.GOV.ZA</t>
        </is>
      </c>
      <c r="J63" t="inlineStr">
        <is>
          <t>Free State - Public Works</t>
        </is>
      </c>
      <c r="K63" t="inlineStr">
        <is>
          <t>Free State</t>
        </is>
      </c>
      <c r="L63" t="inlineStr">
        <is>
          <t>No</t>
        </is>
      </c>
      <c r="M63" t="inlineStr">
        <is>
          <t>Other service activities</t>
        </is>
      </c>
      <c r="N63" t="inlineStr">
        <is>
          <t>Yes</t>
        </is>
      </c>
      <c r="O63" s="2" t="n">
        <v>46161</v>
      </c>
      <c r="P63" t="inlineStr">
        <is>
          <t>Yes</t>
        </is>
      </c>
      <c r="Q63" t="inlineStr">
        <is>
          <t>23rd Floor Mokhali boardroom, Fidel Castro Building Bloemfontein</t>
        </is>
      </c>
      <c r="R63" s="3" t="inlineStr">
        <is>
          <t>https://www.etenders.gov.za/home/Download/?blobName=42622f59-c45c-49cc-a123-7c6d91a962be.pdf&amp;downloadedFileName=DPWFS%20(T)%20003%202026.pdf</t>
        </is>
      </c>
      <c r="S63" t="inlineStr"/>
      <c r="T63" t="inlineStr"/>
      <c r="U63" t="inlineStr"/>
      <c r="V63" t="inlineStr"/>
      <c r="W63" t="inlineStr"/>
    </row>
    <row r="64">
      <c r="A64" s="2" t="n">
        <v>46163</v>
      </c>
      <c r="B64" t="n">
        <v>42</v>
      </c>
      <c r="C64" t="inlineStr">
        <is>
          <t>H26/005 AI</t>
        </is>
      </c>
      <c r="D64" s="2" t="n">
        <v>46150</v>
      </c>
      <c r="E64" s="2" t="n">
        <v>46175</v>
      </c>
      <c r="F64" t="inlineStr">
        <is>
          <t>11:00</t>
        </is>
      </c>
      <c r="G64" t="inlineStr">
        <is>
          <t>Request for Bid(Open-Tender)</t>
        </is>
      </c>
      <c r="H64" t="inlineStr">
        <is>
          <t>Appointment of five (5) Professional Service providers for the formulation of Project Management Units (PMU's) for a period of five (5) years</t>
        </is>
      </c>
      <c r="I64" t="inlineStr">
        <is>
          <t>ETENDERS.GOV.ZA</t>
        </is>
      </c>
      <c r="J64" t="inlineStr">
        <is>
          <t>Public Works</t>
        </is>
      </c>
      <c r="K64" t="inlineStr">
        <is>
          <t>National</t>
        </is>
      </c>
      <c r="L64" t="inlineStr">
        <is>
          <t>No</t>
        </is>
      </c>
      <c r="M64" t="inlineStr">
        <is>
          <t>Services: Professional</t>
        </is>
      </c>
      <c r="N64" t="inlineStr">
        <is>
          <t>Yes</t>
        </is>
      </c>
      <c r="O64" t="inlineStr">
        <is>
          <t>N/A</t>
        </is>
      </c>
      <c r="P64" t="inlineStr">
        <is>
          <t>Yes</t>
        </is>
      </c>
      <c r="Q64" t="inlineStr">
        <is>
          <t>CGO Building c/o Bosman and Madiba Street</t>
        </is>
      </c>
      <c r="R64" s="3" t="inlineStr">
        <is>
          <t>https://www.etenders.gov.za/home/Download/?blobName=aadef859-05fe-48ef-9e1d-e45e1d77e11e.pdf&amp;downloadedFileName=Tender%20Document.pdf</t>
        </is>
      </c>
      <c r="S64" t="inlineStr"/>
      <c r="T64" t="inlineStr"/>
      <c r="U64" t="inlineStr"/>
      <c r="V64" t="inlineStr"/>
      <c r="W64" t="inlineStr"/>
    </row>
    <row r="65">
      <c r="A65" s="2" t="n">
        <v>46163</v>
      </c>
      <c r="B65" t="n">
        <v>41</v>
      </c>
      <c r="C65" t="inlineStr">
        <is>
          <t>CSIR RFP 3729/08/06/2026</t>
        </is>
      </c>
      <c r="D65" s="2" t="n">
        <v>46150</v>
      </c>
      <c r="E65" s="2" t="n">
        <v>46181</v>
      </c>
      <c r="F65" t="inlineStr">
        <is>
          <t>16:30</t>
        </is>
      </c>
      <c r="G65" t="inlineStr">
        <is>
          <t>Request for Proposal</t>
        </is>
      </c>
      <c r="H65" t="inlineStr">
        <is>
          <t>Request for Proposals (RFP) The Provision of Underwater Measurement Capabilities and Technical Expertise Related to the Development and Testing of Maritime Technology and Underwater Sensors with the CSIR for a Period of 5 Years.</t>
        </is>
      </c>
      <c r="I65" t="inlineStr">
        <is>
          <t>ETENDERS.GOV.ZA</t>
        </is>
      </c>
      <c r="J65" t="inlineStr">
        <is>
          <t>Council for Scientific and Industrial Research (CSIR)</t>
        </is>
      </c>
      <c r="K65" t="inlineStr">
        <is>
          <t>National</t>
        </is>
      </c>
      <c r="L65" t="inlineStr">
        <is>
          <t>No</t>
        </is>
      </c>
      <c r="M65" t="inlineStr">
        <is>
          <t>Professional, scientific and technical activities</t>
        </is>
      </c>
      <c r="N65" t="inlineStr">
        <is>
          <t>No</t>
        </is>
      </c>
      <c r="O65" t="inlineStr">
        <is>
          <t>N/A</t>
        </is>
      </c>
      <c r="P65" t="inlineStr">
        <is>
          <t>No</t>
        </is>
      </c>
      <c r="Q65" t="inlineStr">
        <is>
          <t>N/A</t>
        </is>
      </c>
      <c r="R65" s="3" t="inlineStr">
        <is>
          <t>https://www.etenders.gov.za/home/Download/?blobName=641bdb99-258b-4ecd-8637-b1452e7eede9.pdf&amp;downloadedFileName=RFP%203729-08-06-2026.pdf</t>
        </is>
      </c>
      <c r="S65" t="inlineStr"/>
      <c r="T65" t="inlineStr"/>
      <c r="U65" t="inlineStr"/>
      <c r="V65" t="inlineStr"/>
      <c r="W65" t="inlineStr"/>
    </row>
    <row r="66">
      <c r="A66" s="2" t="n">
        <v>46163</v>
      </c>
      <c r="B66" t="n">
        <v>40</v>
      </c>
      <c r="C66" t="inlineStr">
        <is>
          <t>IHLM/184/2025-26/BTO</t>
        </is>
      </c>
      <c r="D66" s="2" t="n">
        <v>46150</v>
      </c>
      <c r="E66" s="2" t="n">
        <v>46168</v>
      </c>
      <c r="F66" t="inlineStr">
        <is>
          <t>12:00</t>
        </is>
      </c>
      <c r="G66" t="inlineStr">
        <is>
          <t>Request for Bid(Open-Tender)</t>
        </is>
      </c>
      <c r="H66" t="inlineStr">
        <is>
          <t>COMPILATION OF AFS FOR 2025-26 FINANCIAL YEAR</t>
        </is>
      </c>
      <c r="I66" t="inlineStr">
        <is>
          <t>ETENDERS.GOV.ZA</t>
        </is>
      </c>
      <c r="J66" t="inlineStr">
        <is>
          <t>Ingquza Hill Local Municipality</t>
        </is>
      </c>
      <c r="K66" t="inlineStr">
        <is>
          <t>Eastern Cape</t>
        </is>
      </c>
      <c r="L66" t="inlineStr">
        <is>
          <t>No</t>
        </is>
      </c>
      <c r="M66" t="inlineStr">
        <is>
          <t>Financial service activities, except insurance and pension funding</t>
        </is>
      </c>
      <c r="N66" t="inlineStr">
        <is>
          <t>No</t>
        </is>
      </c>
      <c r="O66" t="inlineStr">
        <is>
          <t>N/A</t>
        </is>
      </c>
      <c r="P66" t="inlineStr">
        <is>
          <t>No</t>
        </is>
      </c>
      <c r="Q66" t="inlineStr">
        <is>
          <t>N/A</t>
        </is>
      </c>
      <c r="R66" s="3" t="inlineStr">
        <is>
          <t>https://www.etenders.gov.za/home/Download/?blobName=cfa11e4e-a9a0-41a3-b573-07fc5f8f5e78.pdf&amp;downloadedFileName=TENDER%20DOCUMENT%20COMPILATION%20OF%20AFS%202026.pdf</t>
        </is>
      </c>
      <c r="S66" t="inlineStr"/>
      <c r="T66" t="inlineStr"/>
      <c r="U66" t="inlineStr"/>
      <c r="V66" t="inlineStr"/>
      <c r="W66" t="inlineStr"/>
    </row>
    <row r="67">
      <c r="A67" s="2" t="n">
        <v>46163</v>
      </c>
      <c r="B67" t="n">
        <v>39</v>
      </c>
      <c r="C67" t="inlineStr">
        <is>
          <t>RFQ BB 30/2026</t>
        </is>
      </c>
      <c r="D67" s="2" t="n">
        <v>46150</v>
      </c>
      <c r="E67" s="2" t="n">
        <v>46167</v>
      </c>
      <c r="F67" t="inlineStr">
        <is>
          <t>11:00</t>
        </is>
      </c>
      <c r="G67" t="inlineStr">
        <is>
          <t>Request for Quotation</t>
        </is>
      </c>
      <c r="H67" t="inlineStr">
        <is>
          <t>THE APPOINTMENT OF A SERVICE PROVIDER FOR THE SUPPLY AND REPLACEMENT OF AN AIR CONDITIONER AT THE HESSEQUA CAMPUS, SOUTH CAPE TVET COLLEGE. 1ME OR HIGHER.</t>
        </is>
      </c>
      <c r="I67" t="inlineStr">
        <is>
          <t>ETENDERS.GOV.ZA</t>
        </is>
      </c>
      <c r="J67" t="inlineStr">
        <is>
          <t>South Cape TVET College</t>
        </is>
      </c>
      <c r="K67" t="inlineStr">
        <is>
          <t>Western Cape</t>
        </is>
      </c>
      <c r="L67" t="inlineStr">
        <is>
          <t>No</t>
        </is>
      </c>
      <c r="M67" t="inlineStr">
        <is>
          <t>Electricity, gas, steam and air conditioning</t>
        </is>
      </c>
      <c r="N67" t="inlineStr">
        <is>
          <t>No</t>
        </is>
      </c>
      <c r="O67" t="inlineStr">
        <is>
          <t>N/A</t>
        </is>
      </c>
      <c r="P67" t="inlineStr">
        <is>
          <t>No</t>
        </is>
      </c>
      <c r="Q67" t="inlineStr">
        <is>
          <t>N/A</t>
        </is>
      </c>
      <c r="R67" s="3" t="inlineStr">
        <is>
          <t>https://www.etenders.gov.za/home/Download/?blobName=d8925a01-0ea4-4fe2-b234-e3fc35972098.pdf&amp;downloadedFileName=Bid%20Document%20RFQ%20BB%2030%202026.pdf</t>
        </is>
      </c>
      <c r="S67" t="inlineStr"/>
      <c r="T67" t="inlineStr"/>
      <c r="U67" t="inlineStr"/>
      <c r="V67" t="inlineStr"/>
      <c r="W67" t="inlineStr"/>
    </row>
    <row r="68">
      <c r="A68" s="2" t="n">
        <v>46163</v>
      </c>
      <c r="B68" t="n">
        <v>38</v>
      </c>
      <c r="C68" t="inlineStr">
        <is>
          <t>QCTO RFQ 05/2026</t>
        </is>
      </c>
      <c r="D68" s="2" t="n">
        <v>46150</v>
      </c>
      <c r="E68" s="2" t="n">
        <v>46164</v>
      </c>
      <c r="F68" t="inlineStr">
        <is>
          <t>11:00</t>
        </is>
      </c>
      <c r="G68" t="inlineStr">
        <is>
          <t>Request for Quotation</t>
        </is>
      </c>
      <c r="H68" t="inlineStr">
        <is>
          <t>SUPPLY LICENSES, INSTALL, CONFIGURE, AND SUPPORT A VULNERABILITY ASSESSMENT TOOL (NESSUS OR EQUIVALENT) FOR 24 MONTHS</t>
        </is>
      </c>
      <c r="I68" t="inlineStr">
        <is>
          <t>ETENDERS.GOV.ZA</t>
        </is>
      </c>
      <c r="J68" t="inlineStr">
        <is>
          <t>Quality Council for Trades and Occupations</t>
        </is>
      </c>
      <c r="K68" t="inlineStr">
        <is>
          <t>Gauteng</t>
        </is>
      </c>
      <c r="L68" t="inlineStr">
        <is>
          <t>No</t>
        </is>
      </c>
      <c r="M68" t="inlineStr">
        <is>
          <t>Services: Professional</t>
        </is>
      </c>
      <c r="N68" t="inlineStr">
        <is>
          <t>No</t>
        </is>
      </c>
      <c r="O68" t="inlineStr">
        <is>
          <t>N/A</t>
        </is>
      </c>
      <c r="P68" t="inlineStr">
        <is>
          <t>No</t>
        </is>
      </c>
      <c r="Q68" t="inlineStr">
        <is>
          <t>N/A</t>
        </is>
      </c>
      <c r="R68" s="3" t="inlineStr">
        <is>
          <t>https://www.etenders.gov.za/home/Download/?blobName=f94d8ad7-3836-45d1-8195-5c16c18bf34e.pdf&amp;downloadedFileName=RFQ%20-%20VAPT%20Tool.pdf</t>
        </is>
      </c>
      <c r="S68" t="inlineStr"/>
      <c r="T68" t="inlineStr"/>
      <c r="U68" t="inlineStr"/>
      <c r="V68" t="inlineStr"/>
      <c r="W68" t="inlineStr"/>
    </row>
    <row r="69">
      <c r="A69" s="2" t="n">
        <v>46163</v>
      </c>
      <c r="B69" t="n">
        <v>37</v>
      </c>
      <c r="C69" t="inlineStr">
        <is>
          <t>CTIA8137/2026/RFP</t>
        </is>
      </c>
      <c r="D69" s="2" t="n">
        <v>46150</v>
      </c>
      <c r="E69" s="2" t="n">
        <v>46185</v>
      </c>
      <c r="F69" t="inlineStr">
        <is>
          <t>12:00</t>
        </is>
      </c>
      <c r="G69" t="inlineStr">
        <is>
          <t>Request for Bid(Open-Tender)</t>
        </is>
      </c>
      <c r="H69" t="inlineStr">
        <is>
          <t>Tender for The Preventative and Corrective Maintenance of Power Reticulation network (MV &amp; LV) at Cape Town International Airport for a Period of 5 years</t>
        </is>
      </c>
      <c r="I69" t="inlineStr">
        <is>
          <t>ETENDERS.GOV.ZA</t>
        </is>
      </c>
      <c r="J69" t="inlineStr">
        <is>
          <t>Airports Company of South Africa</t>
        </is>
      </c>
      <c r="K69" t="inlineStr">
        <is>
          <t>Western Cape</t>
        </is>
      </c>
      <c r="L69" t="inlineStr">
        <is>
          <t>No</t>
        </is>
      </c>
      <c r="M69" t="inlineStr">
        <is>
          <t>Services: Electrical</t>
        </is>
      </c>
      <c r="N69" t="inlineStr">
        <is>
          <t>Yes</t>
        </is>
      </c>
      <c r="O69" t="inlineStr">
        <is>
          <t>N/A</t>
        </is>
      </c>
      <c r="P69" t="inlineStr">
        <is>
          <t>Yes</t>
        </is>
      </c>
      <c r="Q69" t="inlineStr">
        <is>
          <t>SOUTHERN OFFICE BLOCK BUILDING – Ground Floor – Cape Town International Airport – Matroosfontein</t>
        </is>
      </c>
      <c r="R69" s="3" t="inlineStr">
        <is>
          <t>https://www.etenders.gov.za/home/Download/?blobName=fcb4d563-cb8e-47d7-b72b-e42cf53a71dd.pdf&amp;downloadedFileName=T010P%20EMS%20Policy%20Statement%20%20(2).pdf</t>
        </is>
      </c>
      <c r="S69" t="inlineStr"/>
      <c r="T69" t="inlineStr"/>
      <c r="U69" t="inlineStr"/>
      <c r="V69" t="inlineStr"/>
      <c r="W69" t="inlineStr"/>
    </row>
    <row r="70">
      <c r="A70" s="2" t="n">
        <v>46163</v>
      </c>
      <c r="B70" t="n">
        <v>36</v>
      </c>
      <c r="C70" t="inlineStr">
        <is>
          <t>SCM/TSW/22/2025-2026</t>
        </is>
      </c>
      <c r="D70" s="2" t="n">
        <v>46150</v>
      </c>
      <c r="E70" s="2" t="n">
        <v>46181</v>
      </c>
      <c r="F70" t="inlineStr">
        <is>
          <t>12:00</t>
        </is>
      </c>
      <c r="G70" t="inlineStr">
        <is>
          <t>Request for Bid(Open-Tender)</t>
        </is>
      </c>
      <c r="H70" t="inlineStr">
        <is>
          <t>APPOINTMENT OF SERVICE PROVIDER FOR PROVISION OF AN ELECTRONIC PERFORMANCE MANAGEMENT SYSTEM AT TSWELOPELE LOCAL MUNICIPALIY FOR A PERIOD OF THREE (3).</t>
        </is>
      </c>
      <c r="I70" t="inlineStr">
        <is>
          <t>ETENDERS.GOV.ZA</t>
        </is>
      </c>
      <c r="J70" t="inlineStr">
        <is>
          <t>Tswelopele Local Municipality</t>
        </is>
      </c>
      <c r="K70" t="inlineStr">
        <is>
          <t>Free State</t>
        </is>
      </c>
      <c r="L70" t="inlineStr">
        <is>
          <t>No</t>
        </is>
      </c>
      <c r="M70" t="inlineStr">
        <is>
          <t>Professional, scientific and technical activities</t>
        </is>
      </c>
      <c r="N70" t="inlineStr">
        <is>
          <t>No</t>
        </is>
      </c>
      <c r="O70" t="inlineStr">
        <is>
          <t>N/A</t>
        </is>
      </c>
      <c r="P70" t="inlineStr">
        <is>
          <t>No</t>
        </is>
      </c>
      <c r="Q70" t="inlineStr">
        <is>
          <t>N/A</t>
        </is>
      </c>
      <c r="R70" s="3" t="inlineStr">
        <is>
          <t>https://www.etenders.gov.za/home/Download/?blobName=c9574dac-ce2d-43e0-8570-5f8950c35ef1.pdf&amp;downloadedFileName=Tender%20document%20-%20SCM-TSW-22-2025-2026%20-%20%20ELECTRONIC%20PERFORMANCE%20MANAGEMENT%20SYSTEM.pdf</t>
        </is>
      </c>
      <c r="S70" t="inlineStr"/>
      <c r="T70" t="inlineStr"/>
      <c r="U70" t="inlineStr"/>
      <c r="V70" t="inlineStr"/>
      <c r="W70" t="inlineStr"/>
    </row>
    <row r="71">
      <c r="A71" s="2" t="n">
        <v>46163</v>
      </c>
      <c r="B71" t="n">
        <v>35</v>
      </c>
      <c r="C71" t="inlineStr">
        <is>
          <t>07/2026</t>
        </is>
      </c>
      <c r="D71" s="2" t="n">
        <v>46150</v>
      </c>
      <c r="E71" s="2" t="n">
        <v>46182</v>
      </c>
      <c r="F71" t="inlineStr">
        <is>
          <t>11:00</t>
        </is>
      </c>
      <c r="G71" t="inlineStr">
        <is>
          <t>Request for Bid(Open-Tender)</t>
        </is>
      </c>
      <c r="H71" t="inlineStr">
        <is>
          <t>PROVISION OF OFFICE ACCOMMODATION FOR A PERIOD OF UP TO FIVE (5) YEARS IN RESPECT OF LEBOWAKGOMO SATELLITE OFFICE</t>
        </is>
      </c>
      <c r="I71" t="inlineStr">
        <is>
          <t>ETENDERS.GOV.ZA</t>
        </is>
      </c>
      <c r="J71" t="inlineStr">
        <is>
          <t>Legal Aid South Africa</t>
        </is>
      </c>
      <c r="K71" t="inlineStr">
        <is>
          <t>Limpopo</t>
        </is>
      </c>
      <c r="L71" t="inlineStr">
        <is>
          <t>No</t>
        </is>
      </c>
      <c r="M71" t="inlineStr">
        <is>
          <t>Accommodation</t>
        </is>
      </c>
      <c r="N71" t="inlineStr">
        <is>
          <t>Yes</t>
        </is>
      </c>
      <c r="O71" s="2" t="n">
        <v>46157</v>
      </c>
      <c r="P71" t="inlineStr">
        <is>
          <t>No</t>
        </is>
      </c>
      <c r="Q71" t="inlineStr">
        <is>
          <t>1st Floor, Old Mutual Building, Lebowakgomo, Senwabarwana</t>
        </is>
      </c>
      <c r="R71" s="3" t="inlineStr">
        <is>
          <t>https://www.etenders.gov.za/home/Download/?blobName=06924233-36a4-4f66-868f-38c20c1e8155.pdf&amp;downloadedFileName=Annexure%20B%20Request%20For%20Proposal%20Completion%20of%20Documents.pdf</t>
        </is>
      </c>
      <c r="S71" t="inlineStr"/>
      <c r="T71" t="inlineStr"/>
      <c r="U71" t="inlineStr"/>
      <c r="V71" t="inlineStr"/>
      <c r="W71" t="inlineStr"/>
    </row>
    <row r="72">
      <c r="A72" s="2" t="n">
        <v>46163</v>
      </c>
      <c r="B72" t="n">
        <v>34</v>
      </c>
      <c r="C72" t="inlineStr">
        <is>
          <t>RFP06-2026 Advert</t>
        </is>
      </c>
      <c r="D72" s="2" t="n">
        <v>46150</v>
      </c>
      <c r="E72" s="2" t="n">
        <v>46181</v>
      </c>
      <c r="F72" t="inlineStr">
        <is>
          <t>12:00</t>
        </is>
      </c>
      <c r="G72" t="inlineStr">
        <is>
          <t>Request for Bid(Open-Tender)</t>
        </is>
      </c>
      <c r="H72" t="inlineStr">
        <is>
          <t>APPOINTMENT OF SERVICE PROVIDER TO SUPPLY AND DELIVER OF EPWP PROJECT TOOLS AND EQUIPMENTS ISIMANGALISO WETLAND PARK AUTHORITY</t>
        </is>
      </c>
      <c r="I72" t="inlineStr">
        <is>
          <t>ETENDERS.GOV.ZA</t>
        </is>
      </c>
      <c r="J72" t="inlineStr">
        <is>
          <t>iSimangaliso Wetland Park</t>
        </is>
      </c>
      <c r="K72" t="inlineStr">
        <is>
          <t>KwaZulu-Natal</t>
        </is>
      </c>
      <c r="L72" t="inlineStr">
        <is>
          <t>No</t>
        </is>
      </c>
      <c r="M72" t="inlineStr">
        <is>
          <t>Supplies: General</t>
        </is>
      </c>
      <c r="N72" t="inlineStr">
        <is>
          <t>No</t>
        </is>
      </c>
      <c r="O72" t="inlineStr">
        <is>
          <t>N/A</t>
        </is>
      </c>
      <c r="P72" t="inlineStr">
        <is>
          <t>No</t>
        </is>
      </c>
      <c r="Q72" t="inlineStr">
        <is>
          <t>N/A</t>
        </is>
      </c>
      <c r="R72" s="3" t="inlineStr">
        <is>
          <t>https://www.etenders.gov.za/home/Download/?blobName=d42914c2-c47d-4193-85d8-75402b480194.pdf&amp;downloadedFileName=RFP%2006-2026%20Addendum.pdf</t>
        </is>
      </c>
      <c r="S72" t="inlineStr"/>
      <c r="T72" t="inlineStr"/>
      <c r="U72" t="inlineStr"/>
      <c r="V72" t="inlineStr"/>
      <c r="W72" t="inlineStr"/>
    </row>
    <row r="73">
      <c r="A73" s="2" t="n">
        <v>46163</v>
      </c>
      <c r="B73" t="n">
        <v>33</v>
      </c>
      <c r="C73" t="inlineStr">
        <is>
          <t>TENDER 8/3/26-2026 / MN91-2026</t>
        </is>
      </c>
      <c r="D73" s="2" t="n">
        <v>46150</v>
      </c>
      <c r="E73" s="2" t="n">
        <v>46178</v>
      </c>
      <c r="F73" t="inlineStr">
        <is>
          <t>12:00</t>
        </is>
      </c>
      <c r="G73" t="inlineStr">
        <is>
          <t>Request for Bid(Open-Tender)</t>
        </is>
      </c>
      <c r="H73" t="inlineStr">
        <is>
          <t>SUPPLY AND DELIVERY OF BITUMINOUS PRODUCTS FOR BERGRIVIER MUNICIPALITY FROM 1ST OF JULY 2026 UNTIL 30 JUNE 2027</t>
        </is>
      </c>
      <c r="I73" t="inlineStr">
        <is>
          <t>ETENDERS.GOV.ZA</t>
        </is>
      </c>
      <c r="J73" t="inlineStr">
        <is>
          <t>Bergrivier - WC Local Municipality</t>
        </is>
      </c>
      <c r="K73" t="inlineStr">
        <is>
          <t>Western Cape</t>
        </is>
      </c>
      <c r="L73" t="inlineStr">
        <is>
          <t>No</t>
        </is>
      </c>
      <c r="M73" t="inlineStr">
        <is>
          <t>Other service activities</t>
        </is>
      </c>
      <c r="N73" t="inlineStr">
        <is>
          <t>No</t>
        </is>
      </c>
      <c r="O73" t="inlineStr">
        <is>
          <t>N/A</t>
        </is>
      </c>
      <c r="P73" t="inlineStr">
        <is>
          <t>No</t>
        </is>
      </c>
      <c r="Q73" t="inlineStr">
        <is>
          <t>N/A</t>
        </is>
      </c>
      <c r="R73" s="3" t="inlineStr">
        <is>
          <t>https://www.etenders.gov.za/home/Download/?blobName=f22abe39-6326-468e-952c-1a79449a3737.pdf&amp;downloadedFileName=Tender%20Document%208.3.26-2026%20MN91-2026.pdf</t>
        </is>
      </c>
      <c r="S73" t="inlineStr"/>
      <c r="T73" t="inlineStr"/>
      <c r="U73" t="inlineStr"/>
      <c r="V73" t="inlineStr"/>
      <c r="W73" t="inlineStr"/>
    </row>
    <row r="74">
      <c r="A74" s="2" t="n">
        <v>46163</v>
      </c>
      <c r="B74" t="n">
        <v>32</v>
      </c>
      <c r="C74" t="inlineStr">
        <is>
          <t>NLM/TS/RACRCH/2025/2026/01</t>
        </is>
      </c>
      <c r="D74" s="2" t="n">
        <v>46150</v>
      </c>
      <c r="E74" s="2" t="n">
        <v>46168</v>
      </c>
      <c r="F74" t="inlineStr">
        <is>
          <t>12:00</t>
        </is>
      </c>
      <c r="G74" t="inlineStr">
        <is>
          <t>Request for Bid(Open-Tender)</t>
        </is>
      </c>
      <c r="H74" t="inlineStr">
        <is>
          <t>Re-Advert of Construction of Rhwantsana Community Hall in ward 4</t>
        </is>
      </c>
      <c r="I74" t="inlineStr">
        <is>
          <t>ETENDERS.GOV.ZA</t>
        </is>
      </c>
      <c r="J74" t="inlineStr">
        <is>
          <t>Ntabankulu Local Municipality</t>
        </is>
      </c>
      <c r="K74" t="inlineStr">
        <is>
          <t>Eastern Cape</t>
        </is>
      </c>
      <c r="L74" t="inlineStr">
        <is>
          <t>No</t>
        </is>
      </c>
      <c r="M74" t="inlineStr">
        <is>
          <t>Construction of buildings</t>
        </is>
      </c>
      <c r="N74" t="inlineStr">
        <is>
          <t>Yes</t>
        </is>
      </c>
      <c r="O74" t="inlineStr">
        <is>
          <t>N/A</t>
        </is>
      </c>
      <c r="P74" t="inlineStr">
        <is>
          <t>Yes</t>
        </is>
      </c>
      <c r="Q74" t="inlineStr">
        <is>
          <t>Erf 85 Main Street, Ntabankulu Local Municipality, Ntabankulu Town Hall</t>
        </is>
      </c>
      <c r="R74" s="3" t="inlineStr">
        <is>
          <t>https://www.etenders.gov.za/home/Download/?blobName=e5e5f245-d08d-4017-8e56-f7a97244e448.pdf&amp;downloadedFileName=Bid%20Invitation%20for%20Re%20Advert%20for%20Construction%20of%20Rhwantsa%20Community%20Hall.pdf</t>
        </is>
      </c>
      <c r="S74" t="inlineStr"/>
      <c r="T74" t="inlineStr"/>
      <c r="U74" t="inlineStr"/>
      <c r="V74" t="inlineStr"/>
      <c r="W74" t="inlineStr"/>
    </row>
    <row r="75">
      <c r="A75" s="2" t="n">
        <v>46163</v>
      </c>
      <c r="B75" t="n">
        <v>31</v>
      </c>
      <c r="C75" t="inlineStr">
        <is>
          <t>SRVM RFQ 23/2026B</t>
        </is>
      </c>
      <c r="D75" s="2" t="n">
        <v>46150</v>
      </c>
      <c r="E75" s="2" t="n">
        <v>46167</v>
      </c>
      <c r="F75" t="inlineStr">
        <is>
          <t>12:00</t>
        </is>
      </c>
      <c r="G75" t="inlineStr">
        <is>
          <t>Request for Quotation</t>
        </is>
      </c>
      <c r="H75" t="inlineStr">
        <is>
          <t>RE-ADVERTISEMENT 0F SUPPLY, DELIVER AND INSTALLATION OF 18 SPLIT PREPAID SINGLE-PHASE METERS AT THE SWIMMING POOL</t>
        </is>
      </c>
      <c r="I75" t="inlineStr">
        <is>
          <t>ETENDERS.GOV.ZA</t>
        </is>
      </c>
      <c r="J75" t="inlineStr">
        <is>
          <t>Sundays River Valley Municipality</t>
        </is>
      </c>
      <c r="K75" t="inlineStr">
        <is>
          <t>Eastern Cape</t>
        </is>
      </c>
      <c r="L75" t="inlineStr">
        <is>
          <t>No</t>
        </is>
      </c>
      <c r="M75" t="inlineStr">
        <is>
          <t>Supplies: Electrical Equipment</t>
        </is>
      </c>
      <c r="N75" t="inlineStr">
        <is>
          <t>Yes</t>
        </is>
      </c>
      <c r="O75" s="2" t="n">
        <v>46160</v>
      </c>
      <c r="P75" t="inlineStr">
        <is>
          <t>Yes</t>
        </is>
      </c>
      <c r="Q75" t="inlineStr">
        <is>
          <t>SWIMMING POOL OF SRVM, MAIN ROAD, NQWEBA</t>
        </is>
      </c>
      <c r="R75" s="3" t="inlineStr">
        <is>
          <t>https://www.etenders.gov.za/home/Download/?blobName=7942080c-faef-4cd1-944c-1e2bce340860.pdf&amp;downloadedFileName=RE-ADVERT%20SUPPLY,%20DELIVER%20AND%20INSTALLATION%20OF%2018%20SPLIT%20PREPAID%20SINGLE-PHASE%20METERS%20AT%20THE%20SWIMMING%20POOL.pdf</t>
        </is>
      </c>
      <c r="S75" t="inlineStr"/>
      <c r="T75" t="inlineStr"/>
      <c r="U75" t="inlineStr"/>
      <c r="V75" t="inlineStr"/>
      <c r="W75" t="inlineStr"/>
    </row>
    <row r="76">
      <c r="A76" s="2" t="n">
        <v>46163</v>
      </c>
      <c r="B76" t="n">
        <v>30</v>
      </c>
      <c r="C76" t="inlineStr">
        <is>
          <t>BV1063/2026</t>
        </is>
      </c>
      <c r="D76" s="2" t="n">
        <v>46150</v>
      </c>
      <c r="E76" s="2" t="n">
        <v>46185</v>
      </c>
      <c r="F76" t="inlineStr">
        <is>
          <t>11:00</t>
        </is>
      </c>
      <c r="G76" t="inlineStr">
        <is>
          <t>Request for Bid(Open-Tender)</t>
        </is>
      </c>
      <c r="H76" t="inlineStr">
        <is>
          <t>INSTALLATION, COMMISSIONING AND MAINTENANCE OF LARGE POWER METERING UNITS</t>
        </is>
      </c>
      <c r="I76" t="inlineStr">
        <is>
          <t>ETENDERS.GOV.ZA</t>
        </is>
      </c>
      <c r="J76" t="inlineStr">
        <is>
          <t>Breede Valley Municipality</t>
        </is>
      </c>
      <c r="K76" t="inlineStr">
        <is>
          <t>Western Cape</t>
        </is>
      </c>
      <c r="L76" t="inlineStr">
        <is>
          <t>No</t>
        </is>
      </c>
      <c r="M76" t="inlineStr">
        <is>
          <t>Services: Electrical</t>
        </is>
      </c>
      <c r="N76" t="inlineStr">
        <is>
          <t>Yes</t>
        </is>
      </c>
      <c r="O76" s="2" t="n">
        <v>46162</v>
      </c>
      <c r="P76" t="inlineStr">
        <is>
          <t>Yes</t>
        </is>
      </c>
      <c r="Q76" t="inlineStr">
        <is>
          <t>SCM boardroom, Supply Chain Building, 51B Baring Street, Worcester</t>
        </is>
      </c>
      <c r="R76" s="3" t="inlineStr">
        <is>
          <t>https://www.etenders.gov.za/home/Download/?blobName=c1fa6eda-263d-4876-8bc0-fe2f3df88d3c.pdf&amp;downloadedFileName=Bid%20Notice%20BV1063.pdf</t>
        </is>
      </c>
      <c r="S76" t="inlineStr"/>
      <c r="T76" t="inlineStr"/>
      <c r="U76" t="inlineStr"/>
      <c r="V76" t="inlineStr"/>
      <c r="W76" t="inlineStr"/>
    </row>
    <row r="77">
      <c r="A77" s="2" t="n">
        <v>46163</v>
      </c>
      <c r="B77" t="n">
        <v>29</v>
      </c>
      <c r="C77" t="inlineStr">
        <is>
          <t>PPA - 123642</t>
        </is>
      </c>
      <c r="D77" s="2" t="n">
        <v>46150</v>
      </c>
      <c r="E77" s="2" t="n">
        <v>46168</v>
      </c>
      <c r="F77" t="inlineStr">
        <is>
          <t>12:00</t>
        </is>
      </c>
      <c r="G77" t="inlineStr">
        <is>
          <t>Request for Proposal</t>
        </is>
      </c>
      <c r="H77" t="inlineStr">
        <is>
          <t>Description of the works: Gallery cladding for Transnet SOC LTD (reg. n0 1990/000900/30) operating as Transnet Port Terminals (hereinafter referred to as “TPT”) for Port of Richards Bay — Port Rail Terminal (PRT) MAGNETITE SHUTDOWN, as once off.</t>
        </is>
      </c>
      <c r="I77" t="inlineStr">
        <is>
          <t>ETENDERS.GOV.ZA</t>
        </is>
      </c>
      <c r="J77" t="inlineStr">
        <is>
          <t>Transnet SOC Ltd</t>
        </is>
      </c>
      <c r="K77" t="inlineStr">
        <is>
          <t>KwaZulu-Natal</t>
        </is>
      </c>
      <c r="L77" t="inlineStr">
        <is>
          <t>No</t>
        </is>
      </c>
      <c r="M77" t="inlineStr">
        <is>
          <t>Construction of buildings</t>
        </is>
      </c>
      <c r="N77" t="inlineStr">
        <is>
          <t>Yes</t>
        </is>
      </c>
      <c r="O77" s="2" t="n">
        <v>46157</v>
      </c>
      <c r="P77" t="inlineStr">
        <is>
          <t>Yes</t>
        </is>
      </c>
      <c r="Q77" t="inlineStr">
        <is>
          <t>Transnet Port Terminal (Habour) Mhlathuze Building in Port of Richards Bay</t>
        </is>
      </c>
      <c r="R77" s="3" t="inlineStr">
        <is>
          <t>https://www.etenders.gov.za/home/Download/?blobName=1e72f39a-23ae-495e-a461-1b08b3679afa.pdf&amp;downloadedFileName=CIDB%20project%20-%20Gallery%20cladding%20-%20Magnetite%20shutdown.pdf</t>
        </is>
      </c>
      <c r="S77" t="inlineStr"/>
      <c r="T77" t="inlineStr"/>
      <c r="U77" t="inlineStr"/>
      <c r="V77" t="inlineStr"/>
      <c r="W77" t="inlineStr"/>
    </row>
    <row r="78">
      <c r="A78" s="2" t="n">
        <v>46163</v>
      </c>
      <c r="B78" t="n">
        <v>28</v>
      </c>
      <c r="C78" t="inlineStr">
        <is>
          <t>E2882CXMWP</t>
        </is>
      </c>
      <c r="D78" s="2" t="n">
        <v>46150</v>
      </c>
      <c r="E78" s="2" t="n">
        <v>46179</v>
      </c>
      <c r="F78" t="inlineStr">
        <is>
          <t>10:00</t>
        </is>
      </c>
      <c r="G78" t="inlineStr">
        <is>
          <t>Request for Bid(Open-Tender)</t>
        </is>
      </c>
      <c r="H78" t="inlineStr">
        <is>
          <t>Provision of analytical services – Toxicity analysis and reporting for a period of three (03) years on an ’as and when’ required basis</t>
        </is>
      </c>
      <c r="I78" t="inlineStr">
        <is>
          <t>ETENDERS.GOV.ZA</t>
        </is>
      </c>
      <c r="J78" t="inlineStr">
        <is>
          <t>ESKOM</t>
        </is>
      </c>
      <c r="K78" t="inlineStr">
        <is>
          <t>Gauteng</t>
        </is>
      </c>
      <c r="L78" t="inlineStr">
        <is>
          <t>No</t>
        </is>
      </c>
      <c r="M78" t="inlineStr">
        <is>
          <t>Education</t>
        </is>
      </c>
      <c r="N78" t="inlineStr">
        <is>
          <t>Yes</t>
        </is>
      </c>
      <c r="O78" s="2" t="n">
        <v>46155</v>
      </c>
      <c r="P78" t="inlineStr">
        <is>
          <t>No</t>
        </is>
      </c>
      <c r="Q78" t="inlineStr">
        <is>
          <t>MS TEAMS</t>
        </is>
      </c>
      <c r="R78" s="3" t="inlineStr">
        <is>
          <t>https://www.etenders.gov.za/home/Download/?blobName=63701dc3-fb93-40b6-8194-fa6ae06a8789.pdf&amp;downloadedFileName=Integrity%20Declaration%20Form.pdf</t>
        </is>
      </c>
      <c r="S78" t="inlineStr"/>
      <c r="T78" t="inlineStr"/>
      <c r="U78" t="inlineStr"/>
      <c r="V78" t="inlineStr"/>
      <c r="W78" t="inlineStr"/>
    </row>
    <row r="79">
      <c r="A79" s="2" t="n">
        <v>46163</v>
      </c>
      <c r="B79" t="n">
        <v>27</v>
      </c>
      <c r="C79" t="inlineStr">
        <is>
          <t>05/2026</t>
        </is>
      </c>
      <c r="D79" s="2" t="n">
        <v>46150</v>
      </c>
      <c r="E79" s="2" t="n">
        <v>46182</v>
      </c>
      <c r="F79" t="inlineStr">
        <is>
          <t>11:00</t>
        </is>
      </c>
      <c r="G79" t="inlineStr">
        <is>
          <t>Request for Bid(Open-Tender)</t>
        </is>
      </c>
      <c r="H79" t="inlineStr">
        <is>
          <t>PROVISION OF OFFICE ACCOMMODATION FOR A PERIOD OF UP TO FIVE (5) YEARS IN RESPECT OF PHALABORWA SATELLITE OFFICE</t>
        </is>
      </c>
      <c r="I79" t="inlineStr">
        <is>
          <t>ETENDERS.GOV.ZA</t>
        </is>
      </c>
      <c r="J79" t="inlineStr">
        <is>
          <t>Legal Aid South Africa</t>
        </is>
      </c>
      <c r="K79" t="inlineStr">
        <is>
          <t>Limpopo</t>
        </is>
      </c>
      <c r="L79" t="inlineStr">
        <is>
          <t>No</t>
        </is>
      </c>
      <c r="M79" t="inlineStr">
        <is>
          <t>Accommodation</t>
        </is>
      </c>
      <c r="N79" t="inlineStr">
        <is>
          <t>Yes</t>
        </is>
      </c>
      <c r="O79" s="2" t="n">
        <v>46156</v>
      </c>
      <c r="P79" t="inlineStr">
        <is>
          <t>No</t>
        </is>
      </c>
      <c r="Q79" t="inlineStr">
        <is>
          <t>Shop 4, 32 Wildevey Street, Phalaborwa, 1390</t>
        </is>
      </c>
      <c r="R79" s="3" t="inlineStr">
        <is>
          <t>https://www.etenders.gov.za/home/Download/?blobName=90835094-9846-4fae-aa4f-b63913e45711.pdf&amp;downloadedFileName=RFP%20-%20Property%20Leasing%20Phalaborwa%20Satellite%20Office.pdf</t>
        </is>
      </c>
      <c r="S79" t="inlineStr"/>
      <c r="T79" t="inlineStr"/>
      <c r="U79" t="inlineStr"/>
      <c r="V79" t="inlineStr"/>
      <c r="W79" t="inlineStr"/>
    </row>
    <row r="80">
      <c r="A80" s="2" t="n">
        <v>46163</v>
      </c>
      <c r="B80" t="n">
        <v>26</v>
      </c>
      <c r="C80" t="inlineStr">
        <is>
          <t>UMUZ-02-2025</t>
        </is>
      </c>
      <c r="D80" s="2" t="n">
        <v>46150</v>
      </c>
      <c r="E80" s="2" t="n">
        <v>46182</v>
      </c>
      <c r="F80" t="inlineStr">
        <is>
          <t>12:00</t>
        </is>
      </c>
      <c r="G80" t="inlineStr">
        <is>
          <t>Request for Bid(Open-Tender)</t>
        </is>
      </c>
      <c r="H80" t="inlineStr">
        <is>
          <t>RE-ADVERT PANEL OF LEGAL ADVISORY TO UMUZIWABANTU MUNICIPALITY FOR 36 MONTHS</t>
        </is>
      </c>
      <c r="I80" t="inlineStr">
        <is>
          <t>ETENDERS.GOV.ZA</t>
        </is>
      </c>
      <c r="J80" t="inlineStr">
        <is>
          <t>Umuziwabantu Local Municipality</t>
        </is>
      </c>
      <c r="K80" t="inlineStr">
        <is>
          <t>KwaZulu-Natal</t>
        </is>
      </c>
      <c r="L80" t="inlineStr">
        <is>
          <t>No</t>
        </is>
      </c>
      <c r="M80" t="inlineStr">
        <is>
          <t>Legal and accounting activities</t>
        </is>
      </c>
      <c r="N80" t="inlineStr">
        <is>
          <t>Yes</t>
        </is>
      </c>
      <c r="O80" s="2" t="n">
        <v>46160</v>
      </c>
      <c r="P80" t="inlineStr">
        <is>
          <t>Yes</t>
        </is>
      </c>
      <c r="Q80" t="inlineStr">
        <is>
          <t>LIBRARY ACTIVITY ROOM</t>
        </is>
      </c>
      <c r="R80" s="3" t="inlineStr">
        <is>
          <t>https://www.etenders.gov.za/home/Download/?blobName=3542a9f1-1d2b-469c-8538-5a3d90a062a6.pdf&amp;downloadedFileName=RE-ADVERT%20LEGAL%20SERVICES%20%20UMUZ-02-2025.pdf</t>
        </is>
      </c>
      <c r="S80" t="inlineStr"/>
      <c r="T80" t="inlineStr"/>
      <c r="U80" t="inlineStr"/>
      <c r="V80" t="inlineStr"/>
      <c r="W80" t="inlineStr"/>
    </row>
    <row r="81">
      <c r="A81" s="2" t="n">
        <v>46163</v>
      </c>
      <c r="B81" t="n">
        <v>25</v>
      </c>
      <c r="C81" t="inlineStr">
        <is>
          <t>DHA04-2026</t>
        </is>
      </c>
      <c r="D81" s="2" t="n">
        <v>46150</v>
      </c>
      <c r="E81" s="2" t="n">
        <v>46171</v>
      </c>
      <c r="F81" t="inlineStr">
        <is>
          <t>11:00</t>
        </is>
      </c>
      <c r="G81" t="inlineStr">
        <is>
          <t>SITA contract</t>
        </is>
      </c>
      <c r="H81" t="inlineStr">
        <is>
          <t>APPOINTMENT OF A SERVICE PROVIDER FROM SITA RFB1183 FOR THE ESTABLISHMENT OF AN ICT PORTFOLIO MANAGEMENT OFFICE (PMO) TO DELIVER THE DIGITAL TRANSFORMATION STRATEGY (MICROSOFT-BASED PORTFOLIO MANAGEMENT) FOR A PERIOD OF THIRTY-SIX (36) MONTHS.</t>
        </is>
      </c>
      <c r="I81" t="inlineStr">
        <is>
          <t>ETENDERS.GOV.ZA</t>
        </is>
      </c>
      <c r="J81" t="inlineStr">
        <is>
          <t>Home Affairs</t>
        </is>
      </c>
      <c r="K81" t="inlineStr">
        <is>
          <t>National</t>
        </is>
      </c>
      <c r="L81" t="inlineStr">
        <is>
          <t>No</t>
        </is>
      </c>
      <c r="M81" t="inlineStr">
        <is>
          <t>Services: Professional</t>
        </is>
      </c>
      <c r="N81" t="inlineStr">
        <is>
          <t>Yes</t>
        </is>
      </c>
      <c r="O81" s="2" t="n">
        <v>46157</v>
      </c>
      <c r="P81" t="inlineStr">
        <is>
          <t>No</t>
        </is>
      </c>
      <c r="Q81" t="inlineStr">
        <is>
          <t>MICROSOFT TEAMS</t>
        </is>
      </c>
      <c r="R81" s="3" t="inlineStr">
        <is>
          <t>https://www.etenders.gov.za/home/Download/?blobName=bd480732-3730-49ef-8454-c2210372e021.pdf&amp;downloadedFileName=General_Conditions_of_Contract-_July_2011.pdf</t>
        </is>
      </c>
      <c r="S81" t="inlineStr"/>
      <c r="T81" t="inlineStr"/>
      <c r="U81" t="inlineStr"/>
      <c r="V81" t="inlineStr"/>
      <c r="W81" t="inlineStr"/>
    </row>
    <row r="82">
      <c r="A82" s="2" t="n">
        <v>46163</v>
      </c>
      <c r="B82" t="n">
        <v>24</v>
      </c>
      <c r="C82" t="inlineStr">
        <is>
          <t>BS09/03/2026</t>
        </is>
      </c>
      <c r="D82" s="2" t="n">
        <v>46150</v>
      </c>
      <c r="E82" s="2" t="n">
        <v>46182</v>
      </c>
      <c r="F82" t="inlineStr">
        <is>
          <t>12:00</t>
        </is>
      </c>
      <c r="G82" t="inlineStr">
        <is>
          <t>Request for Bid(Open-Tender)</t>
        </is>
      </c>
      <c r="H82" t="inlineStr">
        <is>
          <t>APPOINTMENT OF A PANEL OF MAXIMUM 5 (FIVE) CONTRACTORS FOR CONSTRUCTION AND MAINTENANCE OF VARIOUS ROADS AND STORMWATER DRAINAGE SYSTEMS FOR THE 2026/27, 2027,28 AND 2028,29 FINANCIAL YEAR ON AN AS AND WHEN REQUIRED BASIS</t>
        </is>
      </c>
      <c r="I82" t="inlineStr">
        <is>
          <t>ETENDERS.GOV.ZA</t>
        </is>
      </c>
      <c r="J82" t="inlineStr">
        <is>
          <t>Steve Tshwete Local Municipality</t>
        </is>
      </c>
      <c r="K82" t="inlineStr">
        <is>
          <t>Mpumalanga</t>
        </is>
      </c>
      <c r="L82" t="inlineStr">
        <is>
          <t>No</t>
        </is>
      </c>
      <c r="M82" t="inlineStr">
        <is>
          <t>Services: Civil</t>
        </is>
      </c>
      <c r="N82" t="inlineStr">
        <is>
          <t>Yes</t>
        </is>
      </c>
      <c r="O82" s="2" t="n">
        <v>46168</v>
      </c>
      <c r="P82" t="inlineStr">
        <is>
          <t>Yes</t>
        </is>
      </c>
      <c r="Q82" t="inlineStr">
        <is>
          <t>ELECTRICAL WORKSHOP BOARDROOM, MUNICIPAL STORES (MAGASYN), CNR WALTER SISULU &amp; PROTEA STREET, MIDDEL</t>
        </is>
      </c>
      <c r="R82" s="3" t="inlineStr">
        <is>
          <t>https://www.etenders.gov.za/home/Download/?blobName=e8882d29-a459-4b2d-a5b6-fa7ee190b06e.pdf&amp;downloadedFileName=advert%20-%20BS09-03-2026%20Panel%20Roads%207CE%2009%20February%202026%20%20Rev%201.........pdf</t>
        </is>
      </c>
      <c r="S82" t="inlineStr"/>
      <c r="T82" t="inlineStr"/>
      <c r="U82" t="inlineStr"/>
      <c r="V82" t="inlineStr"/>
      <c r="W82" t="inlineStr"/>
    </row>
    <row r="83">
      <c r="A83" s="2" t="n">
        <v>46163</v>
      </c>
      <c r="B83" t="n">
        <v>23</v>
      </c>
      <c r="C83" t="inlineStr">
        <is>
          <t>ZNB 5465/2026-H</t>
        </is>
      </c>
      <c r="D83" s="2" t="n">
        <v>46150</v>
      </c>
      <c r="E83" s="2" t="n">
        <v>46177</v>
      </c>
      <c r="F83" t="inlineStr">
        <is>
          <t>11:00</t>
        </is>
      </c>
      <c r="G83" t="inlineStr">
        <is>
          <t>Request for Bid(Open-Tender)</t>
        </is>
      </c>
      <c r="H83" t="inlineStr">
        <is>
          <t>SUPPLY AND DELIVERY OF LAUNDRY EQUIPMENT FOR NGWELEZANE HOSPITAL – ONCE OFF</t>
        </is>
      </c>
      <c r="I83" t="inlineStr">
        <is>
          <t>ETENDERS.GOV.ZA</t>
        </is>
      </c>
      <c r="J83" t="inlineStr">
        <is>
          <t>Kwazulu Natal - Health</t>
        </is>
      </c>
      <c r="K83" t="inlineStr">
        <is>
          <t>KwaZulu-Natal</t>
        </is>
      </c>
      <c r="L83" t="inlineStr">
        <is>
          <t>No</t>
        </is>
      </c>
      <c r="M83" t="inlineStr">
        <is>
          <t>Other service activities</t>
        </is>
      </c>
      <c r="N83" t="inlineStr">
        <is>
          <t>No</t>
        </is>
      </c>
      <c r="O83" t="inlineStr">
        <is>
          <t>N/A</t>
        </is>
      </c>
      <c r="P83" t="inlineStr">
        <is>
          <t>No</t>
        </is>
      </c>
      <c r="Q83" t="inlineStr">
        <is>
          <t>N/A</t>
        </is>
      </c>
      <c r="R83" s="3" t="inlineStr">
        <is>
          <t>https://www.etenders.gov.za/home/Download/?blobName=15413faf-c757-4966-8adc-cee80b4d8d76.docx&amp;downloadedFileName=BID%20ADVERT%20ZNB%205465-2026-H%20LAUNDRY%20EQUIPMENT-%20NGWELEZANE%20HOSPITAL.docx</t>
        </is>
      </c>
      <c r="S83" t="inlineStr"/>
      <c r="T83" t="inlineStr"/>
      <c r="U83" t="inlineStr"/>
      <c r="V83" t="inlineStr"/>
      <c r="W83" t="inlineStr"/>
    </row>
    <row r="84">
      <c r="A84" s="2" t="n">
        <v>46163</v>
      </c>
      <c r="B84" t="n">
        <v>22</v>
      </c>
      <c r="C84" t="inlineStr">
        <is>
          <t>GTAC 001-2026-27</t>
        </is>
      </c>
      <c r="D84" s="2" t="n">
        <v>46150</v>
      </c>
      <c r="E84" s="2" t="n">
        <v>46171</v>
      </c>
      <c r="F84" t="inlineStr">
        <is>
          <t>11:00</t>
        </is>
      </c>
      <c r="G84" t="inlineStr">
        <is>
          <t>Request for Bid(Open-Tender)</t>
        </is>
      </c>
      <c r="H84" t="inlineStr">
        <is>
          <t>THE PROVISION OF TECHNICAL ADVISORY SERVICES TO THE GOVERNMENT TECHNICAL ADVISORY CENTRE (GTAC) FOR THE INTERGOVERNMENTAL RELATIONS (IGR) DIVISION TO SUPPORT IN THE IMPLEMENTATION OF THE MUNICIPAL FINANCE IMPROVEMENT PROGRAMME (MFIP) PHASE IIIX 4X ACCOUNTING AND AUDIT SUPPORT ADVISORS</t>
        </is>
      </c>
      <c r="I84" t="inlineStr">
        <is>
          <t>ETENDERS.GOV.ZA</t>
        </is>
      </c>
      <c r="J84" t="inlineStr">
        <is>
          <t>Government Technical Advisory Centre (GTAC)</t>
        </is>
      </c>
      <c r="K84" t="inlineStr">
        <is>
          <t>National</t>
        </is>
      </c>
      <c r="L84" t="inlineStr">
        <is>
          <t>No</t>
        </is>
      </c>
      <c r="M84" t="inlineStr">
        <is>
          <t>Services: Professional</t>
        </is>
      </c>
      <c r="N84" t="inlineStr">
        <is>
          <t>No</t>
        </is>
      </c>
      <c r="O84" t="inlineStr">
        <is>
          <t>N/A</t>
        </is>
      </c>
      <c r="P84" t="inlineStr">
        <is>
          <t>No</t>
        </is>
      </c>
      <c r="Q84" t="inlineStr">
        <is>
          <t>N/A</t>
        </is>
      </c>
      <c r="R84" s="3" t="inlineStr">
        <is>
          <t>https://www.etenders.gov.za/home/Download/?blobName=6d081795-063b-4706-8419-53834d62b1e2.pdf&amp;downloadedFileName=TOR%20AAS-Accounting%20and%20Audit%20Support.pdf</t>
        </is>
      </c>
      <c r="S84" t="inlineStr"/>
      <c r="T84" t="inlineStr"/>
      <c r="U84" t="inlineStr"/>
      <c r="V84" t="inlineStr"/>
      <c r="W84" t="inlineStr"/>
    </row>
    <row r="85">
      <c r="A85" s="2" t="n">
        <v>46163</v>
      </c>
      <c r="B85" t="n">
        <v>21</v>
      </c>
      <c r="C85" t="inlineStr">
        <is>
          <t>E1872NTCSAMWPCancell</t>
        </is>
      </c>
      <c r="D85" s="2" t="n">
        <v>46150</v>
      </c>
      <c r="E85" s="2" t="n">
        <v>46181</v>
      </c>
      <c r="F85" t="inlineStr">
        <is>
          <t>10:00</t>
        </is>
      </c>
      <c r="G85" t="inlineStr">
        <is>
          <t>Request for Bid(Open-Tender)</t>
        </is>
      </c>
      <c r="H85" t="inlineStr">
        <is>
          <t>Tender Cancellation: Tender cancellation: Repair and calibration of various machine for Lines and Servitude at NTCSA- Central Grid for period of 24 months on an as and when required basis</t>
        </is>
      </c>
      <c r="I85" t="inlineStr">
        <is>
          <t>ETENDERS.GOV.ZA</t>
        </is>
      </c>
      <c r="J85" t="inlineStr">
        <is>
          <t>ESKOM</t>
        </is>
      </c>
      <c r="K85" t="inlineStr">
        <is>
          <t>Gauteng</t>
        </is>
      </c>
      <c r="L85" t="inlineStr">
        <is>
          <t>No</t>
        </is>
      </c>
      <c r="M85" t="inlineStr">
        <is>
          <t>Services: General</t>
        </is>
      </c>
      <c r="N85" t="inlineStr">
        <is>
          <t>No</t>
        </is>
      </c>
      <c r="O85" t="inlineStr">
        <is>
          <t>N/A</t>
        </is>
      </c>
      <c r="P85" t="inlineStr">
        <is>
          <t>No</t>
        </is>
      </c>
      <c r="Q85" t="inlineStr">
        <is>
          <t>N/A</t>
        </is>
      </c>
      <c r="R85" s="3" t="inlineStr">
        <is>
          <t>https://www.etenders.gov.za/home/Download/?blobName=8216220e-ebe1-4d40-96b7-a2fc32b90c9c.pdf&amp;downloadedFileName=NTCSA%20Tender%20Cancellation%20Letter%20-%20Repairs%20%20Calibration%20for%20various.pdf</t>
        </is>
      </c>
      <c r="S85" t="inlineStr"/>
      <c r="T85" t="inlineStr"/>
      <c r="U85" t="inlineStr"/>
      <c r="V85" t="inlineStr"/>
      <c r="W85" t="inlineStr"/>
    </row>
    <row r="86">
      <c r="A86" s="2" t="n">
        <v>46163</v>
      </c>
      <c r="B86" t="n">
        <v>20</v>
      </c>
      <c r="C86" t="inlineStr">
        <is>
          <t>SCMU5-26/27-0002NMM</t>
        </is>
      </c>
      <c r="D86" s="2" t="n">
        <v>46150</v>
      </c>
      <c r="E86" s="2" t="n">
        <v>46178</v>
      </c>
      <c r="F86" t="inlineStr">
        <is>
          <t>11:00</t>
        </is>
      </c>
      <c r="G86" t="inlineStr">
        <is>
          <t>Request for Bid(Open-Tender)</t>
        </is>
      </c>
      <c r="H86" t="inlineStr">
        <is>
          <t>Request to Appoint a Service Provider for Grass Cutting and Bush Clearing Services for fifteen (15) Government sites that are in the Nelson Mandela District for a period of twenty-four (24)months.</t>
        </is>
      </c>
      <c r="I86" t="inlineStr">
        <is>
          <t>ETENDERS.GOV.ZA</t>
        </is>
      </c>
      <c r="J86" t="inlineStr">
        <is>
          <t>Eastern Cape - Roads and Public Works</t>
        </is>
      </c>
      <c r="K86" t="inlineStr">
        <is>
          <t>Eastern Cape</t>
        </is>
      </c>
      <c r="L86" t="inlineStr">
        <is>
          <t>No</t>
        </is>
      </c>
      <c r="M86" t="inlineStr">
        <is>
          <t>Other service activities</t>
        </is>
      </c>
      <c r="N86" t="inlineStr">
        <is>
          <t>No</t>
        </is>
      </c>
      <c r="O86" t="inlineStr">
        <is>
          <t>N/A</t>
        </is>
      </c>
      <c r="P86" t="inlineStr">
        <is>
          <t>No</t>
        </is>
      </c>
      <c r="Q86" t="inlineStr">
        <is>
          <t>N/A</t>
        </is>
      </c>
      <c r="R86" s="3" t="inlineStr">
        <is>
          <t>https://www.etenders.gov.za/home/Download/?blobName=127cbc62-8f9b-4547-afb6-4e7e3e9f20c3.pdf&amp;downloadedFileName=SCMU5-26_27-0002NMM.pdf</t>
        </is>
      </c>
      <c r="S86" t="inlineStr"/>
      <c r="T86" t="inlineStr"/>
      <c r="U86" t="inlineStr"/>
      <c r="V86" t="inlineStr"/>
      <c r="W86" t="inlineStr"/>
    </row>
    <row r="87">
      <c r="A87" s="2" t="n">
        <v>46163</v>
      </c>
      <c r="B87" t="n">
        <v>19</v>
      </c>
      <c r="C87" t="inlineStr">
        <is>
          <t>T75-2025</t>
        </is>
      </c>
      <c r="D87" s="2" t="n">
        <v>46150</v>
      </c>
      <c r="E87" s="2" t="n">
        <v>46178</v>
      </c>
      <c r="F87" t="inlineStr">
        <is>
          <t>12:00</t>
        </is>
      </c>
      <c r="G87" t="inlineStr">
        <is>
          <t>Request for Bid(Open-Tender)</t>
        </is>
      </c>
      <c r="H87" t="inlineStr">
        <is>
          <t>Provision of Generator and UPS Maintenance for the Period ending 30 June 2029</t>
        </is>
      </c>
      <c r="I87" t="inlineStr">
        <is>
          <t>ETENDERS.GOV.ZA</t>
        </is>
      </c>
      <c r="J87" t="inlineStr">
        <is>
          <t>Overberg District Municipality</t>
        </is>
      </c>
      <c r="K87" t="inlineStr">
        <is>
          <t>Western Cape</t>
        </is>
      </c>
      <c r="L87" t="inlineStr">
        <is>
          <t>No</t>
        </is>
      </c>
      <c r="M87" t="inlineStr">
        <is>
          <t>Services: General</t>
        </is>
      </c>
      <c r="N87" t="inlineStr">
        <is>
          <t>No</t>
        </is>
      </c>
      <c r="O87" t="inlineStr">
        <is>
          <t>N/A</t>
        </is>
      </c>
      <c r="P87" t="inlineStr">
        <is>
          <t>No</t>
        </is>
      </c>
      <c r="Q87" t="inlineStr">
        <is>
          <t>N/A</t>
        </is>
      </c>
      <c r="R87" t="inlineStr"/>
      <c r="S87" t="inlineStr"/>
      <c r="T87" t="inlineStr"/>
      <c r="U87" t="inlineStr"/>
      <c r="V87" t="inlineStr"/>
      <c r="W87" t="inlineStr"/>
    </row>
    <row r="88">
      <c r="A88" s="2" t="n">
        <v>46163</v>
      </c>
      <c r="B88" t="n">
        <v>18</v>
      </c>
      <c r="C88" t="inlineStr">
        <is>
          <t>MN11/2025-26</t>
        </is>
      </c>
      <c r="D88" s="2" t="n">
        <v>46150</v>
      </c>
      <c r="E88" s="2" t="n">
        <v>46164</v>
      </c>
      <c r="F88" t="inlineStr">
        <is>
          <t>12:00</t>
        </is>
      </c>
      <c r="G88" t="inlineStr">
        <is>
          <t>Request for Bid(Limited-Tender</t>
        </is>
      </c>
      <c r="H88" t="inlineStr">
        <is>
          <t>MN11/2025-26: REHABILITATION OF INKOSI KHUMALO MODULAR LIBRARY (FLOOR &amp; FOUNDATION)</t>
        </is>
      </c>
      <c r="I88" t="inlineStr">
        <is>
          <t>ETENDERS.GOV.ZA</t>
        </is>
      </c>
      <c r="J88" t="inlineStr">
        <is>
          <t>Emadlangeni Local Municipality</t>
        </is>
      </c>
      <c r="K88" t="inlineStr">
        <is>
          <t>KwaZulu-Natal</t>
        </is>
      </c>
      <c r="L88" t="inlineStr">
        <is>
          <t>No</t>
        </is>
      </c>
      <c r="M88" t="inlineStr">
        <is>
          <t>Services: Building</t>
        </is>
      </c>
      <c r="N88" t="inlineStr">
        <is>
          <t>Yes</t>
        </is>
      </c>
      <c r="O88" s="2" t="n">
        <v>46157</v>
      </c>
      <c r="P88" t="inlineStr">
        <is>
          <t>Yes</t>
        </is>
      </c>
      <c r="Q88" t="inlineStr">
        <is>
          <t>60 Voor Street Utrecht</t>
        </is>
      </c>
      <c r="R88" s="3" t="inlineStr">
        <is>
          <t>https://www.etenders.gov.za/home/Download/?blobName=fb118e01-14db-43b2-9313-e0d23e6a40bc.pdf&amp;downloadedFileName=Rehabilitation%20of%20iNkosi%20Khumalo%20Modular%20Library.pdf</t>
        </is>
      </c>
      <c r="S88" t="inlineStr"/>
      <c r="T88" t="inlineStr"/>
      <c r="U88" t="inlineStr"/>
      <c r="V88" t="inlineStr"/>
      <c r="W88" t="inlineStr"/>
    </row>
    <row r="89">
      <c r="A89" s="2" t="n">
        <v>46163</v>
      </c>
      <c r="B89" t="n">
        <v>17</v>
      </c>
      <c r="C89" t="inlineStr">
        <is>
          <t>08/2026</t>
        </is>
      </c>
      <c r="D89" s="2" t="n">
        <v>46150</v>
      </c>
      <c r="E89" s="2" t="n">
        <v>46182</v>
      </c>
      <c r="F89" t="inlineStr">
        <is>
          <t>11:00</t>
        </is>
      </c>
      <c r="G89" t="inlineStr">
        <is>
          <t>Request for Bid(Open-Tender)</t>
        </is>
      </c>
      <c r="H89" t="inlineStr">
        <is>
          <t>PROVISION OF OFFICE ACCOMMODATION FOR A PERIOD OF UP TO FIVE (5) YEARS IN RESPECT OF BUSHBUCKRIDGE SATELLITE OFFICE</t>
        </is>
      </c>
      <c r="I89" t="inlineStr">
        <is>
          <t>ETENDERS.GOV.ZA</t>
        </is>
      </c>
      <c r="J89" t="inlineStr">
        <is>
          <t>Legal Aid South Africa</t>
        </is>
      </c>
      <c r="K89" t="inlineStr">
        <is>
          <t>Mpumalanga</t>
        </is>
      </c>
      <c r="L89" t="inlineStr">
        <is>
          <t>No</t>
        </is>
      </c>
      <c r="M89" t="inlineStr">
        <is>
          <t>Accommodation</t>
        </is>
      </c>
      <c r="N89" t="inlineStr">
        <is>
          <t>Yes</t>
        </is>
      </c>
      <c r="O89" s="2" t="n">
        <v>46160</v>
      </c>
      <c r="P89" t="inlineStr">
        <is>
          <t>No</t>
        </is>
      </c>
      <c r="Q89" t="inlineStr">
        <is>
          <t>Https://tinyurl.com/866r5bd8</t>
        </is>
      </c>
      <c r="R89" s="3" t="inlineStr">
        <is>
          <t>https://www.etenders.gov.za/home/Download/?blobName=d08a836e-764f-4a14-8984-908eaf58bfe4.pdf&amp;downloadedFileName=Annexure%20B%20Request%20For%20Proposal%20Completion%20of%20Documents.pdf</t>
        </is>
      </c>
      <c r="S89" t="inlineStr"/>
      <c r="T89" t="inlineStr"/>
      <c r="U89" t="inlineStr"/>
      <c r="V89" t="inlineStr"/>
      <c r="W89" t="inlineStr"/>
    </row>
    <row r="90">
      <c r="A90" s="2" t="n">
        <v>46163</v>
      </c>
      <c r="B90" t="n">
        <v>16</v>
      </c>
      <c r="C90" t="inlineStr">
        <is>
          <t>WCGHSC0453/1/2026</t>
        </is>
      </c>
      <c r="D90" s="2" t="n">
        <v>46150</v>
      </c>
      <c r="E90" s="2" t="n">
        <v>46178</v>
      </c>
      <c r="F90" t="inlineStr">
        <is>
          <t>11:00</t>
        </is>
      </c>
      <c r="G90" t="inlineStr">
        <is>
          <t>Request for Bid(Open-Tender)</t>
        </is>
      </c>
      <c r="H90" t="inlineStr">
        <is>
          <t>FOR THE PROVISION OF CLEANING SERVICES TO THE WESTERN CAPE DEPARTMENT OF HEALTH AND WELLNESS (WCDHW) FACILITIES IN CAPE WINELANDS DISTRICT (STELLENBOSCH SUB-DISTRICT) A THIRTY (30) MONTH PERIOD.</t>
        </is>
      </c>
      <c r="I90" t="inlineStr">
        <is>
          <t>ETENDERS.GOV.ZA</t>
        </is>
      </c>
      <c r="J90" t="inlineStr">
        <is>
          <t>Western Cape - Health</t>
        </is>
      </c>
      <c r="K90" t="inlineStr">
        <is>
          <t>Western Cape</t>
        </is>
      </c>
      <c r="L90" t="inlineStr">
        <is>
          <t>No</t>
        </is>
      </c>
      <c r="M90" t="inlineStr">
        <is>
          <t>Services: Functional (Including Cleaning and Security Services)</t>
        </is>
      </c>
      <c r="N90" t="inlineStr">
        <is>
          <t>Yes</t>
        </is>
      </c>
      <c r="O90" s="2" t="n">
        <v>46161</v>
      </c>
      <c r="P90" t="inlineStr">
        <is>
          <t>Yes</t>
        </is>
      </c>
      <c r="Q90" t="inlineStr">
        <is>
          <t>Stellenbosch Hospital, Boardroom</t>
        </is>
      </c>
      <c r="R90" s="3" t="inlineStr">
        <is>
          <t>https://www.etenders.gov.za/home/Download/?blobName=11d6814d-2d97-4194-be72-da37165be5d3.xlsx&amp;downloadedFileName=PRICING%20SCHEDULE%20BSC%20Annexure%20B%2020-05-2026.xlsx</t>
        </is>
      </c>
      <c r="S90" t="inlineStr"/>
      <c r="T90" t="inlineStr"/>
      <c r="U90" t="inlineStr"/>
      <c r="V90" t="inlineStr"/>
      <c r="W90" t="inlineStr"/>
    </row>
    <row r="91">
      <c r="A91" s="2" t="n">
        <v>46163</v>
      </c>
      <c r="B91" t="n">
        <v>15</v>
      </c>
      <c r="C91" t="inlineStr">
        <is>
          <t>E2892GXMPKUS</t>
        </is>
      </c>
      <c r="D91" s="2" t="n">
        <v>46150</v>
      </c>
      <c r="E91" s="2" t="n">
        <v>46181</v>
      </c>
      <c r="F91" t="inlineStr">
        <is>
          <t>10:00</t>
        </is>
      </c>
      <c r="G91" t="inlineStr">
        <is>
          <t>Request for Bid(Open-Tender)</t>
        </is>
      </c>
      <c r="H91" t="inlineStr">
        <is>
          <t>Provision of physical security services at the Kusile Power Station for period of 24 Months.</t>
        </is>
      </c>
      <c r="I91" t="inlineStr">
        <is>
          <t>ETENDERS.GOV.ZA</t>
        </is>
      </c>
      <c r="J91" t="inlineStr">
        <is>
          <t>ESKOM</t>
        </is>
      </c>
      <c r="K91" t="inlineStr">
        <is>
          <t>Mpumalanga</t>
        </is>
      </c>
      <c r="L91" t="inlineStr">
        <is>
          <t>No</t>
        </is>
      </c>
      <c r="M91" t="inlineStr">
        <is>
          <t>Supplies: General</t>
        </is>
      </c>
      <c r="N91" t="inlineStr">
        <is>
          <t>Yes</t>
        </is>
      </c>
      <c r="O91" s="2" t="n">
        <v>46156</v>
      </c>
      <c r="P91" t="inlineStr">
        <is>
          <t>No</t>
        </is>
      </c>
      <c r="Q91" t="inlineStr">
        <is>
          <t>https://teams.microsoft.com/meet/37781796854308?p=Ltb9WrswlZNnkuh6Xs Meeting ID: 377 817 968 543 08</t>
        </is>
      </c>
      <c r="R91" s="3" t="inlineStr">
        <is>
          <t>https://www.etenders.gov.za/home/Download/?blobName=48a1db5a-5f59-4b0b-b34e-2184f624f460.docx&amp;downloadedFileName=CLARRIFICATION%20MEETING%20LINK.docx</t>
        </is>
      </c>
      <c r="S91" t="inlineStr"/>
      <c r="T91" t="inlineStr"/>
      <c r="U91" t="inlineStr"/>
      <c r="V91" t="inlineStr"/>
      <c r="W91" t="inlineStr"/>
    </row>
    <row r="92">
      <c r="A92" s="2" t="n">
        <v>46163</v>
      </c>
      <c r="B92" t="n">
        <v>14</v>
      </c>
      <c r="C92" t="inlineStr">
        <is>
          <t>CT 002(26-27) APPOINTMENT OF A PANEL OF LAW FIRMS</t>
        </is>
      </c>
      <c r="D92" s="2" t="n">
        <v>46150</v>
      </c>
      <c r="E92" s="2" t="n">
        <v>46171</v>
      </c>
      <c r="F92" t="inlineStr">
        <is>
          <t>11:00</t>
        </is>
      </c>
      <c r="G92" t="inlineStr">
        <is>
          <t>Request for Bid(Open-Tender)</t>
        </is>
      </c>
      <c r="H92" t="inlineStr">
        <is>
          <t>APPOINTMENT OF A PANEL OF LAW FIRMS THAT WILL BE USED TO PROVIDE LEGAL ASSISTANCE / SERVICES TO THE COMPANIES TRIBUNAL FOR A PERIOD OF 3 YEARS</t>
        </is>
      </c>
      <c r="I92" t="inlineStr">
        <is>
          <t>ETENDERS.GOV.ZA</t>
        </is>
      </c>
      <c r="J92" t="inlineStr">
        <is>
          <t>Companies Tribunal</t>
        </is>
      </c>
      <c r="K92" t="inlineStr">
        <is>
          <t>Gauteng</t>
        </is>
      </c>
      <c r="L92" t="inlineStr">
        <is>
          <t>No</t>
        </is>
      </c>
      <c r="M92" t="inlineStr">
        <is>
          <t>Legal and accounting activities</t>
        </is>
      </c>
      <c r="N92" t="inlineStr">
        <is>
          <t>No</t>
        </is>
      </c>
      <c r="O92" t="inlineStr">
        <is>
          <t>N/A</t>
        </is>
      </c>
      <c r="P92" t="inlineStr">
        <is>
          <t>No</t>
        </is>
      </c>
      <c r="Q92" t="inlineStr">
        <is>
          <t>N/A</t>
        </is>
      </c>
      <c r="R92" s="3" t="inlineStr">
        <is>
          <t>https://www.etenders.gov.za/home/Download/?blobName=d7ed367c-796e-4a95-9e82-b9b0ef33a3f5.pdf&amp;downloadedFileName=SBD%20Form%203.1%20(6).pdf</t>
        </is>
      </c>
      <c r="S92" t="inlineStr"/>
      <c r="T92" t="inlineStr"/>
      <c r="U92" t="inlineStr"/>
      <c r="V92" t="inlineStr"/>
      <c r="W92" t="inlineStr"/>
    </row>
    <row r="93">
      <c r="A93" s="2" t="n">
        <v>46163</v>
      </c>
      <c r="B93" t="n">
        <v>13</v>
      </c>
      <c r="C93" t="inlineStr">
        <is>
          <t>2026/073</t>
        </is>
      </c>
      <c r="D93" s="2" t="n">
        <v>46150</v>
      </c>
      <c r="E93" s="2" t="n">
        <v>46184</v>
      </c>
      <c r="F93" t="inlineStr">
        <is>
          <t>11:00</t>
        </is>
      </c>
      <c r="G93" t="inlineStr">
        <is>
          <t>Request for Bid(Open-Tender)</t>
        </is>
      </c>
      <c r="H93" t="inlineStr">
        <is>
          <t>SUPPLY, DELIVER, FIT, REPAIR, BALANCE AND WHEEL ALIGNMENT OF TYRES FOR THE COASTAL VEHICLE WORKSHOP FOR A PERIOD OF 3 YEARS</t>
        </is>
      </c>
      <c r="I93" t="inlineStr">
        <is>
          <t>ETENDERS.GOV.ZA</t>
        </is>
      </c>
      <c r="J93" t="inlineStr">
        <is>
          <t>Umgeni Water</t>
        </is>
      </c>
      <c r="K93" t="inlineStr">
        <is>
          <t>KwaZulu-Natal</t>
        </is>
      </c>
      <c r="L93" t="inlineStr">
        <is>
          <t>No</t>
        </is>
      </c>
      <c r="M93" t="inlineStr">
        <is>
          <t>Wholesale and retail trade and repair of motor vehicles and motorcycles</t>
        </is>
      </c>
      <c r="N93" t="inlineStr">
        <is>
          <t>Yes</t>
        </is>
      </c>
      <c r="O93" s="2" t="n">
        <v>46167</v>
      </c>
      <c r="P93" t="inlineStr">
        <is>
          <t>Yes</t>
        </is>
      </c>
      <c r="Q93" t="inlineStr">
        <is>
          <t>Pineside Canteen (13 Pineside Road, New Germany, 3610</t>
        </is>
      </c>
      <c r="R93" s="3" t="inlineStr">
        <is>
          <t>https://www.etenders.gov.za/home/Download/?blobName=ca530631-8476-4553-96c3-3d520fe03a69.pdf&amp;downloadedFileName=2026-073%20Document%20.pdf</t>
        </is>
      </c>
      <c r="S93" t="inlineStr"/>
      <c r="T93" t="inlineStr"/>
      <c r="U93" t="inlineStr"/>
      <c r="V93" t="inlineStr"/>
      <c r="W93" t="inlineStr"/>
    </row>
    <row r="94">
      <c r="A94" s="2" t="n">
        <v>46163</v>
      </c>
      <c r="B94" t="n">
        <v>12</v>
      </c>
      <c r="C94" t="inlineStr">
        <is>
          <t>2026/079</t>
        </is>
      </c>
      <c r="D94" s="2" t="n">
        <v>46150</v>
      </c>
      <c r="E94" s="2" t="n">
        <v>46184</v>
      </c>
      <c r="F94" t="inlineStr">
        <is>
          <t>12:00</t>
        </is>
      </c>
      <c r="G94" t="inlineStr">
        <is>
          <t>Request for Bid(Open-Tender)</t>
        </is>
      </c>
      <c r="H94" t="inlineStr">
        <is>
          <t>PSP to Review the Detailed Feasibility Studies, and Undertake the Detailed Design, Contract Administration and Close Out Stages of the Upper uMkhomazi Water Project Phase 1 – 156 ML Reinforced Concrete Reservoir and Ancillary Works</t>
        </is>
      </c>
      <c r="I94" t="inlineStr">
        <is>
          <t>ETENDERS.GOV.ZA</t>
        </is>
      </c>
      <c r="J94" t="inlineStr">
        <is>
          <t>Umgeni Water</t>
        </is>
      </c>
      <c r="K94" t="inlineStr">
        <is>
          <t>KwaZulu-Natal</t>
        </is>
      </c>
      <c r="L94" t="inlineStr">
        <is>
          <t>No</t>
        </is>
      </c>
      <c r="M94" t="inlineStr">
        <is>
          <t>Services: Professional</t>
        </is>
      </c>
      <c r="N94" t="inlineStr">
        <is>
          <t>Yes</t>
        </is>
      </c>
      <c r="O94" s="2" t="n">
        <v>46161</v>
      </c>
      <c r="P94" t="inlineStr">
        <is>
          <t>Yes</t>
        </is>
      </c>
      <c r="Q94" t="inlineStr">
        <is>
          <t>uMngeni-uThukela Water Head Office, 310 Burger Street, Pietermaritzburg (then proceed to site)</t>
        </is>
      </c>
      <c r="R94" s="3" t="inlineStr">
        <is>
          <t>https://www.etenders.gov.za/home/Download/?blobName=25d023df-398a-46fd-9077-675caf4b47aa.pdf&amp;downloadedFileName=2026-079%20-%20Upper%20Mkhomazi%20Water%20Project%20-%20PSP%20%20Bid%20Document%20%20-156ML%20Rev%2002.pdf</t>
        </is>
      </c>
      <c r="S94" t="inlineStr"/>
      <c r="T94" t="inlineStr"/>
      <c r="U94" t="inlineStr"/>
      <c r="V94" t="inlineStr"/>
      <c r="W94" t="inlineStr"/>
    </row>
    <row r="95">
      <c r="A95" s="2" t="n">
        <v>46163</v>
      </c>
      <c r="B95" t="n">
        <v>11</v>
      </c>
      <c r="C95" t="inlineStr">
        <is>
          <t>WCGHSC0249/2025</t>
        </is>
      </c>
      <c r="D95" s="2" t="n">
        <v>46150</v>
      </c>
      <c r="E95" s="2" t="n">
        <v>46178</v>
      </c>
      <c r="F95" t="inlineStr">
        <is>
          <t>11:00</t>
        </is>
      </c>
      <c r="G95" t="inlineStr">
        <is>
          <t>Request for Bid(Open-Tender)</t>
        </is>
      </c>
      <c r="H95" t="inlineStr">
        <is>
          <t>ESTABLISHMENT OF AN APPROVED PREFFERED LIST (DATABASE) OF SERVICE PROVIDERS TO RENDER A CONSOLIDATED LEADERSHIP DEVELOPMENT SERVICE IN THE WESTERN CAPE DEPARTMENT HEALTH AND WELLNESS FOR A FIVE-YEAR PERIOD.</t>
        </is>
      </c>
      <c r="I95" t="inlineStr">
        <is>
          <t>ETENDERS.GOV.ZA</t>
        </is>
      </c>
      <c r="J95" t="inlineStr">
        <is>
          <t>Western Cape - Health</t>
        </is>
      </c>
      <c r="K95" t="inlineStr">
        <is>
          <t>Western Cape</t>
        </is>
      </c>
      <c r="L95" t="inlineStr">
        <is>
          <t>No</t>
        </is>
      </c>
      <c r="M95" t="inlineStr">
        <is>
          <t>Services: Professional</t>
        </is>
      </c>
      <c r="N95" t="inlineStr">
        <is>
          <t>Yes</t>
        </is>
      </c>
      <c r="O95" s="2" t="n">
        <v>46164</v>
      </c>
      <c r="P95" t="inlineStr">
        <is>
          <t>Yes</t>
        </is>
      </c>
      <c r="Q95" t="inlineStr">
        <is>
          <t>Auditorium – Lenteguer Hospital– on the Premises of Lentegeur Hospital, Address: Highlands Drive, Le</t>
        </is>
      </c>
      <c r="R95" s="3" t="inlineStr">
        <is>
          <t>https://www.etenders.gov.za/home/Download/?blobName=95400a79-0996-4534-b05b-3ebd149ee29c.pdf&amp;downloadedFileName=WCGHSC%200249.2025%20Rendering%20of%20Consolidated%20Leadership%20Development%20Service-1-24_pagenumber-24.pdf</t>
        </is>
      </c>
      <c r="S95" t="inlineStr"/>
      <c r="T95" t="inlineStr"/>
      <c r="U95" t="inlineStr"/>
      <c r="V95" t="inlineStr"/>
      <c r="W95" t="inlineStr"/>
    </row>
    <row r="96">
      <c r="A96" s="2" t="n">
        <v>46163</v>
      </c>
      <c r="B96" t="n">
        <v>10</v>
      </c>
      <c r="C96" t="inlineStr">
        <is>
          <t>235S/2025/26</t>
        </is>
      </c>
      <c r="D96" s="2" t="n">
        <v>46150</v>
      </c>
      <c r="E96" s="2" t="n">
        <v>46184</v>
      </c>
      <c r="F96" t="inlineStr">
        <is>
          <t>10:00</t>
        </is>
      </c>
      <c r="G96" t="inlineStr">
        <is>
          <t>Request for Bid(Open-Tender)</t>
        </is>
      </c>
      <c r="H96" t="inlineStr">
        <is>
          <t>PROVISION OF SERVICES FOR THE DISTRIBUTION OF NEWSLETTERS AND AD HOC MATERIAL</t>
        </is>
      </c>
      <c r="I96" t="inlineStr">
        <is>
          <t>ETENDERS.GOV.ZA</t>
        </is>
      </c>
      <c r="J96" t="inlineStr">
        <is>
          <t>City of Cape Town</t>
        </is>
      </c>
      <c r="K96" t="inlineStr">
        <is>
          <t>Western Cape</t>
        </is>
      </c>
      <c r="L96" t="inlineStr">
        <is>
          <t>No</t>
        </is>
      </c>
      <c r="M96" t="inlineStr">
        <is>
          <t>Services: Professional</t>
        </is>
      </c>
      <c r="N96" t="inlineStr">
        <is>
          <t>Yes</t>
        </is>
      </c>
      <c r="O96" s="2" t="n">
        <v>46157</v>
      </c>
      <c r="P96" t="inlineStr">
        <is>
          <t>No</t>
        </is>
      </c>
      <c r="Q96" t="inlineStr">
        <is>
          <t>https://teams.microsoft.com/meet/354760835488768?p=FwLjWtjD1uLa1aS6Mv</t>
        </is>
      </c>
      <c r="R96" s="3" t="inlineStr">
        <is>
          <t>https://www.etenders.gov.za/home/Download/?blobName=7c7b784b-0ead-4bb6-b279-8056b0ac3eac.pdf&amp;downloadedFileName=235S_2025_26_%20NON-COMPULSARY%20SITE%20MEETING%2015%20MAY.pdf</t>
        </is>
      </c>
      <c r="S96" t="inlineStr"/>
      <c r="T96" t="inlineStr"/>
      <c r="U96" t="inlineStr"/>
      <c r="V96" t="inlineStr"/>
      <c r="W96" t="inlineStr"/>
    </row>
    <row r="97">
      <c r="A97" s="2" t="n">
        <v>46163</v>
      </c>
      <c r="B97" t="n">
        <v>9</v>
      </c>
      <c r="C97" t="inlineStr">
        <is>
          <t>SCMU 34/2025 RE ADVERT</t>
        </is>
      </c>
      <c r="D97" s="2" t="n">
        <v>46150</v>
      </c>
      <c r="E97" s="2" t="n">
        <v>46181</v>
      </c>
      <c r="F97" t="inlineStr">
        <is>
          <t>12:00</t>
        </is>
      </c>
      <c r="G97" t="inlineStr">
        <is>
          <t>Request for Bid(Open-Tender)</t>
        </is>
      </c>
      <c r="H97" t="inlineStr">
        <is>
          <t>PROVISION OF METER READING, DISCONNECTION AND RECONNECTIONS SERVICES FOR THE PERIOD OF THREE (03) YEARS AT GTM</t>
        </is>
      </c>
      <c r="I97" t="inlineStr">
        <is>
          <t>ETENDERS.GOV.ZA</t>
        </is>
      </c>
      <c r="J97" t="inlineStr">
        <is>
          <t>Greater Tzaneen Municipality</t>
        </is>
      </c>
      <c r="K97" t="inlineStr">
        <is>
          <t>Limpopo</t>
        </is>
      </c>
      <c r="L97" t="inlineStr">
        <is>
          <t>No</t>
        </is>
      </c>
      <c r="M97" t="inlineStr">
        <is>
          <t>Services: Electrical</t>
        </is>
      </c>
      <c r="N97" t="inlineStr">
        <is>
          <t>Yes</t>
        </is>
      </c>
      <c r="O97" s="2" t="n">
        <v>46163</v>
      </c>
      <c r="P97" t="inlineStr">
        <is>
          <t>Yes</t>
        </is>
      </c>
      <c r="Q97" t="inlineStr">
        <is>
          <t>GREATER TZANEEN MUNICIPALITY, CIVIC CENTRE. OLD FIRE HALL</t>
        </is>
      </c>
      <c r="R97" s="3" t="inlineStr">
        <is>
          <t>https://www.etenders.gov.za/home/Download/?blobName=ed9605a5-d372-438d-902b-5eb876d29cbc.pdf&amp;downloadedFileName=COMBINED%20MAY%20ADVERT%2001.pdf</t>
        </is>
      </c>
      <c r="S97" t="inlineStr"/>
      <c r="T97" t="inlineStr"/>
      <c r="U97" t="inlineStr"/>
      <c r="V97" t="inlineStr"/>
      <c r="W97" t="inlineStr"/>
    </row>
    <row r="98">
      <c r="A98" s="2" t="n">
        <v>46163</v>
      </c>
      <c r="B98" t="n">
        <v>8</v>
      </c>
      <c r="C98" t="inlineStr">
        <is>
          <t>2026/072</t>
        </is>
      </c>
      <c r="D98" s="2" t="n">
        <v>46150</v>
      </c>
      <c r="E98" s="2" t="n">
        <v>46184</v>
      </c>
      <c r="F98" t="inlineStr">
        <is>
          <t>12:00</t>
        </is>
      </c>
      <c r="G98" t="inlineStr">
        <is>
          <t>Request for Bid(Open-Tender)</t>
        </is>
      </c>
      <c r="H98" t="inlineStr">
        <is>
          <t>Supply And Deliver Vehicle Spares for the Coastal Vehicle Workshop for a Period of 3 Years</t>
        </is>
      </c>
      <c r="I98" t="inlineStr">
        <is>
          <t>ETENDERS.GOV.ZA</t>
        </is>
      </c>
      <c r="J98" t="inlineStr">
        <is>
          <t>Umgeni Water</t>
        </is>
      </c>
      <c r="K98" t="inlineStr">
        <is>
          <t>KwaZulu-Natal</t>
        </is>
      </c>
      <c r="L98" t="inlineStr">
        <is>
          <t>No</t>
        </is>
      </c>
      <c r="M98" t="inlineStr">
        <is>
          <t>Wholesale and retail trade and repair of motor vehicles and motorcycles</t>
        </is>
      </c>
      <c r="N98" t="inlineStr">
        <is>
          <t>Yes</t>
        </is>
      </c>
      <c r="O98" s="2" t="n">
        <v>46167</v>
      </c>
      <c r="P98" t="inlineStr">
        <is>
          <t>Yes</t>
        </is>
      </c>
      <c r="Q98" t="inlineStr">
        <is>
          <t>UUW Pineside Canteen 13 Pineside Road. New Germany</t>
        </is>
      </c>
      <c r="R98" s="3" t="inlineStr">
        <is>
          <t>https://www.etenders.gov.za/home/Download/?blobName=b29f4a0a-644f-44fa-9a7f-ec5ba0b0a369.pdf&amp;downloadedFileName=Tender%202026-072%20SUPPLY%20AND%20DELIVER%20VEHICLE%20SPARES%20FOR%20THE%20COASTAL%20VEHICLE%20WORKSHOP%20FOR%20A%20PERIOD%20OF%203%20YEARS.pdf</t>
        </is>
      </c>
      <c r="S98" t="inlineStr"/>
      <c r="T98" t="inlineStr"/>
      <c r="U98" t="inlineStr"/>
      <c r="V98" t="inlineStr"/>
      <c r="W98" t="inlineStr"/>
    </row>
    <row r="99">
      <c r="A99" s="2" t="n">
        <v>46163</v>
      </c>
      <c r="B99" t="n">
        <v>7</v>
      </c>
      <c r="C99" t="inlineStr">
        <is>
          <t>RFQ/OBP023/2026/27</t>
        </is>
      </c>
      <c r="D99" s="2" t="n">
        <v>46150</v>
      </c>
      <c r="E99" s="2" t="n">
        <v>46163</v>
      </c>
      <c r="F99" t="inlineStr">
        <is>
          <t>16:00</t>
        </is>
      </c>
      <c r="G99" t="inlineStr">
        <is>
          <t>Request for Quotation</t>
        </is>
      </c>
      <c r="H99" t="inlineStr">
        <is>
          <t>Appointment of a service provider to provide Integrated Waste Management for 6 months</t>
        </is>
      </c>
      <c r="I99" t="inlineStr">
        <is>
          <t>ETENDERS.GOV.ZA</t>
        </is>
      </c>
      <c r="J99" t="inlineStr">
        <is>
          <t>Onderstepoort Biological Products Limited</t>
        </is>
      </c>
      <c r="K99" t="inlineStr">
        <is>
          <t>Gauteng</t>
        </is>
      </c>
      <c r="L99" t="inlineStr">
        <is>
          <t>No</t>
        </is>
      </c>
      <c r="M99" t="inlineStr">
        <is>
          <t>Services: Professional</t>
        </is>
      </c>
      <c r="N99" t="inlineStr">
        <is>
          <t>No</t>
        </is>
      </c>
      <c r="O99" t="inlineStr">
        <is>
          <t>N/A</t>
        </is>
      </c>
      <c r="P99" t="inlineStr">
        <is>
          <t>No</t>
        </is>
      </c>
      <c r="Q99" t="inlineStr">
        <is>
          <t>N/A</t>
        </is>
      </c>
      <c r="R99" s="3" t="inlineStr">
        <is>
          <t>https://www.etenders.gov.za/home/Download/?blobName=5dd150b4-1dbd-4322-b8da-e0689989531c.pdf&amp;downloadedFileName=Solicitation%20ID%20RFQ_OBP023_2026_27%20Request%20for%20Quote%20May%2008%202026.pdf</t>
        </is>
      </c>
      <c r="S99" t="inlineStr"/>
      <c r="T99" t="inlineStr"/>
      <c r="U99" t="inlineStr"/>
      <c r="V99" t="inlineStr"/>
      <c r="W99" t="inlineStr"/>
    </row>
    <row r="100">
      <c r="A100" s="2" t="n">
        <v>46163</v>
      </c>
      <c r="B100" t="n">
        <v>6</v>
      </c>
      <c r="C100" t="inlineStr">
        <is>
          <t>RFB 3243-2026</t>
        </is>
      </c>
      <c r="D100" s="2" t="n">
        <v>46150</v>
      </c>
      <c r="E100" s="2" t="n">
        <v>46176</v>
      </c>
      <c r="F100" t="inlineStr">
        <is>
          <t>11:00</t>
        </is>
      </c>
      <c r="G100" t="inlineStr">
        <is>
          <t>Request for Bid(Open-Tender)</t>
        </is>
      </c>
      <c r="H100" t="inlineStr">
        <is>
          <t>REQUEST FOR BID FOR THE APPOINTMENT OF A SERVICE PROVIDER TO PROVIDE MAINTENANCE SERVICES AND SUPPORT FOR A BAUM20 GLUE FOLD MACHINE FOR A PERIOD OF 36 MONTHS.</t>
        </is>
      </c>
      <c r="I100" t="inlineStr">
        <is>
          <t>ETENDERS.GOV.ZA</t>
        </is>
      </c>
      <c r="J100" t="inlineStr">
        <is>
          <t>State Information Technology Agency</t>
        </is>
      </c>
      <c r="K100" t="inlineStr">
        <is>
          <t>Western Cape</t>
        </is>
      </c>
      <c r="L100" t="inlineStr">
        <is>
          <t>No</t>
        </is>
      </c>
      <c r="M100" t="inlineStr">
        <is>
          <t>Information and communication</t>
        </is>
      </c>
      <c r="N100" t="inlineStr">
        <is>
          <t>No</t>
        </is>
      </c>
      <c r="O100" t="inlineStr">
        <is>
          <t>N/A</t>
        </is>
      </c>
      <c r="P100" t="inlineStr">
        <is>
          <t>No</t>
        </is>
      </c>
      <c r="Q100" t="inlineStr">
        <is>
          <t>N/A</t>
        </is>
      </c>
      <c r="R100" s="3" t="inlineStr">
        <is>
          <t>https://www.etenders.gov.za/home/Download/?blobName=ad0acbdb-578a-49e6-9a58-b9935c80d503.xlsx&amp;downloadedFileName=Annexure%205d%20RFB%203243-2026-%20Pricing%20Schedule.xlsx</t>
        </is>
      </c>
      <c r="S100" t="inlineStr"/>
      <c r="T100" t="inlineStr"/>
      <c r="U100" t="inlineStr"/>
      <c r="V100" t="inlineStr"/>
      <c r="W100" t="inlineStr"/>
    </row>
    <row r="101">
      <c r="A101" s="2" t="n">
        <v>46163</v>
      </c>
      <c r="B101" t="n">
        <v>5</v>
      </c>
      <c r="C101" t="inlineStr">
        <is>
          <t>SCM/TSW/24/2025-2026</t>
        </is>
      </c>
      <c r="D101" s="2" t="n">
        <v>46151</v>
      </c>
      <c r="E101" s="2" t="n">
        <v>46164</v>
      </c>
      <c r="F101" t="inlineStr">
        <is>
          <t>12:00</t>
        </is>
      </c>
      <c r="G101" t="inlineStr">
        <is>
          <t>Request for Bid(Open-Tender)</t>
        </is>
      </c>
      <c r="H101" t="inlineStr">
        <is>
          <t>APPOINTMENT OF A SERVICE PROVIDER FOR SUPPLY AND DELIVERY OF 9400m² OF grey 80mm INTERLOCKING PAVING BLOCKS AT BULTFONTEIN TECHNICAL DEPARTMENT OFFICES.</t>
        </is>
      </c>
      <c r="I101" t="inlineStr">
        <is>
          <t>ETENDERS.GOV.ZA</t>
        </is>
      </c>
      <c r="J101" t="inlineStr">
        <is>
          <t>Tswelopele Local Municipality</t>
        </is>
      </c>
      <c r="K101" t="inlineStr">
        <is>
          <t>Free State</t>
        </is>
      </c>
      <c r="L101" t="inlineStr">
        <is>
          <t>No</t>
        </is>
      </c>
      <c r="M101" t="inlineStr">
        <is>
          <t>Wholesale and retail trade and repair of motor vehicles and motorcycles</t>
        </is>
      </c>
      <c r="N101" t="inlineStr">
        <is>
          <t>No</t>
        </is>
      </c>
      <c r="O101" t="inlineStr">
        <is>
          <t>N/A</t>
        </is>
      </c>
      <c r="P101" t="inlineStr">
        <is>
          <t>No</t>
        </is>
      </c>
      <c r="Q101" t="inlineStr">
        <is>
          <t>N/A</t>
        </is>
      </c>
      <c r="R101" s="3" t="inlineStr">
        <is>
          <t>https://www.etenders.gov.za/home/Download/?blobName=b5dc5a33-ee91-4f58-b437-c2eaa7c19fd7.pdf&amp;downloadedFileName=Tender%20document%20-%20SCM-TSW-24-2025-2026%20-%20%20Bultfontein%20Paving%20Blocks%209400sq.pdf</t>
        </is>
      </c>
      <c r="S101" t="inlineStr"/>
      <c r="T101" t="inlineStr"/>
      <c r="U101" t="inlineStr"/>
      <c r="V101" t="inlineStr"/>
      <c r="W101" t="inlineStr"/>
    </row>
    <row r="102">
      <c r="A102" s="2" t="n">
        <v>46163</v>
      </c>
      <c r="B102" t="n">
        <v>4</v>
      </c>
      <c r="C102" t="inlineStr">
        <is>
          <t>LTA001-26/27</t>
        </is>
      </c>
      <c r="D102" s="2" t="n">
        <v>46151</v>
      </c>
      <c r="E102" s="2" t="n">
        <v>46178</v>
      </c>
      <c r="F102" t="inlineStr">
        <is>
          <t>11:00</t>
        </is>
      </c>
      <c r="G102" t="inlineStr">
        <is>
          <t>Request for Bid(Open-Tender)</t>
        </is>
      </c>
      <c r="H102" t="inlineStr">
        <is>
          <t>APPOINTMENT OF A PANEL OF COMPANIES FOR THE DESIGN AND CONSTRUCTION OF EXHIBITION STANDS FOR A PERIOD OF THIRTY-SIX (36) MONTHS</t>
        </is>
      </c>
      <c r="I102" t="inlineStr">
        <is>
          <t>ETENDERS.GOV.ZA</t>
        </is>
      </c>
      <c r="J102" t="inlineStr">
        <is>
          <t>Limpopo - Limpopo Tourism Agency</t>
        </is>
      </c>
      <c r="K102" t="inlineStr">
        <is>
          <t>Limpopo</t>
        </is>
      </c>
      <c r="L102" t="inlineStr">
        <is>
          <t>No</t>
        </is>
      </c>
      <c r="M102" t="inlineStr">
        <is>
          <t>Advertising and market research</t>
        </is>
      </c>
      <c r="N102" t="inlineStr">
        <is>
          <t>Yes</t>
        </is>
      </c>
      <c r="O102" t="inlineStr">
        <is>
          <t>N/A</t>
        </is>
      </c>
      <c r="P102" t="inlineStr">
        <is>
          <t>Yes</t>
        </is>
      </c>
      <c r="Q102" t="inlineStr">
        <is>
          <t>LINK ON 1ST PAGE OF BID DOCUMENT</t>
        </is>
      </c>
      <c r="R102" s="3" t="inlineStr">
        <is>
          <t>https://www.etenders.gov.za/home/Download/?blobName=af0180e3-3bdc-4ca9-aa52-33ffb82246eb.pdf&amp;downloadedFileName=LTA001_2627-%20PANEL%20OF%20COMPANIES%20FOR%20THE%20DESIGN%20AND%20CONSTRUCTION%20OF%20EXHIBITION%20STANDS%20FOR%20A%20PERIOD%20OF%2036%20MONTHS-SCM_SEWELAN.pdf</t>
        </is>
      </c>
      <c r="S102" t="inlineStr"/>
      <c r="T102" t="inlineStr"/>
      <c r="U102" t="inlineStr"/>
      <c r="V102" t="inlineStr"/>
      <c r="W102" t="inlineStr"/>
    </row>
    <row r="103">
      <c r="A103" s="2" t="n">
        <v>46163</v>
      </c>
      <c r="B103" t="n">
        <v>3</v>
      </c>
      <c r="C103" t="inlineStr">
        <is>
          <t>E2689GXMPDUVC</t>
        </is>
      </c>
      <c r="D103" s="2" t="n">
        <v>46151</v>
      </c>
      <c r="E103" s="2" t="n">
        <v>46164</v>
      </c>
      <c r="F103" t="inlineStr">
        <is>
          <t>10:00</t>
        </is>
      </c>
      <c r="G103" t="inlineStr">
        <is>
          <t>Request for Bid(Open-Tender)</t>
        </is>
      </c>
      <c r="H103" t="inlineStr">
        <is>
          <t>Publications of names of bidders - Ash Dam Solution Trench Repairs Tenders</t>
        </is>
      </c>
      <c r="I103" t="inlineStr">
        <is>
          <t>ETENDERS.GOV.ZA</t>
        </is>
      </c>
      <c r="J103" t="inlineStr">
        <is>
          <t>ESKOM</t>
        </is>
      </c>
      <c r="K103" t="inlineStr">
        <is>
          <t>Mpumalanga</t>
        </is>
      </c>
      <c r="L103" t="inlineStr">
        <is>
          <t>No</t>
        </is>
      </c>
      <c r="M103" t="inlineStr">
        <is>
          <t>Construction</t>
        </is>
      </c>
      <c r="N103" t="inlineStr">
        <is>
          <t>No</t>
        </is>
      </c>
      <c r="O103" t="inlineStr">
        <is>
          <t>N/A</t>
        </is>
      </c>
      <c r="P103" t="inlineStr">
        <is>
          <t>No</t>
        </is>
      </c>
      <c r="Q103" t="inlineStr">
        <is>
          <t>N/A</t>
        </is>
      </c>
      <c r="R103" s="3" t="inlineStr">
        <is>
          <t>https://www.etenders.gov.za/home/Download/?blobName=8ca8c15c-d14e-4913-a89a-bdc2b28ea96a.pdf&amp;downloadedFileName=Publication%20of%20Names%20of%20Bidders%20-%20E2689GXMPDUV.pdf</t>
        </is>
      </c>
      <c r="S103" t="inlineStr"/>
      <c r="T103" t="inlineStr"/>
      <c r="U103" t="inlineStr"/>
      <c r="V103" t="inlineStr"/>
      <c r="W103" t="inlineStr"/>
    </row>
    <row r="104">
      <c r="A104" s="2" t="n">
        <v>46163</v>
      </c>
      <c r="B104" t="n">
        <v>2</v>
      </c>
      <c r="C104" t="inlineStr">
        <is>
          <t>E2687GXMPDUVC</t>
        </is>
      </c>
      <c r="D104" s="2" t="n">
        <v>46151</v>
      </c>
      <c r="E104" s="2" t="n">
        <v>46164</v>
      </c>
      <c r="F104" t="inlineStr">
        <is>
          <t>10:00</t>
        </is>
      </c>
      <c r="G104" t="inlineStr">
        <is>
          <t>Request for Bid(Open-Tender)</t>
        </is>
      </c>
      <c r="H104" t="inlineStr">
        <is>
          <t>Publication of names of bidders - Building Renovations Tender</t>
        </is>
      </c>
      <c r="I104" t="inlineStr">
        <is>
          <t>ETENDERS.GOV.ZA</t>
        </is>
      </c>
      <c r="J104" t="inlineStr">
        <is>
          <t>ESKOM</t>
        </is>
      </c>
      <c r="K104" t="inlineStr">
        <is>
          <t>Mpumalanga</t>
        </is>
      </c>
      <c r="L104" t="inlineStr">
        <is>
          <t>No</t>
        </is>
      </c>
      <c r="M104" t="inlineStr">
        <is>
          <t>Construction</t>
        </is>
      </c>
      <c r="N104" t="inlineStr">
        <is>
          <t>No</t>
        </is>
      </c>
      <c r="O104" t="inlineStr">
        <is>
          <t>N/A</t>
        </is>
      </c>
      <c r="P104" t="inlineStr">
        <is>
          <t>No</t>
        </is>
      </c>
      <c r="Q104" t="inlineStr">
        <is>
          <t>N/A</t>
        </is>
      </c>
      <c r="R104" s="3" t="inlineStr">
        <is>
          <t>https://www.etenders.gov.za/home/Download/?blobName=c03e1458-9ab1-488d-ac20-cf9098cc325c.pdf&amp;downloadedFileName=Publication%20of%20Names%20of%20Bidders%20-%20E2687GXMPDUV.pdf</t>
        </is>
      </c>
      <c r="S104" t="inlineStr"/>
      <c r="T104" t="inlineStr"/>
      <c r="U104" t="inlineStr"/>
      <c r="V104" t="inlineStr"/>
      <c r="W104" t="inlineStr"/>
    </row>
    <row r="105">
      <c r="A105" s="2" t="n">
        <v>46163</v>
      </c>
      <c r="B105" t="n">
        <v>1</v>
      </c>
      <c r="C105" t="inlineStr">
        <is>
          <t>NW381/CORPS03-05/2025/2026</t>
        </is>
      </c>
      <c r="D105" s="2" t="n">
        <v>46151</v>
      </c>
      <c r="E105" s="2" t="n">
        <v>46164</v>
      </c>
      <c r="F105" t="inlineStr">
        <is>
          <t>11:00</t>
        </is>
      </c>
      <c r="G105" t="inlineStr">
        <is>
          <t>Request for Quotation</t>
        </is>
      </c>
      <c r="H105" t="inlineStr">
        <is>
          <t>APPOINTMENT OF SERVICE PROVIDER FOR SERVICING OF FIRE EXTINGUISHERS IN RATLOU LOCAL MUNICIPALITY</t>
        </is>
      </c>
      <c r="I105" t="inlineStr">
        <is>
          <t>ETENDERS.GOV.ZA</t>
        </is>
      </c>
      <c r="J105" t="inlineStr">
        <is>
          <t>Ratlou Local Municipality</t>
        </is>
      </c>
      <c r="K105" t="inlineStr">
        <is>
          <t>North West</t>
        </is>
      </c>
      <c r="L105" t="inlineStr">
        <is>
          <t>No</t>
        </is>
      </c>
      <c r="M105" t="inlineStr">
        <is>
          <t>Supplies: General</t>
        </is>
      </c>
      <c r="N105" t="inlineStr">
        <is>
          <t>No</t>
        </is>
      </c>
      <c r="O105" t="inlineStr">
        <is>
          <t>N/A</t>
        </is>
      </c>
      <c r="P105" t="inlineStr">
        <is>
          <t>No</t>
        </is>
      </c>
      <c r="Q105" t="inlineStr">
        <is>
          <t>N/A</t>
        </is>
      </c>
      <c r="R105" s="3" t="inlineStr">
        <is>
          <t>https://www.etenders.gov.za/home/Download/?blobName=b7d05a69-634e-4366-9225-5a0209518f65.pdf&amp;downloadedFileName=MBD%204%20(declaration%20of%20interests)%20RATLOU%20LOCAL%20MUNICIPALITY.pdf</t>
        </is>
      </c>
      <c r="S105" t="inlineStr"/>
      <c r="T105" t="inlineStr"/>
      <c r="U105" t="inlineStr"/>
      <c r="V105" t="inlineStr"/>
      <c r="W105" t="inlineStr"/>
    </row>
  </sheetData>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8" r:id="rId86"/>
    <hyperlink xmlns:r="http://schemas.openxmlformats.org/officeDocument/2006/relationships" ref="R89" r:id="rId87"/>
    <hyperlink xmlns:r="http://schemas.openxmlformats.org/officeDocument/2006/relationships" ref="R90" r:id="rId88"/>
    <hyperlink xmlns:r="http://schemas.openxmlformats.org/officeDocument/2006/relationships" ref="R91" r:id="rId89"/>
    <hyperlink xmlns:r="http://schemas.openxmlformats.org/officeDocument/2006/relationships" ref="R92" r:id="rId90"/>
    <hyperlink xmlns:r="http://schemas.openxmlformats.org/officeDocument/2006/relationships" ref="R93" r:id="rId91"/>
    <hyperlink xmlns:r="http://schemas.openxmlformats.org/officeDocument/2006/relationships" ref="R94" r:id="rId92"/>
    <hyperlink xmlns:r="http://schemas.openxmlformats.org/officeDocument/2006/relationships" ref="R95" r:id="rId93"/>
    <hyperlink xmlns:r="http://schemas.openxmlformats.org/officeDocument/2006/relationships" ref="R96" r:id="rId94"/>
    <hyperlink xmlns:r="http://schemas.openxmlformats.org/officeDocument/2006/relationships" ref="R97" r:id="rId95"/>
    <hyperlink xmlns:r="http://schemas.openxmlformats.org/officeDocument/2006/relationships" ref="R98" r:id="rId96"/>
    <hyperlink xmlns:r="http://schemas.openxmlformats.org/officeDocument/2006/relationships" ref="R99" r:id="rId97"/>
    <hyperlink xmlns:r="http://schemas.openxmlformats.org/officeDocument/2006/relationships" ref="R100" r:id="rId98"/>
    <hyperlink xmlns:r="http://schemas.openxmlformats.org/officeDocument/2006/relationships" ref="R101" r:id="rId99"/>
    <hyperlink xmlns:r="http://schemas.openxmlformats.org/officeDocument/2006/relationships" ref="R102" r:id="rId100"/>
    <hyperlink xmlns:r="http://schemas.openxmlformats.org/officeDocument/2006/relationships" ref="R103" r:id="rId101"/>
    <hyperlink xmlns:r="http://schemas.openxmlformats.org/officeDocument/2006/relationships" ref="R104" r:id="rId102"/>
    <hyperlink xmlns:r="http://schemas.openxmlformats.org/officeDocument/2006/relationships" ref="R105" r:id="rId10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Source</t>
        </is>
      </c>
      <c r="B1" s="1" t="inlineStr">
        <is>
          <t>Number of New Tenders</t>
        </is>
      </c>
      <c r="C1" s="1" t="inlineStr">
        <is>
          <t>ICT Tenders</t>
        </is>
      </c>
      <c r="D1" s="1" t="inlineStr">
        <is>
          <t>RFQs</t>
        </is>
      </c>
    </row>
    <row r="2">
      <c r="A2" t="inlineStr">
        <is>
          <t>Report Date</t>
        </is>
      </c>
      <c r="B2" t="inlineStr">
        <is>
          <t>(M) 10/05/2026</t>
        </is>
      </c>
    </row>
    <row r="3">
      <c r="A3" t="inlineStr">
        <is>
          <t>eTenders (All)</t>
        </is>
      </c>
      <c r="B3">
        <f>COUNTA('Tender Data'!J:J)-1</f>
        <v/>
      </c>
      <c r="C3">
        <f>COUNTIF('Tender Data'!M:M,"Information service activities")+COUNTIF('Tender Data'!M:M,"Information and communication")</f>
        <v/>
      </c>
      <c r="D3">
        <f>COUNTIF('Tender Data'!G:G,"Request for Quotation")</f>
        <v/>
      </c>
    </row>
    <row r="4">
      <c r="A4" t="inlineStr">
        <is>
          <t>Eskom</t>
        </is>
      </c>
      <c r="B4">
        <f>COUNTIF('Tender Data'!J:J,"ESKOM")</f>
        <v/>
      </c>
      <c r="C4">
        <f>COUNTIFS('Tender Data'!M:M,"Information service activities",'Tender Data'!J:J,"ESKOM")+COUNTIFS('Tender Data'!M:M,"Information and communication",'Tender Data'!J:J,"ESKOM")</f>
        <v/>
      </c>
      <c r="D4">
        <f>COUNTIFS('Tender Data'!J:J,"ESKOM",'Tender Data'!G:G,"Request for Quotation")</f>
        <v/>
      </c>
    </row>
    <row r="5">
      <c r="A5" t="inlineStr">
        <is>
          <t>SITA</t>
        </is>
      </c>
      <c r="B5">
        <f>COUNTIF('Tender Data'!J:J,"State Information Technology Agency")</f>
        <v/>
      </c>
      <c r="C5">
        <f>COUNTIFS('Tender Data'!M:M,"Information service activities",'Tender Data'!J:J,"State Information Technology Agency")+COUNTIFS('Tender Data'!M:M,"Information and communication",'Tender Data'!J:J,"State Information Technology Agency")</f>
        <v/>
      </c>
      <c r="D5">
        <f>COUNTIFS('Tender Data'!J:J,"State Information Technology Agency",'Tender Data'!G:G,"Request for Quotation")</f>
        <v/>
      </c>
    </row>
    <row r="6">
      <c r="A6" t="inlineStr">
        <is>
          <t>Transnet</t>
        </is>
      </c>
      <c r="B6">
        <f>COUNTIF('Tender Data'!J:J,"Transnet*")</f>
        <v/>
      </c>
      <c r="C6">
        <f>COUNTIFS('Tender Data'!M:M,"Information service activities",'Tender Data'!J:J,"Transnet*")+COUNTIFS('Tender Data'!M:M,"Information and communication",'Tender Data'!J:J,"Transnet*")</f>
        <v/>
      </c>
      <c r="D6">
        <f>COUNTIFS('Tender Data'!J:J,"Transnet*",'Tender Data'!G:G,"Request for Quotation")</f>
        <v/>
      </c>
    </row>
    <row r="7">
      <c r="A7" t="inlineStr">
        <is>
          <t>JPC</t>
        </is>
      </c>
      <c r="B7">
        <f>COUNTIF('Tender Data'!J:J,"*Joburg Property*")</f>
        <v/>
      </c>
      <c r="C7">
        <f>COUNTIFS('Tender Data'!M:M,"Information service activities",'Tender Data'!J:J,"*Joburg Property*")+COUNTIFS('Tender Data'!M:M,"Information and communication",'Tender Data'!J:J,"*Joburg Property*")</f>
        <v/>
      </c>
      <c r="D7">
        <f>COUNTIFS('Tender Data'!J:J,"*Joburg Property*",'Tender Data'!G:G,"Request for Quotation")</f>
        <v/>
      </c>
    </row>
    <row r="8">
      <c r="A8" t="inlineStr">
        <is>
          <t>Matatiele LM</t>
        </is>
      </c>
      <c r="B8">
        <f>COUNTIF('Tender Data'!J:J,"Matatiele Local Municipality")</f>
        <v/>
      </c>
      <c r="C8">
        <f>COUNTIFS('Tender Data'!M:M,"Information service activities",'Tender Data'!J:J,"Matatiele Local Municipality")+COUNTIFS('Tender Data'!M:M,"Information and communication",'Tender Data'!J:J,"Matatiele Local Municipality")</f>
        <v/>
      </c>
      <c r="D8">
        <f>COUNTIFS('Tender Data'!J:J,"Matatiele Local Municipality",'Tender Data'!G:G,"Request for Quotation")</f>
        <v/>
      </c>
    </row>
    <row r="9">
      <c r="A9" t="inlineStr">
        <is>
          <t>Ntabankulu LM</t>
        </is>
      </c>
      <c r="B9">
        <f>COUNTIF('Tender Data'!J:J,"Ntabankulu Local Municipality")</f>
        <v/>
      </c>
      <c r="C9">
        <f>COUNTIFS('Tender Data'!M:M,"Information service activities",'Tender Data'!J:J,"Ntabankulu Local Municipality")+COUNTIFS('Tender Data'!M:M,"Information and communication",'Tender Data'!J:J,"Ntabankulu Local Municipality")</f>
        <v/>
      </c>
      <c r="D9">
        <f>COUNTIFS('Tender Data'!J:J,"Ntabankulu Local Municipality",'Tender Data'!G:G,"Request for Quotation")</f>
        <v/>
      </c>
    </row>
    <row r="10">
      <c r="A10" t="inlineStr">
        <is>
          <t>Umzimvubu LM</t>
        </is>
      </c>
      <c r="B10">
        <f>COUNTIF('Tender Data'!J:J,"Umzimvubu Local Municipality")</f>
        <v/>
      </c>
      <c r="C10">
        <f>COUNTIFS('Tender Data'!M:M,"Information service activities",'Tender Data'!J:J,"Umzimvubu Local Municipality")+COUNTIFS('Tender Data'!M:M,"Information and communication",'Tender Data'!J:J,"Umzimvubu Local Municipality")</f>
        <v/>
      </c>
      <c r="D10">
        <f>COUNTIFS('Tender Data'!J:J,"Umzimvubu Local Municipality",'Tender Data'!G:G,"Request for Quotation")</f>
        <v/>
      </c>
    </row>
    <row r="11">
      <c r="A11" t="inlineStr">
        <is>
          <t>Winnie Mandela LM</t>
        </is>
      </c>
      <c r="B11">
        <f>COUNTIF('Tender Data'!J:J,"Winnie Madikizela*")</f>
        <v/>
      </c>
      <c r="C11">
        <f>COUNTIFS('Tender Data'!M:M,"Information service activities",'Tender Data'!J:J,"Winnie Madikizela*")+COUNTIFS('Tender Data'!M:M,"Information and communication",'Tender Data'!J:J,"Winnie Madikizela*")</f>
        <v/>
      </c>
      <c r="D11">
        <f>COUNTIFS('Tender Data'!J:J,"Winnie Madikizela*",'Tender Data'!G:G,"Request for Quotation")</f>
        <v/>
      </c>
    </row>
    <row r="12">
      <c r="A12" t="inlineStr">
        <is>
          <t>Mnquma LM</t>
        </is>
      </c>
      <c r="B12">
        <f>COUNTIF('Tender Data'!J:J,"Mnquma Local Municipality")</f>
        <v/>
      </c>
      <c r="C12">
        <f>COUNTIFS('Tender Data'!M:M,"Information service activities",'Tender Data'!J:J,"Mnquma Local Municipality")+COUNTIFS('Tender Data'!M:M,"Information and communication",'Tender Data'!J:J,"Mnquma Local Municipality")</f>
        <v/>
      </c>
      <c r="D12">
        <f>COUNTIFS('Tender Data'!J:J,"Mnquma Local Municipality",'Tender Data'!G:G,"Request for Quotation")</f>
        <v/>
      </c>
    </row>
    <row r="13">
      <c r="A13" t="inlineStr">
        <is>
          <t>Great Kei LM</t>
        </is>
      </c>
      <c r="B13">
        <f>COUNTIF('Tender Data'!J:J,"Great Kei Local Municipality")</f>
        <v/>
      </c>
      <c r="C13">
        <f>COUNTIFS('Tender Data'!M:M,"Information service activities",'Tender Data'!J:J,"Great Kei Local Municipality")+COUNTIFS('Tender Data'!M:M,"Information and communication",'Tender Data'!J:J,"Great Kei Local Municipality")</f>
        <v/>
      </c>
      <c r="D13">
        <f>COUNTIFS('Tender Data'!J:J,"Great Kei Local Municipality",'Tender Data'!G:G,"Request for Quotation")</f>
        <v/>
      </c>
    </row>
    <row r="14">
      <c r="A14" t="inlineStr">
        <is>
          <t>Amahlathi LM</t>
        </is>
      </c>
      <c r="B14">
        <f>COUNTIF('Tender Data'!J:J,"Amahlathi Local Municipality")</f>
        <v/>
      </c>
      <c r="C14">
        <f>COUNTIFS('Tender Data'!M:M,"Information service activities",'Tender Data'!J:J,"Amahlathi Local Municipality")+COUNTIFS('Tender Data'!M:M,"Information and communication",'Tender Data'!J:J,"Amahlathi Local Municipality")</f>
        <v/>
      </c>
      <c r="D14">
        <f>COUNTIFS('Tender Data'!J:J,"Amahlathi Local Municipality",'Tender Data'!G:G,"Request for Quotation")</f>
        <v/>
      </c>
    </row>
    <row r="15">
      <c r="A15" t="inlineStr">
        <is>
          <t>Raymond Mhlaba LM</t>
        </is>
      </c>
      <c r="B15">
        <f>COUNTIF('Tender Data'!J:J,"Raymond Mhlaba Local Municipality")</f>
        <v/>
      </c>
      <c r="C15">
        <f>COUNTIFS('Tender Data'!M:M,"Information service activities",'Tender Data'!J:J,"Raymond Mhlaba Local Municipality")+COUNTIFS('Tender Data'!M:M,"Information and communication",'Tender Data'!J:J,"Raymond Mhlaba Local Municipality")</f>
        <v/>
      </c>
      <c r="D15">
        <f>COUNTIFS('Tender Data'!J:J,"Raymond Mhlaba Local Municipality",'Tender Data'!G:G,"Request for Quotation")</f>
        <v/>
      </c>
    </row>
    <row r="16">
      <c r="A16" t="inlineStr">
        <is>
          <t>JOSHCO</t>
        </is>
      </c>
      <c r="B16">
        <f>COUNTIF('Tender Data'!J:J,"*Johannesburg Social Housing*")</f>
        <v/>
      </c>
      <c r="C16">
        <f>COUNTIFS('Tender Data'!M:M,"Information service activities",'Tender Data'!J:J,"*Johannesburg Social Housing*")+COUNTIFS('Tender Data'!M:M,"Information and communication",'Tender Data'!J:J,"*Johannesburg Social Housing*")</f>
        <v/>
      </c>
      <c r="D16">
        <f>COUNTIFS('Tender Data'!J:J,"*Johannesburg Social Housing*",'Tender Data'!G:G,"Request for Quotation")</f>
        <v/>
      </c>
    </row>
    <row r="17">
      <c r="A17" t="inlineStr">
        <is>
          <t>GPL</t>
        </is>
      </c>
      <c r="B17">
        <f>COUNTIF('Tender Data'!J:J,"Gauteng Provincial Legislature")</f>
        <v/>
      </c>
      <c r="C17">
        <f>COUNTIFS('Tender Data'!M:M,"Information service activities",'Tender Data'!J:J,"Gauteng Provincial Legislature")+COUNTIFS('Tender Data'!M:M,"Information and communication",'Tender Data'!J:J,"Gauteng Provincial Legislature")</f>
        <v/>
      </c>
      <c r="D17">
        <f>COUNTIFS('Tender Data'!J:J,"Gauteng Provincial Legislature",'Tender Data'!G:G,"Request for Quotation")</f>
        <v/>
      </c>
    </row>
    <row r="18">
      <c r="A18" t="inlineStr">
        <is>
          <t>RAF</t>
        </is>
      </c>
      <c r="B18">
        <f>COUNTIF('Tender Data'!J:J,"Road Accident Fund")</f>
        <v/>
      </c>
      <c r="C18">
        <f>COUNTIFS('Tender Data'!M:M,"Information service activities",'Tender Data'!J:J,"Road Accident Fund")+COUNTIFS('Tender Data'!M:M,"Information and communication",'Tender Data'!J:J,"Road Accident Fund")</f>
        <v/>
      </c>
      <c r="D18">
        <f>COUNTIFS('Tender Data'!J:J,"Road Accident Fund",'Tender Data'!G:G,"Request for Quotation")</f>
        <v/>
      </c>
    </row>
    <row r="19">
      <c r="A19" t="inlineStr">
        <is>
          <t>MM Trading Company</t>
        </is>
      </c>
      <c r="B19">
        <f>COUNTIF('Tender Data'!J:J,"*Metropolitan Trading*")</f>
        <v/>
      </c>
      <c r="C19">
        <f>COUNTIFS('Tender Data'!M:M,"Information service activities",'Tender Data'!J:J,"*Metropolitan Trading*")+COUNTIFS('Tender Data'!M:M,"Information and communication",'Tender Data'!J:J,"*Metropolitan Trading*")</f>
        <v/>
      </c>
      <c r="D19">
        <f>COUNTIFS('Tender Data'!J:J,"*Metropolitan Trading*",'Tender Data'!G:G,"Request for Quotation")</f>
        <v/>
      </c>
    </row>
    <row r="20">
      <c r="A20" t="inlineStr">
        <is>
          <t>Nelson Mandela Bay MM</t>
        </is>
      </c>
      <c r="B20">
        <f>COUNTIF('Tender Data'!J:J,"*Nelson Mandela Bay*")</f>
        <v/>
      </c>
      <c r="C20">
        <f>COUNTIFS('Tender Data'!M:M,"Information service activities",'Tender Data'!J:J,"*Nelson Mandela Bay*")+COUNTIFS('Tender Data'!M:M,"Information and communication",'Tender Data'!J:J,"*Nelson Mandela Bay*")</f>
        <v/>
      </c>
      <c r="D20">
        <f>COUNTIFS('Tender Data'!J:J,"*Nelson Mandela Bay*",'Tender Data'!G:G,"Request for Quotation")</f>
        <v/>
      </c>
    </row>
    <row r="21">
      <c r="A21" t="inlineStr">
        <is>
          <t>Buffalo City MM</t>
        </is>
      </c>
      <c r="B21">
        <f>COUNTIF('Tender Data'!J:J,"*Buffalo City*")</f>
        <v/>
      </c>
      <c r="C21">
        <f>COUNTIFS('Tender Data'!M:M,"Information service activities",'Tender Data'!J:J,"*Buffalo City*")+COUNTIFS('Tender Data'!M:M,"Information and communication",'Tender Data'!J:J,"*Buffalo City*")</f>
        <v/>
      </c>
      <c r="D21">
        <f>COUNTIFS('Tender Data'!J:J,"*Buffalo City*",'Tender Data'!G:G,"Request for Quotation")</f>
        <v/>
      </c>
    </row>
    <row r="22">
      <c r="A22" t="inlineStr">
        <is>
          <t>EC DPW</t>
        </is>
      </c>
      <c r="B22">
        <f>COUNTIF('Tender Data'!J:J,"*Eastern Cape*Public Works*")</f>
        <v/>
      </c>
      <c r="C22">
        <f>COUNTIFS('Tender Data'!M:M,"Information service activities",'Tender Data'!J:J,"*Eastern Cape*Public Works*")+COUNTIFS('Tender Data'!M:M,"Information and communication",'Tender Data'!J:J,"*Eastern Cape*Public Works*")</f>
        <v/>
      </c>
      <c r="D22">
        <f>COUNTIFS('Tender Data'!J:J,"*Eastern Cape*Public Works*",'Tender Data'!G:G,"Request for Quotation")</f>
        <v/>
      </c>
    </row>
    <row r="23">
      <c r="A23" t="inlineStr">
        <is>
          <t>DEL</t>
        </is>
      </c>
      <c r="B23">
        <f>COUNTIF('Tender Data'!J:J,"*Labour*")</f>
        <v/>
      </c>
      <c r="C23">
        <f>COUNTIFS('Tender Data'!M:M,"Information service activities",'Tender Data'!J:J,"*Labour*")+COUNTIFS('Tender Data'!M:M,"Information and communication",'Tender Data'!J:J,"*Labour*")</f>
        <v/>
      </c>
      <c r="D23">
        <f>COUNTIFS('Tender Data'!J:J,"*Labour*",'Tender Data'!G:G,"Request for Quotation")</f>
        <v/>
      </c>
    </row>
    <row r="24">
      <c r="A24" t="inlineStr">
        <is>
          <t>SIU</t>
        </is>
      </c>
      <c r="B24">
        <f>COUNTIF('Tender Data'!J:J,"Special Investigations Unit*")</f>
        <v/>
      </c>
      <c r="C24">
        <f>COUNTIFS('Tender Data'!M:M,"Information service activities",'Tender Data'!J:J,"Special Investigations Unit*")+COUNTIFS('Tender Data'!M:M,"Information and communication",'Tender Data'!J:J,"Special Investigations Unit*")</f>
        <v/>
      </c>
      <c r="D24">
        <f>COUNTIFS('Tender Data'!J:J,"Special Investigations Unit*",'Tender Data'!G:G,"Request for Quotation")</f>
        <v/>
      </c>
    </row>
    <row r="25">
      <c r="A25" t="inlineStr">
        <is>
          <t>GDoH</t>
        </is>
      </c>
      <c r="B25">
        <f>COUNTIF('Tender Data'!J:J,"*Gauteng*Health*")</f>
        <v/>
      </c>
      <c r="C25">
        <f>COUNTIFS('Tender Data'!M:M,"Information service activities",'Tender Data'!J:J,"*Gauteng*Health*")+COUNTIFS('Tender Data'!M:M,"Information and communication",'Tender Data'!J:J,"*Gauteng*Health*")</f>
        <v/>
      </c>
      <c r="D25">
        <f>COUNTIFS('Tender Data'!J:J,"*Gauteng*Health*",'Tender Data'!G:G,"Request for Quotation")</f>
        <v/>
      </c>
    </row>
    <row r="26">
      <c r="A26" t="inlineStr">
        <is>
          <t>DIRCO</t>
        </is>
      </c>
      <c r="B26">
        <f>COUNTIF('Tender Data'!J:J,"*International Relation*")</f>
        <v/>
      </c>
      <c r="C26">
        <f>COUNTIFS('Tender Data'!M:M,"Information service activities",'Tender Data'!J:J,"*International Relation*")+COUNTIFS('Tender Data'!M:M,"Information and communication",'Tender Data'!J:J,"*International Relation*")</f>
        <v/>
      </c>
      <c r="D26">
        <f>COUNTIFS('Tender Data'!J:J,"*International Relation*",'Tender Data'!G:G,"Request for Quotation")</f>
        <v/>
      </c>
    </row>
    <row r="27">
      <c r="A27" t="inlineStr">
        <is>
          <t>CP JHB</t>
        </is>
      </c>
      <c r="B27">
        <f>COUNTIF('Tender Data'!J:J,"*Joburg Property*")</f>
        <v/>
      </c>
      <c r="C27">
        <f>COUNTIFS('Tender Data'!M:M,"Information service activities",'Tender Data'!J:J,"*Joburg Property*")+COUNTIFS('Tender Data'!M:M,"Information and communication",'Tender Data'!J:J,"*Joburg Property*")</f>
        <v/>
      </c>
      <c r="D27">
        <f>COUNTIFS('Tender Data'!J:J,"*Joburg Property*",'Tender Data'!G:G,"Request for Quotation")</f>
        <v/>
      </c>
    </row>
    <row r="28">
      <c r="A28" t="inlineStr">
        <is>
          <t>W JHB</t>
        </is>
      </c>
      <c r="B28">
        <f>COUNTIF('Tender Data'!J:J,"*Johannesburg Water*")</f>
        <v/>
      </c>
      <c r="C28">
        <f>COUNTIFS('Tender Data'!M:M,"Information service activities",'Tender Data'!J:J,"*Johannesburg Water*")+COUNTIFS('Tender Data'!M:M,"Information and communication",'Tender Data'!J:J,"*Johannesburg Water*")</f>
        <v/>
      </c>
      <c r="D28">
        <f>COUNTIFS('Tender Data'!J:J,"*Johannesburg Water*",'Tender Data'!G:G,"Request for Quotation")</f>
        <v/>
      </c>
    </row>
    <row r="29">
      <c r="B29">
        <f>SUM(B4:B28)</f>
        <v/>
      </c>
      <c r="C29">
        <f>SUM(C4:C28)</f>
        <v/>
      </c>
      <c r="D29">
        <f>SUM(D4:D28)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2026-05-21T11:09:20Z</dcterms:created>
  <dcterms:modified xsi:type="dcterms:W3CDTF">2026-05-21T11:09:20Z</dcterms:modified>
</cp:coreProperties>
</file>