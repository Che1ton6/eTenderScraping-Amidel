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All_Tenders/(M) 18-21 June 2026/end product/"/>
    </mc:Choice>
  </mc:AlternateContent>
  <xr:revisionPtr revIDLastSave="4" documentId="11_37732AF1F6873191A781E363F3D9EF104FDEEA71" xr6:coauthVersionLast="47" xr6:coauthVersionMax="47" xr10:uidLastSave="{8790124B-22A5-4B26-8D67-EB7B22ECD3D5}"/>
  <bookViews>
    <workbookView xWindow="-108" yWindow="-108" windowWidth="23256" windowHeight="12456" activeTab="2" xr2:uid="{00000000-000D-0000-FFFF-FFFF00000000}"/>
  </bookViews>
  <sheets>
    <sheet name="Tender Data" sheetId="1" r:id="rId1"/>
    <sheet name="Final" sheetId="2" r:id="rId2"/>
    <sheet name="Raw 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D30" i="2" s="1"/>
  <c r="C4" i="2"/>
  <c r="C30" i="2" s="1"/>
  <c r="B4" i="2"/>
  <c r="B30" i="2" s="1"/>
  <c r="D3" i="2"/>
  <c r="C3" i="2"/>
  <c r="B3" i="2"/>
</calcChain>
</file>

<file path=xl/sharedStrings.xml><?xml version="1.0" encoding="utf-8"?>
<sst xmlns="http://schemas.openxmlformats.org/spreadsheetml/2006/main" count="11959" uniqueCount="2127">
  <si>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</si>
  <si>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</si>
  <si>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</si>
  <si>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</si>
  <si>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</si>
  <si>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</si>
  <si>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</si>
  <si>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</si>
  <si>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</si>
  <si>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</si>
  <si>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</si>
  <si>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</si>
  <si>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</si>
  <si>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</si>
  <si>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COMPULSORY_BRIEFING</t>
  </si>
  <si>
    <t>BRIEFING_SESSION_VENUE</t>
  </si>
  <si>
    <t>LINK</t>
  </si>
  <si>
    <t>SOE</t>
  </si>
  <si>
    <t>COST_OF_SALES_ESTIMATE</t>
  </si>
  <si>
    <t>CAPABILITY_AVAILABLE</t>
  </si>
  <si>
    <t>CAPABILITY_GROUP</t>
  </si>
  <si>
    <t>REQUIREMENTS</t>
  </si>
  <si>
    <t>CO 26/12 O</t>
  </si>
  <si>
    <t>12:00</t>
  </si>
  <si>
    <t>Request for Bid(Open-Tender)</t>
  </si>
  <si>
    <t>Provision of Grounds and Gardening Services at Majuba TVET College for a period of 5 Years</t>
  </si>
  <si>
    <t>ETENDERS.GOV.ZA</t>
  </si>
  <si>
    <t>Majuba Tvet college</t>
  </si>
  <si>
    <t>KwaZulu-Natal</t>
  </si>
  <si>
    <t>No</t>
  </si>
  <si>
    <t>Other service activities</t>
  </si>
  <si>
    <t>Yes</t>
  </si>
  <si>
    <t>Newcastle Training Centre Hall, 2 HJ Van Eck Avenue, Newcastle</t>
  </si>
  <si>
    <t>https://www.etenders.gov.za/home/Download/?blobName=1debbfd3-bfd5-48cc-9819-dab8ebf24933.pdf&amp;downloadedFileName=Advert%20for%20PROVISION%20OF%20GROUND%20AND%20GARDENING%20SERVICES%20AT%20MAJUBA%20TVET%20COLLEGE%20SITES%20FOR%20THE%20PERIOD%20OF%20(05)%20YEARS.pdf</t>
  </si>
  <si>
    <t>IT 26/03 C</t>
  </si>
  <si>
    <t>Provision of Endpoint Protection and XDR Security Solution at Majuba TVET College for the period of five (05) Years</t>
  </si>
  <si>
    <t>Information and communication</t>
  </si>
  <si>
    <t>Virtual meeting - the link will be shared with service providers that requested for the document</t>
  </si>
  <si>
    <t>https://www.etenders.gov.za/home/Download/?blobName=3e0a07c5-0aab-491e-8cd4-3b631e78b5b1.pdf&amp;downloadedFileName=Advert%20for%20Provision%20of%20internet%20services%20-%20End%20Point-%203%20Tier.pdf</t>
  </si>
  <si>
    <t>GMT061/25-26</t>
  </si>
  <si>
    <t>Appointment of a Panel of Contractors to attend to Plumbing Related Services for Municipal Buildings and Facilities, Informal Settlement Areas and Indigent Households, as and when required, for a period of three (3) years from date of appointment until 30 June 2029</t>
  </si>
  <si>
    <t>George Municipality</t>
  </si>
  <si>
    <t>Western Cape</t>
  </si>
  <si>
    <t>Conference Hall at George Municipality’s Civic Centre, York Street, George</t>
  </si>
  <si>
    <t>https://www.etenders.gov.za/home/Download/?blobName=822effce-63d3-4ef3-b75c-03cdcac572ce.pdf&amp;downloadedFileName=GMT061%20of%2025-26%20Tender%20document_18%20June%202026_%20Final.pdf</t>
  </si>
  <si>
    <t>NKO10/2026</t>
  </si>
  <si>
    <t>APPOINTMENT OF A SUITABLE SERVICE PROVIDER FOR SUPPLY AND DELIVERY OF PROTECTIVE CLOTHING AND RELATED ITEMS FOR NKOMAZI LOCAL MUNICIPALITY FOR A PERIOD OF THREE YEARS (36 MONTHS)</t>
  </si>
  <si>
    <t>Nkomazi Local Municipality</t>
  </si>
  <si>
    <t>Mpumalanga</t>
  </si>
  <si>
    <t>Supplies: Clothing/Textiles/Footwear</t>
  </si>
  <si>
    <t>Municipal Town Hall (Kobwa), Fish Eagle, Malalane</t>
  </si>
  <si>
    <t>https://www.etenders.gov.za/home/Download/?blobName=f2432ad0-77b3-4217-aace-6ab28d55ed7a.pdf&amp;downloadedFileName=NKO%2010%202026.pdf</t>
  </si>
  <si>
    <t>IT 26/03 O</t>
  </si>
  <si>
    <t>Provision of Internet Services at Majuba TVET College for the period of five(05) Years</t>
  </si>
  <si>
    <t>83 Allen Street, Newcastle</t>
  </si>
  <si>
    <t>https://www.etenders.gov.za/home/Download/?blobName=aa42ef56-627e-43ee-8472-b8b52e5ca98b.pdf&amp;downloadedFileName=Advert%20for%20Provision%20of%20internet%20services%20-%20End%20Point-%203%20Tier.pdf</t>
  </si>
  <si>
    <t>IT 26/02 O</t>
  </si>
  <si>
    <t>Provision of 3 Tier Virtual Environment at Majuba TVET College for the Period of (05) Five Years</t>
  </si>
  <si>
    <t>https://www.etenders.gov.za/home/Download/?blobName=ab8110d3-d32a-4e46-9514-4dade2be3b29.pdf&amp;downloadedFileName=Advert%20for%20Provision%20of%20internet%20services%20-%20End%20Point-%203%20Tier.pdf</t>
  </si>
  <si>
    <t>MDM 2025/26 -54</t>
  </si>
  <si>
    <t>Giyani Water Reticulation Phase 2A(Contract 014)-Mushiyani Water Reticulation</t>
  </si>
  <si>
    <t>Mopani District Municipality</t>
  </si>
  <si>
    <t>Limpopo</t>
  </si>
  <si>
    <t>Civil engineering</t>
  </si>
  <si>
    <t>N/A</t>
  </si>
  <si>
    <t>https://www.etenders.gov.za/home/Download/?blobName=3de493a7-77b0-4082-93f7-5392f24917ed.pdf&amp;downloadedFileName=Giyani%20Water%20Reticulation%20to%20Villages%20Phase%202A%20-%20Final%20advert%20.pdf</t>
  </si>
  <si>
    <t>MDM 2025/26 -55</t>
  </si>
  <si>
    <t>Giyani Water Reticulation Phase 2A(Contract 015)-Nsavulani Water Reticulation</t>
  </si>
  <si>
    <t>https://www.etenders.gov.za/home/Download/?blobName=ff75eedc-33dd-4422-ad80-c8b5c3edd20d.pdf&amp;downloadedFileName=Giyani%20Water%20Reticulation%20to%20Villages%20Phase%202A%20-%20Final%20advert%20.pdf</t>
  </si>
  <si>
    <t>MDM 2025/26 -56</t>
  </si>
  <si>
    <t>Giyani Water Reticulation Phase 2A(Contract 016)-Nwadzekudzeku Water Reticulation</t>
  </si>
  <si>
    <t>https://www.etenders.gov.za/home/Download/?blobName=6c20d68c-60b4-4bd6-bec6-d223d4334480.pdf&amp;downloadedFileName=Giyani%20Water%20Reticulation%20to%20Villages%20Phase%202A%20-%20Final%20advert%20.pdf</t>
  </si>
  <si>
    <t>MDM 2025/26 -57</t>
  </si>
  <si>
    <t>Giyani Water Reticulation Phase 2A(Contract 017)-Phlaubeni Water Reticulation</t>
  </si>
  <si>
    <t>https://www.etenders.gov.za/home/Download/?blobName=e0fd5d6a-ebc0-4d41-8d0b-e7da53144af0.pdf&amp;downloadedFileName=Giyani%20Water%20Reticulation%20to%20Villages%20Phase%202A%20-%20Final%20advert%20.pdf</t>
  </si>
  <si>
    <t>MDM 2025/26 -58</t>
  </si>
  <si>
    <t>Giyani Water Reticulation Phase 2A(Contract 018)-Vuhehli Water Reticulation Contract B</t>
  </si>
  <si>
    <t>https://www.etenders.gov.za/home/Download/?blobName=0d05656e-3662-4857-adb5-1edf132c6906.pdf&amp;downloadedFileName=Giyani%20Water%20Reticulation%20to%20Villages%20Phase%202A%20-%20Final%20advert%20.pdf</t>
  </si>
  <si>
    <t>MDM 2025/26 -59</t>
  </si>
  <si>
    <t>Giyani Water Reticulation Phase 2A(Contract 019)-Xikhumba Water Reticulation Contract A</t>
  </si>
  <si>
    <t>https://www.etenders.gov.za/home/Download/?blobName=6259c7a5-5913-45da-ac0a-0c6715b34390.pdf&amp;downloadedFileName=Giyani%20Water%20Reticulation%20to%20Villages%20Phase%202A%20-%20Final%20advert%20.pdf</t>
  </si>
  <si>
    <t>MDM 2025/26 -60</t>
  </si>
  <si>
    <t>Giyani Water Reticulation Phase 2A(Contract 020)-Xikhumba Water Reticulation Contract B</t>
  </si>
  <si>
    <t>https://www.etenders.gov.za/home/Download/?blobName=eccdba60-fcf4-4351-a07e-a80a18be2676.pdf&amp;downloadedFileName=Giyani%20Water%20Reticulation%20to%20Villages%20Phase%202A%20-%20Final%20advert%20.pdf</t>
  </si>
  <si>
    <t>MDM 2025/26 -61</t>
  </si>
  <si>
    <t>Giyani Water Reticulation Phase 2A(Contract 021)-Xikhumba Water Reticulation Contract C</t>
  </si>
  <si>
    <t>https://www.etenders.gov.za/home/Download/?blobName=ea55d4dc-c299-4b8a-a395-ac144ade790d.pdf&amp;downloadedFileName=Giyani%20Water%20Reticulation%20to%20Villages%20Phase%202A%20-%20Final%20advert%20.pdf</t>
  </si>
  <si>
    <t>MDM 2025/26 -43</t>
  </si>
  <si>
    <t>Giyani Water Reticulation Phase 2A(Contract 003)-Makhuva Water Reticulation Contract A</t>
  </si>
  <si>
    <t>https://www.etenders.gov.za/home/Download/?blobName=280152a9-4d6c-4b1c-9c80-d82bffab86c5.pdf&amp;downloadedFileName=Giyani%20Water%20Reticulation%20to%20Villages%20Phase%202A%20-%20Final%20advert%20.pdf</t>
  </si>
  <si>
    <t>MDM 2025/26 -44</t>
  </si>
  <si>
    <t>Giyani Water Reticulation Phase 2A(Contract 004)-Makhuva Water Reticulation Contract B</t>
  </si>
  <si>
    <t>https://www.etenders.gov.za/home/Download/?blobName=259f500b-dce3-4b07-9197-7579b7c865d3.pdf&amp;downloadedFileName=Giyani%20Water%20Reticulation%20to%20Villages%20Phase%202A%20-%20Final%20advert%20.pdf</t>
  </si>
  <si>
    <t>MDM 2025/26 -46</t>
  </si>
  <si>
    <t>Giyani Water Reticulation Phase 2A(Contract 006)-Mavalani Water Reticulation Contract B</t>
  </si>
  <si>
    <t>https://www.etenders.gov.za/home/Download/?blobName=ac44edbe-a874-4b6a-afd7-6181815f2f49.pdf&amp;downloadedFileName=Giyani%20Water%20Reticulation%20to%20Villages%20Phase%202A%20-%20Final%20advert%20.pdf</t>
  </si>
  <si>
    <t>MDM 2025/26 -47</t>
  </si>
  <si>
    <t>Giyani Water Reticulation Phase 2A(Contract 007)-Mavalani Water Reticulation Contract C</t>
  </si>
  <si>
    <t>https://www.etenders.gov.za/home/Download/?blobName=459712b6-23b7-4e22-9994-a2b6fb6e57a8.pdf&amp;downloadedFileName=Giyani%20Water%20Reticulation%20to%20Villages%20Phase%202A%20-%20Final%20advert%20.pdf</t>
  </si>
  <si>
    <t>MDM 2025/26 -48</t>
  </si>
  <si>
    <t>Giyani Water Reticulation Phase 2A(Contract 008)-Mbatlo Water Reticulation</t>
  </si>
  <si>
    <t>https://www.etenders.gov.za/home/Download/?blobName=c952ea03-da57-49de-8b49-01e48b28ee9e.pdf&amp;downloadedFileName=Giyani%20Water%20Reticulation%20to%20Villages%20Phase%202A%20-%20Final%20advert%20.pdf</t>
  </si>
  <si>
    <t>MDM 2025/26 -49</t>
  </si>
  <si>
    <t>Giyani Water Reticulation Phase 2A(Contract 009)-Mbaula Water Reticulation</t>
  </si>
  <si>
    <t>https://www.etenders.gov.za/home/Download/?blobName=3aa0f583-1640-4f32-bae2-80b7bb310e70.pdf&amp;downloadedFileName=Giyani%20Water%20Reticulation%20to%20Villages%20Phase%202A%20-%20Final%20advert%20.pdf</t>
  </si>
  <si>
    <t>MDM 2025/26 -50</t>
  </si>
  <si>
    <t>Giyani Water Reticulation Phase 2A(Contract 010)-Mountain View Water Reticulation Contract A</t>
  </si>
  <si>
    <t>https://www.etenders.gov.za/home/Download/?blobName=e02d4e44-a83c-47fd-908f-9afbfaa75dbd.pdf&amp;downloadedFileName=Giyani%20Water%20Reticulation%20to%20Villages%20Phase%202A%20-%20Final%20advert%20.pdf</t>
  </si>
  <si>
    <t>MDM 2025/26 -51</t>
  </si>
  <si>
    <t>Giyani Water Reticulation Phase 2A(Contract 011)-Mountain View Water Reticulation Contract B</t>
  </si>
  <si>
    <t>https://www.etenders.gov.za/home/Download/?blobName=b4a76a56-942c-408b-88ed-4470d128e4e5.pdf&amp;downloadedFileName=Giyani%20Water%20Reticulation%20to%20Villages%20Phase%202A%20-%20Final%20advert%20.pdf</t>
  </si>
  <si>
    <t>MDM 2025/26 -52</t>
  </si>
  <si>
    <t>Giyani Water Reticulation Phase 2A(Contract 012)-Mninginisi (Block 3) Water Reticulation Contract A</t>
  </si>
  <si>
    <t>https://www.etenders.gov.za/home/Download/?blobName=8dff74dc-a66b-4a7a-9d9b-2eb0c5c82aa9.pdf&amp;downloadedFileName=Giyani%20Water%20Reticulation%20to%20Villages%20Phase%202A%20-%20Final%20advert%20.pdf</t>
  </si>
  <si>
    <t>MDM 2025/26 -53</t>
  </si>
  <si>
    <t>Giyani Water Reticulation Phase 2A(Contract 013)-Mninginisi (Block 3) Water Reticulation Contract B</t>
  </si>
  <si>
    <t>https://www.etenders.gov.za/home/Download/?blobName=f0baf79d-6859-49c7-8e23-850f12c7901b.pdf&amp;downloadedFileName=Giyani%20Water%20Reticulation%20to%20Villages%20Phase%202A%20-%20Final%20advert%20.pdf</t>
  </si>
  <si>
    <t>Tender 04/2026</t>
  </si>
  <si>
    <t>Tender 4 2026 - PROVISION OF INTERNAL AUDIT SERVICES FOR UMEDA FOR A PERIOD OF THREE YEARS</t>
  </si>
  <si>
    <t>Umgungundlovu Economic Development Agency SOC</t>
  </si>
  <si>
    <t>Administrative and support activities</t>
  </si>
  <si>
    <t>https://www.etenders.gov.za/home/Download/?blobName=760a600c-c0c4-4820-8614-2cd1e84b88a5.pdf&amp;downloadedFileName=Tender%204%202026%20-%20PROVISION%20OF%20INTERNAL%20AUDIT%20SERVICES%20FOR%20UMEDA%20FOR%20A%20PERIOD%20OF%20THREE%20YEARS.pdf</t>
  </si>
  <si>
    <t>FIN-SCM-TEN-0238</t>
  </si>
  <si>
    <t>11:00</t>
  </si>
  <si>
    <t>Participation</t>
  </si>
  <si>
    <t>Service and Maintenance of lifts (Passenger and Goods) for a period of 36 months</t>
  </si>
  <si>
    <t>South African Nuclear Energy Corporation Limited</t>
  </si>
  <si>
    <t>North West</t>
  </si>
  <si>
    <t>Accommodation</t>
  </si>
  <si>
    <t>Necsa Site</t>
  </si>
  <si>
    <t>https://www.etenders.gov.za/home/Download/?blobName=e7285443-918c-48a7-9152-1fa3730a23d0.docx&amp;downloadedFileName=2.%20SBD%20Forms.docx</t>
  </si>
  <si>
    <t>Lim473/Elec-Thoto/26/27/002</t>
  </si>
  <si>
    <t>Design for Electrification of Thoto village</t>
  </si>
  <si>
    <t>Makhuduthamaga Local Municipality</t>
  </si>
  <si>
    <t>Services: Electrical</t>
  </si>
  <si>
    <t>Makhuduthamaga Chamber</t>
  </si>
  <si>
    <t>https://www.etenders.gov.za/home/Download/?blobName=b88a88a9-fe8b-49ef-a54b-23c90ab44502.pdf&amp;downloadedFileName=advert%20for%20electricities.pdf</t>
  </si>
  <si>
    <t>Lim473/Elec-Diphagane/26/27/003</t>
  </si>
  <si>
    <t>Design for Electrification of Diphagane village</t>
  </si>
  <si>
    <t>https://www.etenders.gov.za/home/Download/?blobName=b0045345-d247-464b-af8f-6291bf2de8e9.pdf&amp;downloadedFileName=advert%20for%20Diphagane.pdf</t>
  </si>
  <si>
    <t>Lim473/Elec-Masehlaneng/26/27/004</t>
  </si>
  <si>
    <t>Design for Electrification of Masehlaneng village</t>
  </si>
  <si>
    <t>https://www.etenders.gov.za/home/Download/?blobName=76c4f987-934e-46dc-b938-dd53698a4ec8.pdf&amp;downloadedFileName=advert%20for%20electricities.pdf</t>
  </si>
  <si>
    <t>Lim473/Elec-Manotong/26/27/005</t>
  </si>
  <si>
    <t>Design for Electrification of Manotong village</t>
  </si>
  <si>
    <t>https://www.etenders.gov.za/home/Download/?blobName=3aa712ed-2810-4aca-979a-da8b21b7e522.pdf&amp;downloadedFileName=advert%20for%20electricities.pdf</t>
  </si>
  <si>
    <t>.ELM/2/08/2025T</t>
  </si>
  <si>
    <t>Request for Proposal</t>
  </si>
  <si>
    <t>APPOINTMENT OF A SERVICE PROVIDER FOR TRAFFIC AND LAW ENFORCEMENT SYSTEM FOR A PERIOD OF 36 MONTHS</t>
  </si>
  <si>
    <t>Emalahleni Local Municipality</t>
  </si>
  <si>
    <t>Eastern Cape</t>
  </si>
  <si>
    <t>https://www.etenders.gov.za/home/Download/?blobName=c8ea5d9d-6b88-45d5-b059-01aa00f739c2.pdf&amp;downloadedFileName=ADVERT%20FOR%20TRAFFIC%20LAWS%20ENFORCEMENT.pdf</t>
  </si>
  <si>
    <t>MDM 2025/26 -41</t>
  </si>
  <si>
    <t>Giyani Water Reticulation Phase 2A (Contract 001)-Dokera Water Reticulation.</t>
  </si>
  <si>
    <t>https://www.etenders.gov.za/home/Download/?blobName=58e29ae4-0579-40a9-a704-ceecbd68167d.pdf&amp;downloadedFileName=Giyani%20Water%20Reticulation%20to%20Villages%20Phase%202A%20-%20Final%20advert%20.pdf</t>
  </si>
  <si>
    <t>MDM 2025/26 -42</t>
  </si>
  <si>
    <t>Giyani Water Reticulation Phase 2A (Contract 002) -Hlomela Water Reticulation</t>
  </si>
  <si>
    <t>https://www.etenders.gov.za/home/Download/?blobName=255c55d1-2cd4-4f6b-8e93-42d5aaf9f811.pdf&amp;downloadedFileName=Giyani%20Water%20Reticulation%20to%20Villages%20Phase%202A%20-%20Final%20advert%20.pdf</t>
  </si>
  <si>
    <t>MDM 2025/26 -45</t>
  </si>
  <si>
    <t>Giyani Water Reticulation Phase 2A(Contract 005)-Mavalani Water Reticulation Contract A</t>
  </si>
  <si>
    <t>https://www.etenders.gov.za/home/Download/?blobName=998a10fb-8fd2-46ab-8144-8566c62ec760.pdf&amp;downloadedFileName=Giyani%20Water%20Reticulation%20to%20Villages%20Phase%202A%20-%20Final%20advert%20.pdf</t>
  </si>
  <si>
    <t>NTC 26/02C</t>
  </si>
  <si>
    <t>Invitation to tender for the supply, delivery and off-loading of Welding Machines at Newcastle Training Centre</t>
  </si>
  <si>
    <t>Manufacture of machinery and equipment n.e.c.</t>
  </si>
  <si>
    <t>https://www.etenders.gov.za/home/Download/?blobName=da172950-080c-490d-93d1-fb68d9e3618f.pdf&amp;downloadedFileName=Advert%20for%20Welding%20Machines%20and%20Simulators.pdf</t>
  </si>
  <si>
    <t>NTC 26/05 O</t>
  </si>
  <si>
    <t>Invitation to tender for the Supply, Delivery and off-loading of the Welding simulator at Newcastle Training Centre</t>
  </si>
  <si>
    <t>https://www.etenders.gov.za/home/Download/?blobName=88506d9a-9457-4762-903c-b4c506abe2c1.pdf&amp;downloadedFileName=Advert%20for%20Welding%20Machines%20and%20Simulators.pdf</t>
  </si>
  <si>
    <t>SASSA:03-26-FAS-NW</t>
  </si>
  <si>
    <t>Leasing of office accommodation for SASSA northwest region for a period of five (05) years in Lekwa-Teemane (Bloemhof) CBD.</t>
  </si>
  <si>
    <t>South African Social Security Agency</t>
  </si>
  <si>
    <t>Services: General</t>
  </si>
  <si>
    <t>As per notification attached</t>
  </si>
  <si>
    <t>https://www.etenders.gov.za/home/Download/?blobName=4e019544-f691-482d-b07b-694eae6b7fba.pdf&amp;downloadedFileName=SASSA%2003-26-FAC-NW%20Leasing%20of%20office%20accomodation%20for%20SASSA%20North%20West%20Region%20for%20a%20%20period%20of%20five(5)%20yearas%20in%20Lekwa-Teemane(Bloemhof)%20CBD.pdf</t>
  </si>
  <si>
    <t>GSDM70/2025</t>
  </si>
  <si>
    <t>PANEL FOR THE PROVISION OF EXECUTIVE SECURITY SERVICES FOR GSDM FOR A PERIOD OF 36 MONTHS</t>
  </si>
  <si>
    <t>Gert Sibande District Municipality</t>
  </si>
  <si>
    <t>Security and investigation activities</t>
  </si>
  <si>
    <t>https://teams.microsoft.com/meet/345677330399319?p=G0AZZANmUh2uW3Bmuc</t>
  </si>
  <si>
    <t>https://www.etenders.gov.za/home/Download/?blobName=bb7164bf-7e49-4032-abcd-d2a28a536e20.pdf&amp;downloadedFileName=GSDM%2070-2025%20Panel%20for%20the%20provision%20of%20executive%20security%20services%20(002).pdf</t>
  </si>
  <si>
    <t>8/2/2/468 (2026-2027)</t>
  </si>
  <si>
    <t>10:00</t>
  </si>
  <si>
    <t>8/2/2/468 (2026-2027)BID TO APPOINT A SERVICE PROVIDER FOR SUPPLY, DELIVERY, INSTALLATION, COMMISSIONING, TESTING AND WHERE APPLICABLE RELOCATION OF DIESEL GENERATORS FOR MIDVAAL LOCAL MUNICIPALITY (ONCE-OFF)</t>
  </si>
  <si>
    <t>Midvaal Local Municipality</t>
  </si>
  <si>
    <t>Gauteng</t>
  </si>
  <si>
    <t>Blue Dam Pump Station (Vaal Marina WTW) GPS Coordinates: Longitude: -26.887976, Latitude: 28.213902</t>
  </si>
  <si>
    <t>https://www.etenders.gov.za/home/Download/?blobName=1861694d-61fe-40c9-9a43-6871ff02aaf3.pdf&amp;downloadedFileName=Advert%20for%20the%20week%204137-26.pdf</t>
  </si>
  <si>
    <t>ZNB153/2026/27HSE</t>
  </si>
  <si>
    <t>APPOINTMENT OF A SERVICE PROVIDER TO RENDER 24 HOUR SECURITY GUARDING SERVICES FOR THE KWAZULU-NATAL DEPARTMENT OF HUMAN SETTLEMENTS AT 203 CHURCH STREET AND 199 PIETERMARITZ STREET, IN PIETERMARITZBURG FOR A PERIOD OF 36 MONTHS</t>
  </si>
  <si>
    <t>Kwazulu Natal - Human Settlements</t>
  </si>
  <si>
    <t>Services: Functional (Including Cleaning and Security Services)</t>
  </si>
  <si>
    <t>KZN Department of Human Settlements, 203 Church Street, Parking Lot, PMB 3201</t>
  </si>
  <si>
    <t>https://www.etenders.gov.za/home/Download/?blobName=e06ea878-6985-4a13-9085-11fd0a3ce812.pdf&amp;downloadedFileName=BID%20ADVERT%20ZNB153%20SECURITY%20PMB.pdf</t>
  </si>
  <si>
    <t>RAF/2026/00037</t>
  </si>
  <si>
    <t>APPOINTMENT OF A SERVICE PROVIDER TO REDESIGN AND REDEVELOP THE ROAD ACCIDENT FUND (RAF) WEBSITE INCLUDING SUPPORT AND MAINTENANCE, FOR A PERIOD OF TWO (2) YEARS.</t>
  </si>
  <si>
    <t>Road Accident Fund</t>
  </si>
  <si>
    <t>RAF Head Office, 420 Witch-Hazel Avenue, Eco Glades 2, Centurion</t>
  </si>
  <si>
    <t>https://www.etenders.gov.za/home/Download/?blobName=f71aafd7-a3a1-4540-a48c-d6325792fea7.pdf&amp;downloadedFileName=RFB%20RAF%202026%2000037%20RAF%20Website%20Enhancement.pdf</t>
  </si>
  <si>
    <t>Pretender Workshop for Security Guarding</t>
  </si>
  <si>
    <t>ESKOM</t>
  </si>
  <si>
    <t>Electricity, gas, steam and air conditioning</t>
  </si>
  <si>
    <t>Eskom Brackenfell J-block</t>
  </si>
  <si>
    <t>https://www.etenders.gov.za/home/Download/?blobName=da7e71a0-65c0-4808-8760-ddd539ee53f5.pdf&amp;downloadedFileName=Invitation%20SDL%20Engagement%2021%20July%202026.pdf</t>
  </si>
  <si>
    <t>TCC/2026/05/0002/114435/RFP</t>
  </si>
  <si>
    <t>17:00</t>
  </si>
  <si>
    <t>FOR THE SUPPLY AND DELIVERY OF HEALTH CLINIC CONSUMABLES FOR THE PHELOPHEPHA HEALTH CARE TRAINS I AND II “ON AN AS WHEN AND REQUIRED BASIS” FOR A PERIOD OF THREE (3) YEARS.</t>
  </si>
  <si>
    <t>Transnet SOC Ltd</t>
  </si>
  <si>
    <t>National</t>
  </si>
  <si>
    <t>Supplies: Medical</t>
  </si>
  <si>
    <t>https://www.etenders.gov.za/home/Download/?blobName=f29ad1c3-f684-4769-a5c3-23d736c29bca.pdf&amp;downloadedFileName=Annexure%20B%20%20Local%20Content%20and%20Local%20Production%20%20Declaration.pdf</t>
  </si>
  <si>
    <t>SCM 37/2026</t>
  </si>
  <si>
    <t>14:00</t>
  </si>
  <si>
    <t>APPOINTMENT OF A PANEL OF LEGAL PRACTITIONERS FOR THE RENDERING OF LEGAL SERVICES FOR A CONTRACT PERIOD FOR 3 YEARS</t>
  </si>
  <si>
    <t>Beaufort West Municipality</t>
  </si>
  <si>
    <t>Legal and accounting activities</t>
  </si>
  <si>
    <t>https://www.etenders.gov.za/home/Download/?blobName=db78cc9e-5b30-4db1-8fc8-20825ca45efc.pdf&amp;downloadedFileName=ADVERT%20SCM%2037-2026%20LEGAL%20SERVICES.pdf</t>
  </si>
  <si>
    <t>AW2025/26/11</t>
  </si>
  <si>
    <t>PANEL OF SERVICE PROVIDERS TO SUPPLY, REPAIR, REPLACE AND REFURBISH BULK WATER VALVES FOR AMATOLA WATER PUMP STATIONS, PIPELINE NETWORK AND WATER TREATMENT WORKS FOR THREE (3) YEARS ON AD-HOC BASIS</t>
  </si>
  <si>
    <t>Amatola Water Board</t>
  </si>
  <si>
    <t>Nahoon Dam Boathouse, Co-ordinates @ 32°54'43.86"S 27°48'32.08"E.</t>
  </si>
  <si>
    <t>https://www.etenders.gov.za/home/Download/?blobName=7e33e6d8-8bbf-4ae6-abe8-42751452cdbb.pdf&amp;downloadedFileName=Tender%20document%20Valves%2011.06.26%20Final.pdf</t>
  </si>
  <si>
    <t>DMPR/001/2026/27</t>
  </si>
  <si>
    <t>INVITATION OF BIDS FOR THE APPOINTMENT OF A SERVICE PROVIDER FOR THE PROVISION OF CLEANING, HYGIENE, PEST CONTROL AND BOARDROOM SUPPORT SERVICES TO DEPARTMENT OF MINERAL AND PETROLEUM RESOURCES (DMPR) - PRETORIA (TREVENNA CAMPUS) FOR A PERIOD OF THIRTY-SIX (36) MONTHS.</t>
  </si>
  <si>
    <t>National - Department of Mineral and Petroleum Resources</t>
  </si>
  <si>
    <t>DEPARTMENT OF MINERAL AND PETROLEUM RESOURCES, TREVENA CAMPUS, SUNNYSIDE</t>
  </si>
  <si>
    <t>https://www.etenders.gov.za/home/Download/?blobName=28add253-6f63-4c27-b220-669bbc8570b7.zip&amp;downloadedFileName=BID%20DOCUMENT.zip</t>
  </si>
  <si>
    <t>RAF/2026/00036</t>
  </si>
  <si>
    <t>Request for Information</t>
  </si>
  <si>
    <t>SERVICE PROVIDERS WITH A PROVEN CAPABILITY TO DESIGN, DEVELOP, IMPLEMENT, PUBLISH, MAINTAIN AND SUPPORT A SECURE, SCALABLE AND USER-FRIENDLY MOBILE APPLICATION</t>
  </si>
  <si>
    <t>https://www.etenders.gov.za/home/Download/?blobName=4304f790-10c2-435b-bc70-be9afd49b00c.pdf&amp;downloadedFileName=RFI%20-%20MOBILE%20APP%20DEVELOPMENT.pdf</t>
  </si>
  <si>
    <t>SCM001-2026</t>
  </si>
  <si>
    <t>Microsoft Agreements, Subscriptions and Licensing and Microsoft Teams Operator Connect Services (3-Year Term)</t>
  </si>
  <si>
    <t>Western Cape Tourism, Trade and Investment Promotion Agency</t>
  </si>
  <si>
    <t>Computer programming, consultancy and related activities</t>
  </si>
  <si>
    <t>https://www.etenders.gov.za/home/Download/?blobName=5fbe6d2f-3173-4444-a698-f04eb50d8a58.pdf&amp;downloadedFileName=SCM001-2026%20Microsoft%20Agreement%20Subscriptions%20and%20License%20and%20Microsoft%20Teams%20Operator%20Connect%20Services.pdf</t>
  </si>
  <si>
    <t>3150/2026/01</t>
  </si>
  <si>
    <t>REQUEST FOR PROPOSAL FOR THE LEASING OF MANAGED OFFICE SPACE FOR TRADE &amp; INVESTMENT KWAZULU-NATAL REGIONAL OFFICE IN PRETORIA FOR 36 MONTHS.</t>
  </si>
  <si>
    <t>Kwa-Zulu Natal - Trade and Investment KwaZulu-Natal</t>
  </si>
  <si>
    <t>Rental and leasing activities</t>
  </si>
  <si>
    <t>https://teams.microsoft.com/meet/353440522088267?Meeting ID: 353 440 522 088 267 Passcode: 6Aa3fJ3y</t>
  </si>
  <si>
    <t>https://www.etenders.gov.za/home/Download/?blobName=c51e9910-bf02-42f9-9e62-3950a523eb65.pdf&amp;downloadedFileName=ADVERT-LEASE%20OF%20MANAGED%20OFFICE%20SPACE.pdf</t>
  </si>
  <si>
    <t>WRSCM-2026/2027-0009</t>
  </si>
  <si>
    <t>Panel for the provision of catering services will be for a period ending 31 March 2029 and deliveries will be expected to be made at the W&amp;RSETA specific regional offices as and when required</t>
  </si>
  <si>
    <t>Wholesale and Retail Sector Education and Training Authority</t>
  </si>
  <si>
    <t>Food and beverage service activities</t>
  </si>
  <si>
    <t>https://www.etenders.gov.za/home/Download/?blobName=345123eb-ced9-452d-ba30-020b87f3a7da.pdf&amp;downloadedFileName=Terms%20of%20reference%20for%20the%20panel%20of%20catering%20and%20decor.pdf</t>
  </si>
  <si>
    <t>RFB005/2026</t>
  </si>
  <si>
    <t>THE PROVISION OF SAWMILL SERVICES (STACKING, DESTACKING &amp; REWORK) FOR A PERIOD OF 18 MONTHS.</t>
  </si>
  <si>
    <t>South African Forestry Company Limited</t>
  </si>
  <si>
    <t>https://teams.microsoft.com/meet/380054202645913?p=s0O6NlWXELoy7bWjGn</t>
  </si>
  <si>
    <t>https://www.etenders.gov.za/home/Download/?blobName=72eea603-38af-4d21-981e-01888c7fc013.pdf&amp;downloadedFileName=RFB005.2026%20-%20SAWMILLING%20SERVICES%20AT%20TIMBADOLLA.pdf</t>
  </si>
  <si>
    <t>E2752GXMPMATR</t>
  </si>
  <si>
    <t>Request for Quotation</t>
  </si>
  <si>
    <t>E2752GXMPMATR - Upgrading of security fence for 12 months</t>
  </si>
  <si>
    <t>Services: Professional</t>
  </si>
  <si>
    <t>https://teams.microsoft.com/meet/329893641854320?p=4QYA27vOi1FYQxDZRB</t>
  </si>
  <si>
    <t>https://www.etenders.gov.za/home/Download/?blobName=9ff9df8d-e534-410b-8341-1208592461c3.pdf&amp;downloadedFileName=E2752GXMPMATR%20Invitation%20to%20Tender%20(ITT)%20-%20upgrading%20of%20Parimeter%20Security%20fence%20at%20Matimba%20PS.pdf</t>
  </si>
  <si>
    <t>TCC/2026/05/0003/114436/RFP</t>
  </si>
  <si>
    <t>15:00</t>
  </si>
  <si>
    <t>FOR THE SUPPLY AND DELIVERY OF EYE CONSUMABLES FOR THE PHELOPHEPHA HEALTH CARE TRAINS I AND II “ON AN AS WHEN AND REQUIRED BASIS” FOR A PERIOD OF THREE (3) YEARS.</t>
  </si>
  <si>
    <t>https://www.etenders.gov.za/home/Download/?blobName=df038c28-cbc5-42b4-87fd-0adacf19b521.xls&amp;downloadedFileName=Annexure%20C%20D%20and%20E%20for%20Local%20content%20and%20Local%20Production.xls</t>
  </si>
  <si>
    <t>TCC/2026/05/0001/114434/RFP</t>
  </si>
  <si>
    <t>FOR THE SUPPLY AND DELIVERY OF DENTAL CONSUMABLES FOR THE PHELOPHEPHA HEALTH CARE TRAINS I AND II “ON AN AS WHEN AND REQUIRED BASIS” FOR A PERIOD OF THREE (3) YEARS.</t>
  </si>
  <si>
    <t>https://www.etenders.gov.za/home/Download/?blobName=04790b81-1e70-4755-8393-050f5004f797.xlsx&amp;downloadedFileName=Annexure%20A-%20Service%20Level%20Agreement.xlsx</t>
  </si>
  <si>
    <t>AW2025/26/14</t>
  </si>
  <si>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</si>
  <si>
    <t>https://www.etenders.gov.za/home/Download/?blobName=af53453d-9e8c-4948-84a6-03ff6c3d576d.pdf&amp;downloadedFileName=AW2025.26.14%20-%20Tender%20document%20%20HV%20Electrical.pdf</t>
  </si>
  <si>
    <t>MTH/ENT/WTP/2026/01</t>
  </si>
  <si>
    <t>TURNKEY PROPOSAL FOR THE APPOINTMENT OF A STRATEGIC DEVELOPMENT AND IMPLEMENTATION PARTNER TO DEVELOP, FUND, IMPLEMENT AND OPERATIONALISE A LEARNING-INTEGRATED WATER TREATMENT, INNOVATION AND ENTERPRISE DEVELOPMENT PLATFORM</t>
  </si>
  <si>
    <t>Mthashana TVET</t>
  </si>
  <si>
    <t>Water collection, treatment and supply</t>
  </si>
  <si>
    <t>(266 South Street Vryheid 3100): Time: 11h00am</t>
  </si>
  <si>
    <t>https://www.etenders.gov.za/home/Download/?blobName=9fc63584-b150-432a-90a0-02a6e311d68a.docx&amp;downloadedFileName=TENDER%20DOCUMENT%20FOR%20TURNKEY%20PROPOSAL.docx</t>
  </si>
  <si>
    <t>LEDA/SEC/2026/27-4</t>
  </si>
  <si>
    <t>APPOINTMENT OF SERVICE PROVIDERS TO RENDER SECURITY SERVICES FOR NINE (9) AREAS OF LEDA FOR A PERIOD OF THIRTY-SIX (36) MONTHS</t>
  </si>
  <si>
    <t>Limpopo - Economic Development Agency</t>
  </si>
  <si>
    <t>https://www.etenders.gov.za/home/Download/?blobName=4b71aec2-d246-4f47-a235-111becf4b5d6.pdf&amp;downloadedFileName=BID%20DOCUMENT%20SECURITY%20SERVICES%202026..pdf</t>
  </si>
  <si>
    <t>74389</t>
  </si>
  <si>
    <t>REQUEST QUOTATION FOR THE APPOINTMENT OF A SERVICE PROVIDER FOR THE SOUTH GENERATOR ASSESSMENT AND REPAIRS, AND NORTH GENERATOR NO.3 RADIATOR REPLACEMENT AT CAPE TOWN INTERNATIONAL AIRPORT FOR A PERIOD OF 12 MONTHS</t>
  </si>
  <si>
    <t>Airports Company of South Africa</t>
  </si>
  <si>
    <t>Cape Town International Airport</t>
  </si>
  <si>
    <t>https://www.etenders.gov.za/home/Download/?blobName=2271d3e5-9dfc-4cf1-bb1b-92d1c6bd674a.pdf&amp;downloadedFileName=CIA%20RFQ%2074389%20GENERATOR%20ASSESSEMENT%20AND%20REPAIR.pdf</t>
  </si>
  <si>
    <t>5609</t>
  </si>
  <si>
    <t>REQUEST FOR QUOTATIONS FOR OF SERVICE PROVIDER FOR MINOR BUILDING, REPAIR AND REINSTATEMENT WORKS ASSOCIATED WITH THE CORE ROOM FIRE SUPPRESSION AND DETECTION INFRASTRUCTURE AT KIMBERLEY AIRPORT.</t>
  </si>
  <si>
    <t>Northern Cape</t>
  </si>
  <si>
    <t>https://www.etenders.gov.za/home/Download/?blobName=2b3c4198-4597-4cbd-9789-22988ebc8fd3.pdf&amp;downloadedFileName=RFQ%20FOR%20MINOR%20BUILDING%20AND%20REPAIRS%20OF%20CORE%20ROOM%20AT%20KIMBERLEY%20AIRPORT%205609.pdf</t>
  </si>
  <si>
    <t>SPSC-B-004-2026</t>
  </si>
  <si>
    <t>THE REFURBISHMENT OF THE BOATHOUSE, FLAMMABLE STORE, LOCKER ROOM AND MARITIME ACCESS STRUCTURE AT SA NAVAL COLLEGE TRAINING FACILITIES IN GORDONS BAY. PROC PLAN 26-27/SA NAVY/999</t>
  </si>
  <si>
    <t>Defence</t>
  </si>
  <si>
    <t>Services: Building</t>
  </si>
  <si>
    <t>SOUTH AFRICAN NAVAL COLLEGE, GORDON'S BAY CENTRAL, CAPE TOWN 7140</t>
  </si>
  <si>
    <t>https://www.etenders.gov.za/home/Download/?blobName=d4a54339-090e-407d-b9bf-4350b7845498.pdf&amp;downloadedFileName=SPSC-B-004-2026.pdf</t>
  </si>
  <si>
    <t>KKDM 11/25</t>
  </si>
  <si>
    <t>Expression of interest</t>
  </si>
  <si>
    <t>Appointment of a panel of Attorneys for the Dr Kenneth Kaunda District Municipality for a period of three (3) years (as and when required)</t>
  </si>
  <si>
    <t>Dr Kenneth Kaunda District Municipality</t>
  </si>
  <si>
    <t>Dr Kenneth Kaunda Council Chamber, Patmore Road, Orkneyoad, Orkn</t>
  </si>
  <si>
    <t>https://www.etenders.gov.za/home/Download/?blobName=8811678f-a66b-4ee4-837c-0b250ad7028b.pdf&amp;downloadedFileName=1.%20KKDM%2011-25%20Tender%20Document-PANEL%20OF%20ATTORNEYS.pdf</t>
  </si>
  <si>
    <t>KKDM 12/25</t>
  </si>
  <si>
    <t>The appointment of a Travel Agent for the provision of travel and accommodation management services for the Dr Kenneth Kaunda District Municipality for a period of two (2) years (as and when required)</t>
  </si>
  <si>
    <t>Travel agency, tour operator, reservation service and related activities</t>
  </si>
  <si>
    <t>https://www.etenders.gov.za/home/Download/?blobName=6f5ecbbf-daa6-4327-ac5f-16098e154cc9.pdf&amp;downloadedFileName=2.%20KKDM%2012-25%20Tender%20Document-THE%20APPOINTMENT%20OF%20THE%20TRAVEL%20AGENT%20FOR%20THE%20PROVISION%20OF%20TRAVEL%20AND%20ACCOMMODATION%20MANAGEMENT%20SERVICES%20FOR%20DR%20KKDM%20FOR%202%20YEARS.pdf</t>
  </si>
  <si>
    <t>KKDM 13/25</t>
  </si>
  <si>
    <t>Appointment of a Service Provider to update the generally Recognised Accounting Practice (GRAP) Asset Register for a period of Thirty-Six (36) months</t>
  </si>
  <si>
    <t>Other professional, scientific and technical activities</t>
  </si>
  <si>
    <t>https://www.etenders.gov.za/home/Download/?blobName=fc277663-1c61-4ad7-98cd-1b49cf211de2.pdf&amp;downloadedFileName=3.%20KKDM%2013-25%20UPDATE%20THE%20ASSET%20REGISTER.pdf</t>
  </si>
  <si>
    <t>RFP081/2026</t>
  </si>
  <si>
    <t>00:00</t>
  </si>
  <si>
    <t>APPOINTMENT OF A SERVICE PROVIDER FOR THE PROVISION OF CRANE SERVICES INCLUDING THE SUPPLY, OPERATION AND MANAGEMENT OF CRANE EQUIPMENT FOR LIFTING, POSITIONING AND INSTALLATION ACTIVITIES AS INSTRUCTED OR SCHEDULED FOR THE CONSTRUCTION OF TZANEEN DAM</t>
  </si>
  <si>
    <t>Development Bank of Southern Africa</t>
  </si>
  <si>
    <t>Construction</t>
  </si>
  <si>
    <t>No. 1 Voortrekker Road, Tzaneen Dam, Construction North office- Tzaneen. Please use Deer Park Road t</t>
  </si>
  <si>
    <t>https://www.etenders.gov.za/home/Download/?blobName=757808f9-d730-4964-bb64-005fe5bcfb7d.pdf&amp;downloadedFileName=Annexure%20E%20-%20Drawings%20Tower%20crane%20placement.pdf</t>
  </si>
  <si>
    <t>RFQ/ARMEDRESPONSE/2026/DE DOORNS</t>
  </si>
  <si>
    <t>PROVISION OF A NEW ALARM AND ARMED RESPONSE SERVICES – DE DOORNS</t>
  </si>
  <si>
    <t>Perishable Products Export Control Board</t>
  </si>
  <si>
    <t>6 Voortrekker Street, De Doorns, 6875</t>
  </si>
  <si>
    <t>https://www.etenders.gov.za/home/Download/?blobName=e3b9bbb8-3ccb-4e5d-80e1-cc34fbe485db.pdf&amp;downloadedFileName=Hex%20Armed%20Responses.pdf</t>
  </si>
  <si>
    <t>Tender 05 2026</t>
  </si>
  <si>
    <t>Tender 05 2026 - ACQUISITION OF OFFICE BUILDINGS FOR UMEDA</t>
  </si>
  <si>
    <t>https://www.etenders.gov.za/home/Download/?blobName=c3afb3ca-1e61-4596-bb1f-03cb54bbca4c.pdf&amp;downloadedFileName=Tender%2005%202026%20-%20ACQUISITION%20OF%20OFFICE%20BUILDINGS%20FOR%20UMEDA.pdf</t>
  </si>
  <si>
    <t>RFQ/ARMEDRESPONSE/2026/GRABOUW Opening</t>
  </si>
  <si>
    <t>PROVISION OF A NEW ALARM AND ARMED RESPONSE SERVICES – GRABOUW</t>
  </si>
  <si>
    <t>7 Bosbou Avenue, Grabouw 7160</t>
  </si>
  <si>
    <t>https://www.etenders.gov.za/home/Download/?blobName=e4068a26-d908-4b5a-bebe-b73e78a266b0.pdf&amp;downloadedFileName=Grabouw%20Armed%20Responses.pdf</t>
  </si>
  <si>
    <t>RFQ/ARMEDRESPONSE/2026/ROBERTSON</t>
  </si>
  <si>
    <t>PROVISION OF A NEW ALARM AND ARMED RESPONSE SERVICES – ROBERTSON</t>
  </si>
  <si>
    <t>12 Paul Kruger Street, Robertson, 6705</t>
  </si>
  <si>
    <t>https://www.etenders.gov.za/home/Download/?blobName=fe87543e-10d0-4702-a755-986d2246fdb2.pdf&amp;downloadedFileName=Robertson%20Armed%20Responses.pdf</t>
  </si>
  <si>
    <t>RFQ 74417 RE-ISSUE</t>
  </si>
  <si>
    <t>16:00</t>
  </si>
  <si>
    <t>for REQUEST FOR QUOTATION FOR THE PROVISION OF FOR MAINTENANCE OF 35 TRAVELATORS (PASSENGER CONVEYORS) FOR A PERIOD OF EIGHT (8) MONTHS AT OR TAMBO INTERNATIONAL AIRPORT</t>
  </si>
  <si>
    <t>https://www.etenders.gov.za/home/Download/?blobName=d30b217d-f44b-4179-9d41-98cf7a85dc24.pdf&amp;downloadedFileName=Bid%20document%20%20%20NEC%20Maintenance%20of%20travelators%20for%208%20months%20June.pdf</t>
  </si>
  <si>
    <t>BTO/02/2025-26</t>
  </si>
  <si>
    <t>BTO.02.2025 26 - UPDATING AND MAINTENANCE OF THE GRAP &amp; mSCOA COMPLIANT ASSET REGISTERS FOR A PERIOD OF THREE (3) YEARS</t>
  </si>
  <si>
    <t>Thabazimbi Local Municipality</t>
  </si>
  <si>
    <t>Financial service activities, except insurance and pension funding</t>
  </si>
  <si>
    <t>n/a</t>
  </si>
  <si>
    <t>https://www.etenders.gov.za/home/Download/?blobName=0ca22e94-bdd5-4e92-be9d-699a4e9a2bf3.docx&amp;downloadedFileName=BID%20DOC%20BTO.02.2025%2026%20-%20UPDATING%20AND%20MAINTENANCE%20OF%20THE%20GRAP%20&amp;%20mSCOA%20COMPLIANT%20ASSET%20REGISTERS%20FOR%20A%20PERIOD%20OF%20THREE%20(3)%20YEARS%20(36%20MONTHS).docx</t>
  </si>
  <si>
    <t>CSIR RFP 3732/03/07/2026</t>
  </si>
  <si>
    <t>16:30</t>
  </si>
  <si>
    <t>Request for Proposals (RFP): End-to-End Design, Build, Setup, Breakdown, and Project Management of the CSIR Exhibition Stand and Hospitality Chalet for Africa Aerospace and Defence (AAD) 2026</t>
  </si>
  <si>
    <t>Council for Scientific and Industrial Research (CSIR)</t>
  </si>
  <si>
    <t>Professional, scientific and technical activities</t>
  </si>
  <si>
    <t>MS TEAMS LINK</t>
  </si>
  <si>
    <t>https://www.etenders.gov.za/home/Download/?blobName=cdb5a2a3-6051-42f7-993d-1ad92d692ef0.pdf&amp;downloadedFileName=RFQ%203732-03-07-2026-.pdf</t>
  </si>
  <si>
    <t>Zeerust Supplier Workshop</t>
  </si>
  <si>
    <t>15:30</t>
  </si>
  <si>
    <t>Eskom Holdings SOC, North- West OU, through its Supplier Development, Localisation and Industrialisation (SDL&amp;I) Department cordially invites you to participate in our upcoming Supplier Engagement Forum.</t>
  </si>
  <si>
    <t>https://www.etenders.gov.za/home/Download/?blobName=311eefa2-9533-4285-ae41-3125d3314459.pdf&amp;downloadedFileName=Invitation%20-%20Zeerust%20Supplier%20Forum%20_02072026.pdf</t>
  </si>
  <si>
    <t>KZN/PRASA/2026/06/06/Q</t>
  </si>
  <si>
    <t>APPOINTMENT OF A SERVICE PROVIDER FOR INSULATING/TESTING AS AND WHEN REQUIRED FOR 36 MONTHS</t>
  </si>
  <si>
    <t>Passenger Rail Agency of South Africa</t>
  </si>
  <si>
    <t>https://www.etenders.gov.za/home/Download/?blobName=846e8ff9-a024-478e-80a0-cf2f80c90023.pdf&amp;downloadedFileName=insulating%20rfq.pdf</t>
  </si>
  <si>
    <t>E2884GXMPKENR</t>
  </si>
  <si>
    <t>Supply and delivery of electrical heating elements on as and when required basis at Kendal Power Station for a period of 5 years</t>
  </si>
  <si>
    <t>Supplies: General</t>
  </si>
  <si>
    <t>https://www.etenders.gov.za/home/Download/?blobName=5046b531-1f31-441e-844d-09c117de9fae.pdf&amp;downloadedFileName=240-12248652%20(Rev%207)_List%20of%20Tender%20Returnables-ESupply%20and%20Delivery%20of%20electrical%20heater%20elements%20For%20Kendal%20Power%20Station.pdf</t>
  </si>
  <si>
    <t>ULM-INFR 018/26</t>
  </si>
  <si>
    <t>SUPPLY AND DELIVER OF TOOLS AND EQUIPMENT (12 MONTHS CONTRACT)</t>
  </si>
  <si>
    <t>Umzimkhulu Local Municipality</t>
  </si>
  <si>
    <t>uMzimkhulu Municipality Makhosini Building Boardroom,247 Mzimkhulu Mlonyana Street, uMzimkhulu 3297.</t>
  </si>
  <si>
    <t>https://www.etenders.gov.za/home/Download/?blobName=9cb059b9-6c2f-4953-992a-820524df485c.pdf&amp;downloadedFileName=18-06-2026%20QUOTATION%20%20ADVERT%20-%20SUPPLY%20AND%20DELIVER%20OF%20TOOLS%20AND%20EQUIPMENT.pdf</t>
  </si>
  <si>
    <t>API01REQ007375</t>
  </si>
  <si>
    <t>Supply, Delivery and Offloading of 16 Weeks Old Boschveld Chickens</t>
  </si>
  <si>
    <t>Agricultural Research Council</t>
  </si>
  <si>
    <t>https://www.etenders.gov.za/home/Download/?blobName=c60e8a36-3706-4016-b2b9-0905a2cd221b.pdf&amp;downloadedFileName=API01REQ007375.pdf</t>
  </si>
  <si>
    <t>RFQ002-2026-27</t>
  </si>
  <si>
    <t>APPOINTMENT OF SERVICE PROVIDER TO ASSIST THE GOVERNMENT TECHNICAL ADVISORY CENTRE (GTAC) WITH K2 MAINTENANCE AND SUPPORT IN SUPPORT OF THE K2 SYSTEM AND OTHER RELATED SYSTEM USED BY THE MUNICIPAL FINANCE IMPROVEMENT PROGRAMME (MFIP)</t>
  </si>
  <si>
    <t>Government Technical Advisory Centre (GTAC)</t>
  </si>
  <si>
    <t>https://www.etenders.gov.za/home/Download/?blobName=21f5f796-d784-4e3b-94d5-0894247ba9e0.pdf&amp;downloadedFileName=1.%20A%20Invitation%20to%20Bidders_RFQ%20002-2026.pdf</t>
  </si>
  <si>
    <t>ATNS2010/SHEINDUCTION/2025_Re-advert</t>
  </si>
  <si>
    <t>APPOINTMENT OF A SUITABLY QUALIFIED AND EXPERIENCED SERVICE PROVIDER TO DEVELOP, PRODUCE, AND DELIVER TWO (2) HIGH-QUALITY SAFETY, HEALTH AND ENVIRONMENTAL (SHE) INDUCTION VIDEOS FOR AIR TRAFFIC AND NAVIGATION SERVICES SOC LIMITED (ATNS).</t>
  </si>
  <si>
    <t>Air Traffic and Navigation Services Company Limited</t>
  </si>
  <si>
    <t>Motion picture, video and television programme production, sound recording and music publishing activities</t>
  </si>
  <si>
    <t>https://www.etenders.gov.za/home/Download/?blobName=ad92281d-d470-4ec3-9777-6d8656c6e81e.pdf&amp;downloadedFileName=HO%20-%20RFQ%20Document%20for%20SHE%20Induction%20Video.pdf</t>
  </si>
  <si>
    <t>RE-ADVERT SCM11DESIGNANDPRINTANNUAL</t>
  </si>
  <si>
    <t>Design and Printing of Annual Strategic Documents</t>
  </si>
  <si>
    <t>Performing Arts Council of the Free State</t>
  </si>
  <si>
    <t>Free State</t>
  </si>
  <si>
    <t>https://www.etenders.gov.za/home/Download/?blobName=6fc0e90f-ca0f-4d4b-bdc5-04e9554963d8.pdf&amp;downloadedFileName=RE-ADVERT%20SCM11DESIGNANDPRINTANNUAL2026.pdf</t>
  </si>
  <si>
    <t>IHLM/207/2025-26/PLAN</t>
  </si>
  <si>
    <t>DEVELOPMENT OF ARCHITECTURAL DESIGNS AND BOQ FOR CONTAINER MALL</t>
  </si>
  <si>
    <t>Ingquza Hill Local Municipality</t>
  </si>
  <si>
    <t>https://www.etenders.gov.za/home/Download/?blobName=2f401607-5df4-4961-b96d-1cfc6c2987e3.pdf&amp;downloadedFileName=TENDER%20DOCUMENT%20FOR%20DEVELOPMENT%20OF%20ARCHITECTURAL%20DESIGNS%20AND%20BOQ%20FOR%20CONTAINER%20MALL.pdf</t>
  </si>
  <si>
    <t>WCKBG2630SLTenderAward</t>
  </si>
  <si>
    <t>The Provision of Quality Management Services on an as-and-when-required basis at the Nuclear Operating Unit (NOU) for the period of 5 Five) Years.</t>
  </si>
  <si>
    <t>https://www.etenders.gov.za/home/Download/?blobName=735e87f4-8622-4266-b530-484b9727cea2.pdf&amp;downloadedFileName=WCKBG2630SL%20-%20Notification%20of%20Tender%20Advertised%20and%20Awarded.pdf</t>
  </si>
  <si>
    <t>E3069GXMPKEN</t>
  </si>
  <si>
    <t>Control and service air receivers’ isolation valves replacements using hot tapping and line stopping.</t>
  </si>
  <si>
    <t>Microsoft Teams meeting Join: https://teams.microsoft.com/meet/388869950402459?p=FNeMu9LjfWwcMpmDPy</t>
  </si>
  <si>
    <t>https://www.etenders.gov.za/home/Download/?blobName=53255c43-2b36-4370-925f-0c3459513ae9.pdf&amp;downloadedFileName=Eskom%20General%20Conditions%20of%20Purchase%20-%2031%20May%202024.pdf</t>
  </si>
  <si>
    <t>DFFEQ 64 LATEX GLOVES 2026</t>
  </si>
  <si>
    <t>SUPPLY AND DELIVER LATEX GLOVES</t>
  </si>
  <si>
    <t>National - Environment, Forestry and Fisheries</t>
  </si>
  <si>
    <t>https://www.etenders.gov.za/home/Download/?blobName=f7c1259b-f8c4-4650-91fd-5c7b49493f78.pdf&amp;downloadedFileName=DFFEQ%2064%20Latex%20Gloves%20PDF.pdf</t>
  </si>
  <si>
    <t>E3055GXMPKEN</t>
  </si>
  <si>
    <t>ON SITE GARDENING MAINTENANCE SERVICES FOR A PERIOD OF FIVE YEARS ON AN “AS-AND- WHEN’’ REQUIRED BASIS AT KENDAL POWER STATION</t>
  </si>
  <si>
    <t>Horticulture Building</t>
  </si>
  <si>
    <t>https://www.etenders.gov.za/home/Download/?blobName=07f97ba3-d25f-405f-ada7-680b910d5e34.zip&amp;downloadedFileName=Safety%20requirements.zip</t>
  </si>
  <si>
    <t>E2853GXMPCAM0</t>
  </si>
  <si>
    <t>Publish Names of Bidders/Tenderers E2853GXMPCAM The provision of suspended platform, clinker removal and rope access contract for the period of 36 months.</t>
  </si>
  <si>
    <t>https://www.etenders.gov.za/home/Download/?blobName=d2a969c7-b262-4e78-870c-1bdbfd7a5817.pdf&amp;downloadedFileName=Publication%20of%20Names%20of%20Biders%20iro%20advertised%20Competitive%20Bids.pdf</t>
  </si>
  <si>
    <t>MATAT/2025/2026-43</t>
  </si>
  <si>
    <t>SUPPLY AND DELIVERY OF GRASS CUTTING EQUIPMENT AND FULL ACCOSSERIES</t>
  </si>
  <si>
    <t>Matatiele Local Municipality</t>
  </si>
  <si>
    <t>https://www.etenders.gov.za/home/Download/?blobName=174e48b4-df7a-4bdf-a3ba-2138da0911ba.docx&amp;downloadedFileName=ADVERT%20FOR%20Grass%20Cutting%20Equipment-43.docx</t>
  </si>
  <si>
    <t>MATAT/2025/2026-44</t>
  </si>
  <si>
    <t>PROVISION OF ENVIRNMENTAL AND WASTE AUDIT OF LANDFILL SITE OF MATATIELE LOCAL MNUNICIPALITY</t>
  </si>
  <si>
    <t>Remediation activities and other waste management services</t>
  </si>
  <si>
    <t>https://www.etenders.gov.za/home/Download/?blobName=20e302d8-db08-411e-8208-e0e1653955c6.docx&amp;downloadedFileName=ADVERT%20FOR%20Waste%20Audit%20Landfill%20Site-44.docx</t>
  </si>
  <si>
    <t>iLABS/RFQ 2026/27:36-01</t>
  </si>
  <si>
    <t>The provision of publishing services for the proceedings of Kruger2026 Conference for NRF iThemba LABS</t>
  </si>
  <si>
    <t>National Research Foundation</t>
  </si>
  <si>
    <t>Publishing activities</t>
  </si>
  <si>
    <t>https://www.etenders.gov.za/home/Download/?blobName=7892b448-fb2c-4aa3-8b98-ea628da5ab07.pdf&amp;downloadedFileName=RFQ%20Proceedings%20Kruger%202026%20v01.pdf</t>
  </si>
  <si>
    <t>RFQ54 AM (26/27)</t>
  </si>
  <si>
    <t>CATERING SERVICES IN EHLANZENI DISTRICT MUNICIPALITY AT Ehlanzeni District Municipality Council Chamber</t>
  </si>
  <si>
    <t>https://www.etenders.gov.za/home/Download/?blobName=63e9f68c-bbb8-4a34-9678-0e85e3487aca.pdf&amp;downloadedFileName=RFQ%20for%20VIP%20Catering%20Services-%2030%20June%202026.pdf</t>
  </si>
  <si>
    <t>RFQ BBR 34/2026</t>
  </si>
  <si>
    <t>THE APPOINTMENT OF A SERVICE PROVIDER FOR THE SUPPLY, DELIVERY AND INSTALLATION OF WALLPAPER BRANDING AT THE 4IR BUILDING, MOSSEL BAY CAMPUS, SOUTH CAPE TVET COLLEGE.</t>
  </si>
  <si>
    <t>South Cape TVET College</t>
  </si>
  <si>
    <t>Advertising and market research</t>
  </si>
  <si>
    <t>BLOCK D Kreupelhout Street Heiderand Mossel Bay 6511</t>
  </si>
  <si>
    <t>https://www.etenders.gov.za/home/Download/?blobName=e32db624-f90e-4764-8053-a10698d69a69.pdf&amp;downloadedFileName=RFQ%20BB%2034_2026%20re-advert.pdf</t>
  </si>
  <si>
    <t>SMQ78-25-26</t>
  </si>
  <si>
    <t>PROVISION OF LAND SURVEYING SERVICES ON FOUR (4) DISPARATE PORTIONS OF LAND (REMAINDER ERF 1) AND ERF 9546 SWELLENDAM</t>
  </si>
  <si>
    <t>Swellendam Municipality</t>
  </si>
  <si>
    <t>Services to buildings and landscape activities</t>
  </si>
  <si>
    <t>https://www.etenders.gov.za/home/Download/?blobName=9d51f6cd-8aeb-440a-9eaf-b6253aa313e9.pdf&amp;downloadedFileName=SMQ78-25-26_Advert.pdf</t>
  </si>
  <si>
    <t>0Q2026/03</t>
  </si>
  <si>
    <t>DISASTER MANAGEMENT CENTRE COMMUNICATION SYSTEM</t>
  </si>
  <si>
    <t>Amajuba District Municipality</t>
  </si>
  <si>
    <t>Office administrative, office support and other business support activities</t>
  </si>
  <si>
    <t>https://www.etenders.gov.za/home/Download/?blobName=6b926275-6033-40d5-ad9c-8972e11dc435.pdf&amp;downloadedFileName=Q2026%2003%20Bid%20document%20-%20DMC%20communication%20system.pdf</t>
  </si>
  <si>
    <t>Q2026/04</t>
  </si>
  <si>
    <t>WATER STOCK VALUATION AS OF 30 JUNE 2026</t>
  </si>
  <si>
    <t>https://www.etenders.gov.za/home/Download/?blobName=12a86fb9-2c43-4387-b1df-c9839180653c.pdf&amp;downloadedFileName=Q2026%2004%20WATER%20STOCK%20COUNT%2030%20JUNE%202026.pdf</t>
  </si>
  <si>
    <t>VO 007-2026/2027</t>
  </si>
  <si>
    <t>SUPPLY AND DELIVERY OF PROMOTIONAL ITEMS</t>
  </si>
  <si>
    <t>Water and Sanitation</t>
  </si>
  <si>
    <t>https://www.etenders.gov.za/home/Download/?blobName=ce6ea233-96b4-4e82-b64f-9a55e30a8fa0.pdf&amp;downloadedFileName=SUPPLY%20AND%20DELIVERY%20OF%20PROMOTIONAL%20ITEMS.pdf</t>
  </si>
  <si>
    <t>RFQ52 AM (26/27)</t>
  </si>
  <si>
    <t>CATERING SERVICES IN EHLANZENI DISTRICT MUNICIPALITY AT ELANDS HOEK COMMUNITY HALL</t>
  </si>
  <si>
    <t>https://www.etenders.gov.za/home/Download/?blobName=38cbaa65-b049-4acd-a56b-d7d9f2ed7adb.pdf&amp;downloadedFileName=Community%20Catering%20Ehlanzeni%20-%2029%20June%202026.pdf</t>
  </si>
  <si>
    <t>ZNQP15/06/2026</t>
  </si>
  <si>
    <t>Department of public works: Rendering of Hygiene and Cleaning services</t>
  </si>
  <si>
    <t>Kwazulu Natal - Public Works (Head Office)</t>
  </si>
  <si>
    <t>https://www.etenders.gov.za/home/Download/?blobName=f7698570-b5d0-4e22-b23b-f4ceed27177c.pdf&amp;downloadedFileName=CLEANING%20DOC..pdf</t>
  </si>
  <si>
    <t>KDP-66</t>
  </si>
  <si>
    <t>SUPPLY ONLY DEMOLITION MATERIALS TO KLIPFONTEIN DAM NEAR VRYHEID IN THE KWAZULU-NATAL PROVINCE: CONSTRUCTION EAST</t>
  </si>
  <si>
    <t>Construction of buildings</t>
  </si>
  <si>
    <t>https://www.etenders.gov.za/home/Download/?blobName=b908ff9b-3719-43cb-b62f-65066fca4bf0.pdf&amp;downloadedFileName=SBD%206.1%20IN%20TERMS%20OF%20PPR2022%20(80-20).pdf</t>
  </si>
  <si>
    <t>KDP-64</t>
  </si>
  <si>
    <t>SUPPLY ONLY OF UNLEADED PETROL TO KLIPFONTEIN DAM ACCESS ROAD, HOUSE REPAIRS AND RENOVATIONS PROJECTS NEAR VRYHEID IN THE KWAZULU-NATAL PROVINCE: CONSTRUCTION EAST</t>
  </si>
  <si>
    <t>https://www.etenders.gov.za/home/Download/?blobName=3ad48c91-b171-49c6-a9dc-34332766cf81.pdf&amp;downloadedFileName=BBBEE%20-EME-QME%20REPORTING%20%20LETTER.pdf</t>
  </si>
  <si>
    <t>SAMSA/RFI/002/2026/27</t>
  </si>
  <si>
    <t>THE SOUTH AFRICAN MARITIME SAFETY AUTHORITY (SAMSA) REQUEST FOR INFORMATION (RFI) TO UPGRADE SD-WAN AND INTERNET BANDWIDTH FOR A PERIOD OF 36 MONTHS</t>
  </si>
  <si>
    <t>South African Maritime Safety Authority</t>
  </si>
  <si>
    <t>https://www.etenders.gov.za/home/Download/?blobName=696e90eb-168d-4e48-ad42-28d1527bba47.pdf&amp;downloadedFileName=MTN%20Link%20Upgrade%20TOR_RFI_002_2026_27.pdf</t>
  </si>
  <si>
    <t>SAMSA/RFI/003/2026/27</t>
  </si>
  <si>
    <t>THE SOUTH AFRICAN MARITIME SAFETY AUTHORITY (SAMSA) REQUEST FOR INFORMATION (RFI) ON OPTICON IPECS eMG100 KSUS VoIP SOLUTION</t>
  </si>
  <si>
    <t>https://www.etenders.gov.za/home/Download/?blobName=c229d966-88a3-420f-82ee-9d610447b368.pdf&amp;downloadedFileName=RFP%20VoIP%20Solution%20-%20MRCC%20-%20RFI-003-2026-27.pdf</t>
  </si>
  <si>
    <t>KDP-88</t>
  </si>
  <si>
    <t>SUPPLY ONLY OF CONSTRUCTION ROAD SIGNS FOR KLIPFONTEIN DAM ACCESS ROAD &amp; HOUSE REPAIRS AND RENOVATIONS PROJECT IN THE KWAZULU-NATAL PROVINCE</t>
  </si>
  <si>
    <t>https://www.etenders.gov.za/home/Download/?blobName=489a23a7-db4a-4851-a3d9-0317b6d016ab.pdf&amp;downloadedFileName=SBD%201-KDP-88.pdf</t>
  </si>
  <si>
    <t>KDP-69</t>
  </si>
  <si>
    <t>CUT, BEND AND SUPPLY ONLY LOCAL CONTENT OF REBAR FOR ELEVATED STEEL TANK (EXCLUDING DELIVERY) FOR KLIPFONTEIN DAM ACCESS ROAD &amp; HOUSE REPAIRS AND RENOVATIONS PROJECT IN KWAZULU NATAL PROVINCE.</t>
  </si>
  <si>
    <t>https://www.etenders.gov.za/home/Download/?blobName=72591ed3-1868-4be6-8016-00c41c2ac980.pdf&amp;downloadedFileName=SBD%206.1%20IN%20TERMS%20OF%20PPR2022%20(80-20).pdf</t>
  </si>
  <si>
    <t>KDP-82</t>
  </si>
  <si>
    <t>SUPPLY ONLY OF LOCAL CONTENT OF PLUMBING MATERIAL FOR KLIPFONTEIN DAM ACCESS ROAD, HOUSE REPAIRS AND RENOVATIONS PROJECT IN THE KWAZULU-NATAL PROVINCE: CONSTRUCTION EAST</t>
  </si>
  <si>
    <t>https://www.etenders.gov.za/home/Download/?blobName=5a2d0c3e-8dd0-4faa-96c2-10b858691dca.pdf&amp;downloadedFileName=SBD%206.1%20IN%20TERMS%20OF%20PPR2022%20(80-20).pdf</t>
  </si>
  <si>
    <t>RFQJW111TN26</t>
  </si>
  <si>
    <t>RFQJW111TN26 - JOB EVALUATION AND GRADING SERVICES</t>
  </si>
  <si>
    <t>Johannesburg Water</t>
  </si>
  <si>
    <t>https://www.etenders.gov.za/home/Download/?blobName=ff0ef783-6c30-4ffd-baf6-4a2cb99298ae.pdf&amp;downloadedFileName=RFQJW111TN26%20-%20JOB%20EVALUATION%20AND%20GRADING%20SERVICES.pdf</t>
  </si>
  <si>
    <t>ZNQP 02/06/2026</t>
  </si>
  <si>
    <t>Appointment of suitable service provider to supply 1X Thirty-Two (32) GB RAM OR 2X Sixteen (16) GB DDR4 3200MHZ RAM for Desktop at Department of Public Works and Infrastructure in eThekwini Region, 455A King Cetshwayo Highway</t>
  </si>
  <si>
    <t>Supplies: Computer Equipment</t>
  </si>
  <si>
    <t>https://www.etenders.gov.za/home/Download/?blobName=756b6940-bdb9-4741-bfbe-2ed6351204da.pdf&amp;downloadedFileName=32%20GIG%20RAM%20%202026%20version%20tender%20document%20JUNE2026.pdf</t>
  </si>
  <si>
    <t>1224152</t>
  </si>
  <si>
    <t>APPOINTMENT OF A SERVICE PROVIDER TO REVIEW THE MMSEZ SOC ORGANISATION STRUCTURE</t>
  </si>
  <si>
    <t>Employment activities</t>
  </si>
  <si>
    <t>https://www.etenders.gov.za/home/Download/?blobName=817ebc77-10e4-4054-85e2-d8264f89f88d.pdf&amp;downloadedFileName=Bid%20Document%20-%20Appointment%20of%20SP%20review%20of%20the%20MMSEZ%20Structure.pdf</t>
  </si>
  <si>
    <t>AHT26842</t>
  </si>
  <si>
    <t>PROVISION OF REFRESHMENTS TO PetroSA IN MOSSEL BAY</t>
  </si>
  <si>
    <t>PetroSA</t>
  </si>
  <si>
    <t>https://www.etenders.gov.za/home/Download/?blobName=306767a3-5317-43e9-ba78-36683c69dc53.pdf&amp;downloadedFileName=Supplier%20Self%20Registration.pdf</t>
  </si>
  <si>
    <t>RFQ03-06-2026</t>
  </si>
  <si>
    <t>APPOINTMENT OF A SERVICE PROVIDER TO PROVIDE ENGINE SOFTWARE LICENSES RENEWAL FOR IT INFRASTRUCTURE MONITORING, AUDITING AND REPORTING.</t>
  </si>
  <si>
    <t>Cross-Border Road Transport Agency</t>
  </si>
  <si>
    <t>Other personal service activities</t>
  </si>
  <si>
    <t>https://www.etenders.gov.za/home/Download/?blobName=34c8d000-d4c3-45f4-9b09-21aa8ef5dc0d.pdf&amp;downloadedFileName=RFQ%2003-06-2026%20Appointment%20of%20a%20service%20provider%20to%20provide%20engine%20software%20licenses%20renewal%20for%20IT%20Infrastructure%20monitoing,%20auditing%20and%20reporting.pdf</t>
  </si>
  <si>
    <t>RFQ BB 39/2026</t>
  </si>
  <si>
    <t>THE APPOINTMENT OF A SERVICE PROVIDER FOR THE SUPPLY AND DELIVERY OF DESKTOP RAM MODULES TO THE OUDTSHOORN CAMPUS, SOUTH CAPE TVET COLLEGE.</t>
  </si>
  <si>
    <t>https://www.etenders.gov.za/home/Download/?blobName=8a81b351-e5c5-462c-8e2d-3ecde05a4117.pdf&amp;downloadedFileName=RFQ%20BB%2039%20SUPPLY%20AND%20DELIVERY%20OF%20RAM%20MODULES%20TO%20THE%20OUDTSHOORN%20CAMPUS%20(1).pdf</t>
  </si>
  <si>
    <t>PR10116501</t>
  </si>
  <si>
    <t>The Road Accident Fund (RAF) wishes to appoint a suitable Service Provider to conduct Occupational Hygiene Survey and Ergonomic Assessment.</t>
  </si>
  <si>
    <t>https://www.etenders.gov.za/home/Download/?blobName=da1871de-fa95-46f3-86be-1f28f5159c05.docx&amp;downloadedFileName=SBD%206.1%20IN%20TERMS%20OF%20PPR2022.docx</t>
  </si>
  <si>
    <t>RFQ Training</t>
  </si>
  <si>
    <t>RFQ: Appointment of Service Provider for the Provision of Accredited Training Services to Landcare Contractors</t>
  </si>
  <si>
    <t>iSimangaliso Wetland Park</t>
  </si>
  <si>
    <t>Education</t>
  </si>
  <si>
    <t>https://www.etenders.gov.za/home/Download/?blobName=166ee697-f684-41df-bc5f-5a0f27590462.pdf&amp;downloadedFileName=RFQ%20%20Appointment%20of%20Service%20Provider%20for%20Accredited%20Training%20to%20Landcare%20Contractors.pdf</t>
  </si>
  <si>
    <t>RFQ 202001</t>
  </si>
  <si>
    <t>APPOINTMENT OF A REGISTERED WASTE SERVICE PROVIDER FOR THE COLLECTION, SEPERATION, TRANSPORTATION &amp; PROPER DISPOSAL OF WASTE AT SABS GROENKLOOF, PRETORIA &amp; NEFTA SITE FOR A PERIOD OF 3 MONTHS.</t>
  </si>
  <si>
    <t>The South African Bureau of Standards (SABS)</t>
  </si>
  <si>
    <t>Waste collection, treatment and disposal activities; materials recovery</t>
  </si>
  <si>
    <t>https://www.etenders.gov.za/home/Download/?blobName=beeda97e-b5fe-4eb8-a4eb-8ad378dec09b.pdf&amp;downloadedFileName=RFQ%20202001%20-%20Waste%20Service%20Provider.pdf</t>
  </si>
  <si>
    <t>284G/2025/26</t>
  </si>
  <si>
    <t>TERM TENDER FOR THE SUPPLY, DELIVERY AND TESTING OF NEW AND REGENERATED MINERAL INSULATING OIL AND LUBRICANTS FOR GENERATING POWER STATIONS.</t>
  </si>
  <si>
    <t>City of Cape Town</t>
  </si>
  <si>
    <t>https://teams.microsoft.com/meet/385919588074896?p=7jDVe70oR8Nh3baBKp</t>
  </si>
  <si>
    <t>https://www.etenders.gov.za/home/Download/?blobName=6d056d36-8d6d-4dfe-86bb-d8efd5b3acec.pdf&amp;downloadedFileName=284G-2025-26%20Term%20Tender%20for%20the%20Supply%20Delivery%20and%20Testing%20of%20New%20and%20Regenerated%20Mineral%20Insulating%20Oil%20and%20Lubricants%20for%20Generating%20Power%20Stations_Final%20-%20Print.pdf</t>
  </si>
  <si>
    <t>SCM3/2026/27</t>
  </si>
  <si>
    <t>SUPPLY AND DELIVER OF EMERGENCY KITS FOR FIRE &amp; FLOOD VICTIMS FOR A PERIOD OF 24 MONTHS</t>
  </si>
  <si>
    <t>Cape Agulhas Municipality</t>
  </si>
  <si>
    <t>https://www.etenders.gov.za/home/Download/?blobName=9e0c74b8-af67-4a8e-ab52-345689eeee47.pdf&amp;downloadedFileName=SCM3-2026-27%20SUPPLY%20AND%20DELIVER%20OF%20EMERGENCY%20KITS%20FOR%20FIRE%20VICTIMS%20FOR%20A%20PERIOD%20OF%2024%20MONTHS%20-%20TENDER%20DOCUMENT.pdf</t>
  </si>
  <si>
    <t>8/2/RNM0641</t>
  </si>
  <si>
    <t>PANEL OF ARCHITECTS, CIVIL/STRUCTURAL AND ELECTRICAL ENGINEERING CONSULTANTS FOR DESIGN AND IMPLEMENTATION OF CAPITAL PROJECTS WITHIN RAY NKONYENI MUNICIPALITY FOR THE PERIOD OF 3 YEARS</t>
  </si>
  <si>
    <t>Ray Nkonyeni Local Municipality</t>
  </si>
  <si>
    <t>Specialised construction activities</t>
  </si>
  <si>
    <t>https://www.etenders.gov.za/home/Download/?blobName=d923aa28-e810-4cd5-b8f8-c3b37f9f7c2a.pdf&amp;downloadedFileName=Tender%20Document%20for%20Panel%20of%20Architects%20and%20Civil_Structural%20and%20Electrical%20Engineering%20consultants%202026.pdf</t>
  </si>
  <si>
    <t>NMMDM 25/26/14A PMU</t>
  </si>
  <si>
    <t>SETLOPO WATER SUPPLY PHASE 2A: WARD 35</t>
  </si>
  <si>
    <t>Ngaka Modiri Molema District Municipality</t>
  </si>
  <si>
    <t>Opposite Setlopo Clinic, co-ordinates: 25° 55' 59.04" S, 25° 39' 21.11" E.</t>
  </si>
  <si>
    <t>https://www.etenders.gov.za/home/Download/?blobName=3d808158-2e04-4b6b-82da-73911d09e5e1.pdf&amp;downloadedFileName=ADVERT%20SETLOPO%20WATER%20SUPPLY%20PHASE%202%20WARD%2035%20JUNE%202026.pdf</t>
  </si>
  <si>
    <t>NMMDM 25/26/14B PMU</t>
  </si>
  <si>
    <t>SETLOPO WATER SUPPLY PHASE 2B: WARD 22 &amp; 31</t>
  </si>
  <si>
    <t>Opposite Setlopo clinic, co-ordinates: 25° 55' 59.04" S, 25° 39' 21.11" E.</t>
  </si>
  <si>
    <t>https://www.etenders.gov.za/home/Download/?blobName=e4571d1e-0761-487a-8683-26b14bf80afc.pdf&amp;downloadedFileName=ADVERT%20SETLOPO%20WATER%20SUPPLY%20PHASE%202%20WARD%2022%20AND%2031%20JUNE%202026.pdf</t>
  </si>
  <si>
    <t>WRC-004-2026/27</t>
  </si>
  <si>
    <t>APPOINTMENT OF A SERVICE PROVIDER FOR THE FOR THE DEVELOPMENT, SUPPORT AND MAINTENANCE OF THE ELECTRONIC DOCUMENT MANAGEMENT SYTEMS (EDMS) IMPLEMENTATION INCLUDING FILE SERVER MIGRATION TO CLOUD SERVICE FOR A PERIOD OF 36 MONTHS</t>
  </si>
  <si>
    <t>Water Research Commission</t>
  </si>
  <si>
    <t>Virtual Attendance: send email to tenders@wrc.org.za and lawrencec@wrc.org.za to request for a link</t>
  </si>
  <si>
    <t>https://www.etenders.gov.za/home/Download/?blobName=164a5f6d-40e6-4303-86c8-94d05e6de6c5.pdf&amp;downloadedFileName=TENDER%20DOCUMENT%20WRC-004-2026-27%20-%20EDMS.pdf</t>
  </si>
  <si>
    <t>RAF/2026/00038</t>
  </si>
  <si>
    <t>PROVISION OF CLEANING SERVICES AT THE ROAD ACCIDENT FUND (RAF) FOR ALL OFFICES FOR A PERIOD OF FIVE (5) YEARS.</t>
  </si>
  <si>
    <t>Refer to the RFB document for dates and times</t>
  </si>
  <si>
    <t>https://www.etenders.gov.za/home/Download/?blobName=9dc16a51-d7ac-448a-be60-ac4104c4a16d.pdf&amp;downloadedFileName=RFB%20RAF%202026%2000038%20Cleaning%20Services.pdf</t>
  </si>
  <si>
    <t>292S/2025/26</t>
  </si>
  <si>
    <t>PROVISION OF CLEANING, GARDENING AND SAFETY SERVICES IN SELECTED PRECINCTS IN CAPE TOWN</t>
  </si>
  <si>
    <t>Meeting ID: 385 079 333 742 232 Passcode: 4iK6mk2z</t>
  </si>
  <si>
    <t>https://www.etenders.gov.za/home/Download/?blobName=67ccaf1c-06fe-43f9-bfb8-63d6b0bfcde3.pdf&amp;downloadedFileName=Tender_292S%20-%20Notice%201.pdf</t>
  </si>
  <si>
    <t>BV1174/2026</t>
  </si>
  <si>
    <t>CONSTRUCTION OF THE QUINT STREET MIDBLOCK SEWER REMOVAL</t>
  </si>
  <si>
    <t>Breede Valley Municipality</t>
  </si>
  <si>
    <t>SCM boardroom, Supply Chain Building, 51B Baring Street, Worcester</t>
  </si>
  <si>
    <t>https://www.etenders.gov.za/home/Download/?blobName=68103135-cfef-4b24-84c0-41a63891c6d7.pdf&amp;downloadedFileName=BID%20NOTICE%20BV1174.pdf</t>
  </si>
  <si>
    <t>E3011DXKZN</t>
  </si>
  <si>
    <t>An Enabling Agreement for a Panel of (5) five Contractors for Fibre Optic Cable Installation on “as and when” required basis in the Central East Cluster (Kwa-Zulu Natal and Free State Operating Units) for a period of (5) five years.</t>
  </si>
  <si>
    <t>MS TEAMS</t>
  </si>
  <si>
    <t>https://www.etenders.gov.za/home/Download/?blobName=fc8394ad-2070-470e-aef2-08f00aad5a36.pdf&amp;downloadedFileName=240-68099512%20Form%20A_Cat%203_%20Fibre%20Optic%20Installation%20and%20Repair.pdf</t>
  </si>
  <si>
    <t>Tender no. MN22/2026</t>
  </si>
  <si>
    <t>TENDER NO. MN 22/2026: SUPPLY AND DELIVERY OF PROTECTIVE CLOTHING FOR TRAFFIC OFFICERS/ TRAFFIC WARDENS/ PROTECTION SERVICES AND LAW ENFORCEMENT OFFICERS OF KWADUKUZA MUNICIPALITY FOR A PERIOD OF THREE YEARS</t>
  </si>
  <si>
    <t>Kwadukuza Municipality</t>
  </si>
  <si>
    <t>PMU Building/outside Car Park arear (back entry) Lavoipierre Building, 2 Industria Crescent, KwaDuku</t>
  </si>
  <si>
    <t>https://www.etenders.gov.za/home/Download/?blobName=7eed253e-8ebf-4836-9eb7-23a52ff57318.docx&amp;downloadedFileName=TENDER%20NO.%20MN%2022-2026-SUPPLY%20AND%20DELIVERY%20OF%20PROTECTIVE%20CLOTHING%20FOR%20TRAFFIC%20OFFICERS.docx</t>
  </si>
  <si>
    <t>JW14427A</t>
  </si>
  <si>
    <t>10:30</t>
  </si>
  <si>
    <t>Greater Orange Farm Phase 3A Water Infrastructure Upgrade and Renewal</t>
  </si>
  <si>
    <t>2 James street, Ennerdale, Johannesburg Water Ennerdale Depot</t>
  </si>
  <si>
    <t>https://www.etenders.gov.za/home/Download/?blobName=b6495a23-146f-4c7d-ad0a-16030ba01b65.pdf&amp;downloadedFileName=JW14427A%20%20GREATER%20ORANGE%20FARM%20PHASE%203A%20WATER%20INFRASTRUCTURE%20UPGRADE.pdf</t>
  </si>
  <si>
    <t>JW14500</t>
  </si>
  <si>
    <t>Upgrading And Replacement of Water and Sewer Pipelines In De Villiers Street Innercity</t>
  </si>
  <si>
    <t>Turbine Hall, 65 Ntemi Piliso Street, Newtown, Johannesburg, Auditorium</t>
  </si>
  <si>
    <t>https://www.etenders.gov.za/home/Download/?blobName=20d474a7-fe19-42d0-bd5c-000336c30932.pdf&amp;downloadedFileName=19%20JUNE%202026.pdf</t>
  </si>
  <si>
    <t>JWOPS009/25</t>
  </si>
  <si>
    <t>Supply, Delivery and Offloading of Consumables on an “As and When” Required Basis for A Period of Thirty-Six (36) Months.</t>
  </si>
  <si>
    <t>Turbine Hall, 65 Ntemi Piliso Street, Newtown, Johannesburg, 2001, Auditorium</t>
  </si>
  <si>
    <t>https://www.etenders.gov.za/home/Download/?blobName=66c90126-f003-45e2-bdf6-4c0c1f9b52ca.pdf&amp;downloadedFileName=19%20JUNE%202026.pdf</t>
  </si>
  <si>
    <t>BV1173/2026</t>
  </si>
  <si>
    <t>REPLACEMENT OF EXISTING PIPE SYSTEMS THROUGH TRENCHLESS TECHNOLOGY FOR A PERIOD ENDING 30 JUNE 2029</t>
  </si>
  <si>
    <t>https://www.etenders.gov.za/home/Download/?blobName=51cc4151-6ecf-45ff-a383-83a7b2f5304a.pdf&amp;downloadedFileName=Bid%20Motice%20(BV1173_2026).pdf</t>
  </si>
  <si>
    <t>ZNB7000/2026-H</t>
  </si>
  <si>
    <t>CONSTRUCTION OF ADDITIONAL COVERED PARKING AT ETHEKWINI INFRASTRUCTURE MANAGEMENT HUB</t>
  </si>
  <si>
    <t>Kwazulu Natal - Health</t>
  </si>
  <si>
    <t>ETHEKWINI INFRASTRUCTURE MANAGEMENT HUB Physical address: 60 DR RD NAIDU DRIVE, SYDENHAM,BEREA, 409</t>
  </si>
  <si>
    <t>https://www.etenders.gov.za/home/Download/?blobName=8d247aa2-1e67-408f-8b1f-334fd0a6e169.pdf&amp;downloadedFileName=ZNB%207000-2026-H%20BID%20DOCUMENT.pdf</t>
  </si>
  <si>
    <t>E3072GXMPARN</t>
  </si>
  <si>
    <t>service and maintenance of boiler emissions gas analysers for both South and North Stack at Arnot Power Station for a Period of 4 years</t>
  </si>
  <si>
    <t>https://www.etenders.gov.za/home/Download/?blobName=7d1b23dd-26b3-4839-beee-22354db8c24e.zip&amp;downloadedFileName=Financial%20analysis%20Returnables.zip</t>
  </si>
  <si>
    <t>SASSA: 03-26-GA-WC</t>
  </si>
  <si>
    <t>Accreditation of independent Health practitioners for SASSA Western Cape for a period of three(03) years.</t>
  </si>
  <si>
    <t>https://www.etenders.gov.za/home/Download/?blobName=a706b196-78a7-412e-917e-696f94b10851.PDF&amp;downloadedFileName=SASSA-03-26-GA-WC.PDF</t>
  </si>
  <si>
    <t>IHLM/198/2025-26/ROADS</t>
  </si>
  <si>
    <t>PANEL OF BUILDING CONTRACTORS FOR A PERIOD OF THREE (3) YEARS</t>
  </si>
  <si>
    <t>https://www.etenders.gov.za/home/Download/?blobName=8eb594db-090d-4fdc-9656-48584e299e15.pdf&amp;downloadedFileName=TENDER%20DOCUMENT%20FOR%20PANEL%20OF%20BUILDING%20CONTRACTORS%20FOR%20A%20PERIOD%20OF%20THREE%20(3)%20YEARS.pdf</t>
  </si>
  <si>
    <t>287S/2025/26</t>
  </si>
  <si>
    <t>TERM TENDER FOR MECHANICAL AND ELECTRICAL MAINTENANCE AND FULL OPERATION OF THE EXISTING AIR-CONDITIONING INSTALLATIONS AT CAPE TOWN CIVIC CENTRE, TRANSPORT MANAGEMENT CENTRE, STRAND STREET CONCOURSE AND OTHER FACILITIES WITHIN THE CITY OF CAPE TOWN.</t>
  </si>
  <si>
    <t>https://teams.microsoft.com/meet/364931863519849?p=Ng9UqnpI1iSNZWAWPD</t>
  </si>
  <si>
    <t>https://www.etenders.gov.za/home/Download/?blobName=003f9f85-c7d7-406f-8b62-4fb92e9dc3a5.pdf&amp;downloadedFileName=287S_2025_26_Rev%206%20HVAC%20FINAL%20Tender%20Doc%20287S.pdf</t>
  </si>
  <si>
    <t>2026/022</t>
  </si>
  <si>
    <t>Head Office HVAC Maintenance Contract for Five(5) Years</t>
  </si>
  <si>
    <t>Umgeni Water</t>
  </si>
  <si>
    <t>uMngeni-uThukela Water Head Office,310 Burger Street, Pietermaritzburg,3201.</t>
  </si>
  <si>
    <t>https://www.etenders.gov.za/home/Download/?blobName=f5eac916-143e-45fd-9796-571d1ba40c70.pdf&amp;downloadedFileName=2026_022_HEAD%20OFFICE%20HVAC%20MAINTENANCE%20CONTRACT%20FOR%20FIVE%20(5)%20YEARS.pdf</t>
  </si>
  <si>
    <t>2026/089</t>
  </si>
  <si>
    <t>Supply and Delivery of Stationery and Pre-Printed Stationery for the period of 36 months to Mkondeni, Pineside and Richards Bay Stores</t>
  </si>
  <si>
    <t>Supplies: Stationery/Printing</t>
  </si>
  <si>
    <t>UUW Pineside Canteen, 13 Pineside Road. New Germany, 3610</t>
  </si>
  <si>
    <t>https://www.etenders.gov.za/home/Download/?blobName=cf637edf-d795-479f-a716-0bec230b158f.pdf&amp;downloadedFileName=2026-089.pdf</t>
  </si>
  <si>
    <t>2026/063</t>
  </si>
  <si>
    <t>ICT OPERATIONS MAINTENANCE AND SUPPORT FOR A PERIOD OF FIVE YEARS</t>
  </si>
  <si>
    <t>uMngeni Meeting Room at 310 Burger Street Pietermaritzburg</t>
  </si>
  <si>
    <t>https://www.etenders.gov.za/home/Download/?blobName=7bab3762-e349-4a6c-91e1-f75418cdc63d.pdf&amp;downloadedFileName=2026-063-Tender%20Document.pdf</t>
  </si>
  <si>
    <t>JWOPS072/26</t>
  </si>
  <si>
    <t>Supply, Delivery, Installation, Servicing and Onsite Training for Advanced Pressure Management Equipment and Monitoring System on an “As and When” Required Basis for a Period of Thirty-Six (36) Months</t>
  </si>
  <si>
    <t>https://www.etenders.gov.za/home/Download/?blobName=1df4271f-2640-4d0e-ba43-0b0e524a4fd4.pdf&amp;downloadedFileName=19%20JUNE%202026.pdf</t>
  </si>
  <si>
    <t>BS06/06/2026</t>
  </si>
  <si>
    <t>Request for Bid(Limited-Tender</t>
  </si>
  <si>
    <t>LEASING OF MUNICIPAL WASTE TRANSFER STATIONS RECYCLING AREAS FOR RECOVERY AND SORTING OF RECYCLABLE MATERIALS FOR A PERIOD OF 36 MONTHS</t>
  </si>
  <si>
    <t>Steve Tshwete Local Municipality</t>
  </si>
  <si>
    <t>Solid Waste Depot, Municipal stores (Magasyn), Cnr Walter Sisulu &amp; Protea street, Middelburg</t>
  </si>
  <si>
    <t>https://www.etenders.gov.za/home/Download/?blobName=1d2c3e28-96dc-4c2c-aae1-a2e031682a82.pdf&amp;downloadedFileName=advert%20%20BS06-06-2026%20LEASING%20OF%20WASTE%20TRANSFER%20STATIONS%20FOR%20RECYCLING%20PURPOSE%20RE%20ADVERT.pdf</t>
  </si>
  <si>
    <t>S014/26</t>
  </si>
  <si>
    <t>CONTRACT NO. C1140: THE PERIODIC MAINTENANCE OF DR1435, DR1438 AND DR1489 - DE DOORNS</t>
  </si>
  <si>
    <t>Western Cape - Transport and Public Works</t>
  </si>
  <si>
    <t>Services: Civil</t>
  </si>
  <si>
    <t>KAROO ONE HOTEL &amp; VILLAGE</t>
  </si>
  <si>
    <t>https://www.etenders.gov.za/home/Download/?blobName=82b101b7-fefb-4e6e-9663-7baefd2e96b6.docx&amp;downloadedFileName=TENDER%20DOCS.docx</t>
  </si>
  <si>
    <t>PSiRA/2026/27/RFB/01</t>
  </si>
  <si>
    <t>APPOINTMENT OF A SERVICE PROVIDER FOR THE PROVISION OF LEASING OF OFFICE SPACE FOR THE WESTERN CAPE REGIONAL OFFICE FOR A PERIOD OF 5 YEARS.</t>
  </si>
  <si>
    <t>Private Security Industry Regulatory Authority</t>
  </si>
  <si>
    <t>https://teams.microsoft.com/meet/321463429838511?p=JOe4x57xgtv3mMumFA</t>
  </si>
  <si>
    <t>https://www.etenders.gov.za/home/Download/?blobName=98f7ab78-53c0-425b-8882-3119028bb53c.pdf&amp;downloadedFileName=Bid%20Document%20-%20Western%20Cape%20Lease.pdf</t>
  </si>
  <si>
    <t>31/2025/2026</t>
  </si>
  <si>
    <t>HAULING OF MACHINERY, TRACTORS, LIGHT VEHICLES AND TRUCKS</t>
  </si>
  <si>
    <t>Thulamela Local Municipality</t>
  </si>
  <si>
    <t>https://www.etenders.gov.za/home/Download/?blobName=110a1fbe-e927-4f38-a424-1ba13778c446.pdf&amp;downloadedFileName=HAULING%20OF%20MACHINERY,TRACTORS,LIGHT%20VEHICLES%20AND%20TRUCKS.pdf</t>
  </si>
  <si>
    <t>32/2025/2026</t>
  </si>
  <si>
    <t>WIRING OF VEHICLES, TRUCKS, TRACTORS, HEAVY MACHINERY AND REPAIRS OF STOBE LIGHTS</t>
  </si>
  <si>
    <t>https://www.etenders.gov.za/home/Download/?blobName=12ea6ff4-d5ee-4115-bd97-57cdca32ab0b.pdf&amp;downloadedFileName=WIRING%20OF%20VEHICLES,TRUCKS,TRACTORS,HEAVY%20MACHINERY%20AND%20REPAIRS%20OF%20STOBE%20LIGHTS..pdf</t>
  </si>
  <si>
    <t>33/2025/2026</t>
  </si>
  <si>
    <t>REPAIR OF HEAVY MACHINERY AND TRACTORS</t>
  </si>
  <si>
    <t>https://www.etenders.gov.za/home/Download/?blobName=85d3d1ba-e15f-4f0c-b36c-f4b8ebe8d641.pdf&amp;downloadedFileName=REPAIR%20OF%20HEAVY%20MACHINERY%20AND%20TRACTORS.pdf</t>
  </si>
  <si>
    <t>34/2025/2026</t>
  </si>
  <si>
    <t>REPAIR OF LIGHT VEHICLES AND TRUCKS</t>
  </si>
  <si>
    <t>https://www.etenders.gov.za/home/Download/?blobName=dd95fb1c-0b58-4a3f-9a5a-56f9fb3d1277.pdf&amp;downloadedFileName=REPAIR%20OF%20LIGHT%20VEHICLES%20AND%20TRUCKS..pdf</t>
  </si>
  <si>
    <t>35/2025/2026</t>
  </si>
  <si>
    <t>REPAIR OF SMALL EQUIPMENTS</t>
  </si>
  <si>
    <t>https://www.etenders.gov.za/home/Download/?blobName=f462c31d-ba92-48a5-945f-861c40b18448.pdf&amp;downloadedFileName=REPAIR%20OF%20SMALL%20EQUIPMENTS..pdf</t>
  </si>
  <si>
    <t>36/2025/2026</t>
  </si>
  <si>
    <t>WELDING OF LIGHT VEHICLES, TRUCKS, HEAVY MACHINERY AND TRACTORS</t>
  </si>
  <si>
    <t>https://www.etenders.gov.za/home/Download/?blobName=939a82d3-a3e3-4e35-bfc0-4404f6505b33.pdf&amp;downloadedFileName=WELDING%20OF%20LIGHT%20VEHICLES,TRUCKS,HEAVY%20MACHINERY%20AND%20TRACTORS..pdf</t>
  </si>
  <si>
    <t>37/2025/2026</t>
  </si>
  <si>
    <t>SUPPLY OF CUTTING EDGES AND REPAIR OF HYDRAULIC PIPES AND HYDRAULIC CYLINDERS</t>
  </si>
  <si>
    <t>https://www.etenders.gov.za/home/Download/?blobName=fb556cf4-e025-4e58-8f03-a6a6db4801e7.pdf&amp;downloadedFileName=SUPPLY%20OF%20%20CUTTING%20EDGES%20AND%20REPAIR%20OF%20HYDRAULIC%20PIPES%20AND%20HYDRAULIC%20CYLENDERS..pdf</t>
  </si>
  <si>
    <t>38/2025/2026</t>
  </si>
  <si>
    <t>SUPPLY AND DELIVERY OF BATTERIES AND TERMINALS</t>
  </si>
  <si>
    <t>THULAMELA MUNICIPALITY: TSHIULUNGOMA MECHANICAL WORKSHOP</t>
  </si>
  <si>
    <t>https://www.etenders.gov.za/home/Download/?blobName=1b5a7d79-39dd-41f1-83d1-bc672300e2c4.pdf&amp;downloadedFileName=SUPPLY%20AND%20DELIVERY%20OF%20BATTERIES%20AND%20TERMINALS..pdf</t>
  </si>
  <si>
    <t>39/2025/2026</t>
  </si>
  <si>
    <t>SUPPLY, FITTING AND REPAIRS OF TYRES</t>
  </si>
  <si>
    <t>https://www.etenders.gov.za/home/Download/?blobName=fcda410f-e096-44a3-8be2-c44b13905e5d.pdf&amp;downloadedFileName=SUPPLY,FITTING%20AND%20REPAIRS%20OF%20TYRES.pdf</t>
  </si>
  <si>
    <t>E1626TSSERI</t>
  </si>
  <si>
    <t>The Supply and Delivery of Tapchangers and Parts to Eskom Rotek Industries for a Period of Four (4) Years on an as and when required basis.</t>
  </si>
  <si>
    <t>Supplies: Electrical Equipment</t>
  </si>
  <si>
    <t>MS Teams</t>
  </si>
  <si>
    <t>https://www.etenders.gov.za/home/Download/?blobName=8e1174e3-9dcf-4856-af2d-0d0b7f71c929.pdf&amp;downloadedFileName=Quality%20Requirements%20(004).pdf</t>
  </si>
  <si>
    <t>278G/2025/26</t>
  </si>
  <si>
    <t>TERM TENDER FOR THE SUPPLY, INSTALLATION, REPAIR AND MAINTENANCE, OF SIGNAGE AT ALL PARKS, OPEN SPACES AND FACILITIES (LEASED AND OWNED) WITHIN COMMUNITY SERVICE AND HEALTH</t>
  </si>
  <si>
    <t>Disposals: General</t>
  </si>
  <si>
    <t>In person meeting and MS Teams details on the 3rd page of the tender document.</t>
  </si>
  <si>
    <t>https://www.etenders.gov.za/home/Download/?blobName=4f5554ec-e57c-4606-8732-1e4673006365.pdf&amp;downloadedFileName=278G-2025-26%20-%20FINAL%20TENDER%20DOC.pdf</t>
  </si>
  <si>
    <t>277Q/2025/26</t>
  </si>
  <si>
    <t>TERM TENDER FOR THE REPAIRS, MAINTENANCE, ADDITIONS AND ALTERATIONS TO SWIMMING POOLS AND SPRAY PARKS FOR COMMUNITY SERVICES &amp; HEALTH, SAFETY AND SECURITY AND OTHER COUNCIL OWNED FACILITIES WITHIN THE CITY OF CAPE TOWN.</t>
  </si>
  <si>
    <t>212 Alice Road Tygerdal, Goodwood: (Refer to Locality Plan – Clarification Meeting Venue overleaf.</t>
  </si>
  <si>
    <t>https://www.etenders.gov.za/home/Download/?blobName=be55df79-ec5a-4444-b756-bcc731e90357.pdf&amp;downloadedFileName=277Q-2025-26%20-%20Final%20tender%20document%20advert%201-7.pdf</t>
  </si>
  <si>
    <t>282S/2025/26</t>
  </si>
  <si>
    <t>THE PROVISION OF AN ARMED CARRIER SERVICES FOR THE COLLECTING, BANKING AND DELIVERY OF CASH AND DOCUMENTS</t>
  </si>
  <si>
    <t>Teams</t>
  </si>
  <si>
    <t>https://www.etenders.gov.za/home/Download/?blobName=470b078e-526a-4790-8b2b-bf8676f3ad8d.pdf&amp;downloadedFileName=Final%20Tender%20Document%20282S.2025.26.pdf</t>
  </si>
  <si>
    <t>PRASA/NGR/001/06/2026</t>
  </si>
  <si>
    <t>REQUEST FOR PROPOSAL (RFP) FOR THE APPOINTMENT OF A SERVICE PROVIDER FOR PROVISION OF CLEANING, HYGIENE AND HORTICULTURAL SERVICES AT CORRIDOR 1C STATIONS IN NGR FOR A PERIOD OF THREE (3) YEARS – 36 MONTHS</t>
  </si>
  <si>
    <t>PRASA CRES MAIN BOARDROOM; DARK GREY BUILDING CORNER 546 PAUL KRUGER &amp; SCHEIDING STREETS PRETORIA ST</t>
  </si>
  <si>
    <t>https://www.etenders.gov.za/home/Download/?blobName=bcc1af99-3318-4a14-a7f8-0acd92a0447c.pdf&amp;downloadedFileName=Annexure%203%20APPENDICES%20-%20PRASA%20TENDER%20RETURNABLE%20FORMS%20(SCM%20Circular%20Number%2002%20of%20202526)%20Corridor%201C%20(003).pdf</t>
  </si>
  <si>
    <t>E1590GXMPMAJRR</t>
  </si>
  <si>
    <t>Conservation Maintenance Contract for the Majuba Nature Reserve at Majuba Power Station for 36 months</t>
  </si>
  <si>
    <t>https://www.etenders.gov.za/home/Download/?blobName=81f78589-d0c6-43be-926b-22dba4afc22b.pdf&amp;downloadedFileName=TOP%2010%20Risk.pdf</t>
  </si>
  <si>
    <t>8/2/RNM0649</t>
  </si>
  <si>
    <t>PANEL OF FINANCIAL CONSULTANTS FOR A THREE (3)-YEAR PERIOD</t>
  </si>
  <si>
    <t>Financial and insurance activities</t>
  </si>
  <si>
    <t>Microsoft Teams</t>
  </si>
  <si>
    <t>https://www.etenders.gov.za/home/Download/?blobName=325d8d37-92bb-44d8-b9e2-d266fdcfc3fb.pdf&amp;downloadedFileName=RNM0649%20Panel%20of%20Financial%20Consultants%20-%20LATEST.pdf</t>
  </si>
  <si>
    <t>RFP 2 OF 2026_</t>
  </si>
  <si>
    <t>PANEL OF SECURITY SERVICE PROVIDERS FOR THE PROVISION OF SECURITY SERVICES FOR A PERIOD OF 3 YEARS</t>
  </si>
  <si>
    <t>BUFFALO CITY METROPOLITAN DEVELOPMENT AGENCY</t>
  </si>
  <si>
    <t>https://www.etenders.gov.za/home/Download/?blobName=5079471e-69c5-40c1-b1e3-33cd0404765e.pdf&amp;downloadedFileName=TENDER%20DOCUMENT%20OF%20RFP%202%20%20OF%202026.pdf</t>
  </si>
  <si>
    <t>E2422GCDMWPR</t>
  </si>
  <si>
    <t>Provisioning of Magik and ESRI Technology Maintenance and Support for a period of two (2) years -Re-Issue</t>
  </si>
  <si>
    <t>https://www.etenders.gov.za/home/Download/?blobName=3dcb9fce-97eb-41fa-a85e-0a4a472ae3da.pdf&amp;downloadedFileName=Magik%20and%20ESRI%20Technology%20Maintenance%20v1.0%20-SDLI%20-Annexure%20N%20-.pdf</t>
  </si>
  <si>
    <t>TNPA/2026/06/0016/114517/RFP</t>
  </si>
  <si>
    <t>REQUEST FOR PROPOSAL TO LEASE LAND IN EXTENT OF 16.25m2 AT ELLIOT BASIN N THE PORT OF CAPE TOWN FOR A PERIOD OF UP TO TEN (10) YEARS.</t>
  </si>
  <si>
    <t>Transnet National Ports Authority</t>
  </si>
  <si>
    <t>The meeting link is on the RFP document</t>
  </si>
  <si>
    <t>https://www.etenders.gov.za/home/Download/?blobName=143617ec-e841-49fe-8bdb-a24645567e72.pdf&amp;downloadedFileName=Request%20for%20Proposal%20no%202026%2006%200016%20114517%20RFP.pdf</t>
  </si>
  <si>
    <t>DARD08/2026</t>
  </si>
  <si>
    <t>Supply, Deliver, Install and Train on Brand New Solvent Extractor/Fat Analyzer for Analytical Services.</t>
  </si>
  <si>
    <t>Kwazulu Natal - Department of Agriculture and Rural Develeopment</t>
  </si>
  <si>
    <t>https://www.etenders.gov.za/home/Download/?blobName=d7af7f4f-a95a-4ec0-91a3-fa8b18892529.pdf&amp;downloadedFileName=DARD08.2026.pdf</t>
  </si>
  <si>
    <t>TNPA/2026/06/0011/114512/RFP</t>
  </si>
  <si>
    <t>REQUEST FOR PROPOSAL TO LEASE LAND IN EXTENT OF 198,9m2 AT ALKMAAR ROAD IN THE PORT OF CAPE TOWN FOR A PERIOD OF UP TO TEN (10) YEARS.</t>
  </si>
  <si>
    <t>https://www.etenders.gov.za/home/Download/?blobName=f57dc175-603c-4f14-a1ae-ea1e07e67078.pdf&amp;downloadedFileName=TNPA%202026%2006%200011%20114512%20RFP.pdf</t>
  </si>
  <si>
    <t>TNPA/2026/06/0026/114527/RFP</t>
  </si>
  <si>
    <t>REQUEST FOR PROPOSAL TO LEASE LAND IN EXTENT OF 1341m2 AT OCEAN ROAD IN THE PORT OF CAPE TOWN FOR A PERIOD OF UP TO TEN (10) YEARS</t>
  </si>
  <si>
    <t>https://teams.microsoft.com/meet/352076581193664?p=1N8KW75WyPsDxicHXU Meeting ID: 352 076 581 193 66</t>
  </si>
  <si>
    <t>https://www.etenders.gov.za/home/Download/?blobName=5b6a56ba-ea5d-4fc0-8d28-a254f22126c4.pdf&amp;downloadedFileName=TNPA%202026%2006%200026%20114527%20RFP.pdf</t>
  </si>
  <si>
    <t>TNPA/2026/06/0012/114513/RFP</t>
  </si>
  <si>
    <t>REQUEST FOR PROPOSAL TO LEASE LAND IN EXTENT OF 1,300m2 AT SCEPTRE CRESCENT IN THE PORT OF CAPE TOWN FOR A PERIOD OF UP TO TEN (10) YEARS.</t>
  </si>
  <si>
    <t>https://www.etenders.gov.za/home/Download/?blobName=4527621c-4a88-47c0-90bb-9e5484a06a6e.pdf&amp;downloadedFileName=TNPA%202026%2006%200012%20114513%20RFP.pdf</t>
  </si>
  <si>
    <t>TNPA/2026/06/0027/114528/RFP</t>
  </si>
  <si>
    <t>REQUEST FOR PROPOSAL TO LEASE PREMISES IN EXTENT OF 1335m2 AT LINK ROAD IN THE PORT OF CAPE TOWN FOR A PERIOD OF UP TO TEN (10) YEARS</t>
  </si>
  <si>
    <t>https://www.etenders.gov.za/home/Download/?blobName=2aab30e3-500e-44f1-a272-caed059b06ab.pdf&amp;downloadedFileName=TNPA%202026%2006%200027%20114528%20RFP.pdf</t>
  </si>
  <si>
    <t>TNPA/2026/06/0013/114514/RFP</t>
  </si>
  <si>
    <t>REQUEST FOR PROPOSAL TO LEASE LAND IN EXTENT OF 32,5m2 AT ELLIOT BASIN IN THE PORT OF CAPE TOWN FOR A PERIOD OF UP TO TEN (10) YEARS.</t>
  </si>
  <si>
    <t>https://www.etenders.gov.za/home/Download/?blobName=d08e93b5-cba9-47b6-b3a9-08325b7fe5fe.pdf&amp;downloadedFileName=TNPA%202026%2006%200013%20114514%20RFP.pdf</t>
  </si>
  <si>
    <t>TNPA/2026/06/0028/114529/RFP</t>
  </si>
  <si>
    <t>REQUEST FOR PROPOSAL TO LEASE PREMISES IN EXTENT OF 204m2 AT BERIO ROAD IN THE PORT OF CAPE TOWN FOR A PERIOD OF UP TO TEN (10) YEARS</t>
  </si>
  <si>
    <t>https://www.etenders.gov.za/home/Download/?blobName=47397677-65d0-4203-b152-6334e33eaaf2.pdf&amp;downloadedFileName=TNPA%202026%2006%200028%20114529%20RFP.pdf</t>
  </si>
  <si>
    <t>TNPA/2026/06/0029/114530/RFP</t>
  </si>
  <si>
    <t>REQUEST FOR PROPOSAL TO LEASE PREMISES IN EXTENT OF 440m2 AT OCEAN ROAD IN THE PORT OF CAPE TOWN FOR A PERIOD OF UP TO TEN (10) YEARS</t>
  </si>
  <si>
    <t>https://www.etenders.gov.za/home/Download/?blobName=15782178-70e0-4cf0-b2ae-4ab4bc468e1c.pdf&amp;downloadedFileName=TNPA%202026%2006%200029%20114530%20RFP.pdf</t>
  </si>
  <si>
    <t>TNPA/2026/06/0014/114515/RFP</t>
  </si>
  <si>
    <t>https://www.etenders.gov.za/home/Download/?blobName=9f30c5b7-5052-4ef3-a38c-2f0997570e75.pdf&amp;downloadedFileName=TNPA%202026%2006%200014%20114515%20RFP.pdf</t>
  </si>
  <si>
    <t>TNPA/2026/06/0030/114531/RFP</t>
  </si>
  <si>
    <t>REQUEST FOR PROPOSAL TO LEASE PREMISES IN EXTENT OF 105m2 AT M BERTH IN THE PORT OF CAPE TOWN FOR A PERIOD OF UP TO TEN (10) YEARS</t>
  </si>
  <si>
    <t>https://www.etenders.gov.za/home/Download/?blobName=27cd6ff2-0a83-4353-a520-e571f759f722.pdf&amp;downloadedFileName=TNPA%202026%2006%200030%20114531%20RFP.pdf</t>
  </si>
  <si>
    <t>TNPA/2026/06/0015/114516/RFP</t>
  </si>
  <si>
    <t>https://www.etenders.gov.za/home/Download/?blobName=ae137245-50c4-4e37-a2da-8efd57451a9f.pdf&amp;downloadedFileName=TNPA%202026%2006%200015%20114516%20RFP.pdf</t>
  </si>
  <si>
    <t>TNPA/2026/06/0006/114507/RFP</t>
  </si>
  <si>
    <t>REQUEST FOR PROPOSAL TO LEASE LAND IN EXTENT OF 2444,6m2 AT EASTERN MOLE – TANKER BASIN IN THE PORT OF CAPE TOWN FOR A PERIOD OF UP TO TEN (10) YEARS.</t>
  </si>
  <si>
    <t>https://www.etenders.gov.za/home/Download/?blobName=463d671c-91f7-4cf7-b46e-f2d3a33f0f72.pdf&amp;downloadedFileName=TNPA%202026%2006%200006%20114507%20RFP.pdf</t>
  </si>
  <si>
    <t>TNPA/2026/06/0021/114522/RFP</t>
  </si>
  <si>
    <t>REQUEST FOR PROPOSAL TO LEASE LAND IN EXTENT OF 4452m2 AT SEAFARER CIRCLE IN THE PORT OF CAPE TOWN FOR A PERIOD OF UP TO TEN (10) YEARS</t>
  </si>
  <si>
    <t>https://www.etenders.gov.za/home/Download/?blobName=2a373576-f2ec-495c-9c9a-1be810a93a18.pdf&amp;downloadedFileName=TNPA%202026%2006%200021%20114522%20RFP.pdf</t>
  </si>
  <si>
    <t>TNPA/2026/06/0007/114508/RFP</t>
  </si>
  <si>
    <t>REQUEST FOR PROPOSAL TO LEASE LAND IN EXTENT OF 2268,5m2 AT EASTERN MOLETANKER BASIN IN THE PORT OF CAPE TOWN FOR A PERIOD OF UP TO TEN (10) YEARS.</t>
  </si>
  <si>
    <t>https://www.etenders.gov.za/home/Download/?blobName=761d6681-21d9-4fbc-b881-24e61492c110.pdf&amp;downloadedFileName=TNPA%202026%2006%200007%20114508%20RFP.pdf</t>
  </si>
  <si>
    <t>TNPA/2026/06/0022/114523/RFP</t>
  </si>
  <si>
    <t>REQUEST FOR PROPOSAL TO LEASE PREMISES IN EXTENT OF 812,6m2 AT SEAFARER IN THE PORT OF CAPE TOWN FOR A PERIOD OF UP TO TEN (10) YEARS</t>
  </si>
  <si>
    <t>https://www.etenders.gov.za/home/Download/?blobName=6ca363c3-34f1-46ae-9501-18dd1daefd32.pdf&amp;downloadedFileName=TNPA%202026%2006%200022%20114523%20RFP.pdf</t>
  </si>
  <si>
    <t>TNPA/2026/06/0008/114509/RFP</t>
  </si>
  <si>
    <t>REQUEST FOR PROPOSAL TO LEASE PREMISES IN EXTENT OF 3021,7m2 AT EASTERN MOLETANKER BASIN IN THE PORT OF CAPE TOWN FOR A PERIOD OF UP TO TEN (10) YEARS.</t>
  </si>
  <si>
    <t>https://www.etenders.gov.za/home/Download/?blobName=1c4756b4-3baf-4f2b-8dbe-091b2776385b.pdf&amp;downloadedFileName=TNPA%202026%2006%200008%20114509%20RFP.pdf</t>
  </si>
  <si>
    <t>TNPA/2026/06/0023/114524/RFP</t>
  </si>
  <si>
    <t>REQUEST FOR PROPOSAL TO LEASE PREMISES IN EXTENT OF 240.7m2 AT DUNCAN ROAD IN THE PORT OF CAPE TOWN FOR A PERIOD OF UP TO TEN (10) YEARS</t>
  </si>
  <si>
    <t>https://www.etenders.gov.za/home/Download/?blobName=9824e581-e255-4273-b494-570491accb04.pdf&amp;downloadedFileName=TNPA%202026%2006%200023%20114524%20RFP.pdf</t>
  </si>
  <si>
    <t>TNPA/2026/06/0024/114525/RFP</t>
  </si>
  <si>
    <t>REQUEST FOR PROPOSAL TO LEASE LAND IN EXTENT OF 2499.9m2 AT MARINE DRIVE IN THE PORT OF CAPE TOWN FOR A PERIOD OF UP TO TEN (10) YEARS</t>
  </si>
  <si>
    <t>https://www.etenders.gov.za/home/Download/?blobName=c85aa95e-e6fd-489c-8aea-c5185c1316ce.pdf&amp;downloadedFileName=TNPA%202026%2006%200024%20114525%20RFP.pdf</t>
  </si>
  <si>
    <t>TNPA/2026/06/0009/114510/RFP</t>
  </si>
  <si>
    <t>REQUEST FOR PROPOSAL TO LEASE LAND IN EXTENT OF 191m2 AT ALKMAAR ROAD N THE PORT OF CAPE TOWN FOR A PERIOD OF UP TO TEN (10) YEARS.</t>
  </si>
  <si>
    <t>https://www.etenders.gov.za/home/Download/?blobName=b9531e7a-9057-4d86-af2b-b25dda3ba8b1.pdf&amp;downloadedFileName=TNPA%202026%2006%200009%20114510%20RFP.pdf</t>
  </si>
  <si>
    <t>TNPA/2026/06/0025/114526/RFP</t>
  </si>
  <si>
    <t>REQUEST FOR PROPOSAL TO LEASE LAND IN EXTENT OF 192m2 AT ALKMAAR ROAD N THE PORT OF CAPE TOWN FOR A PERIOD OF UP TO TEN (10) YEARS</t>
  </si>
  <si>
    <t>https://www.etenders.gov.za/home/Download/?blobName=d60cd926-c56f-4392-b879-d10b7290de63.pdf&amp;downloadedFileName=TNPA%202026%2006%200024%20114525%20RFP.pdf</t>
  </si>
  <si>
    <t>TNPA/2026/06/0010/114511/RFP</t>
  </si>
  <si>
    <t>REQUEST FOR PROPOSAL TO LEASE PREMISES IN EXTENT OF 780m2 AT ALKMAAR ROAD IN THE PORT OF CAPE TOWN FOR A PERIOD OF UP TO TEN (10) YEARS.</t>
  </si>
  <si>
    <t>https://www.etenders.gov.za/home/Download/?blobName=1a4b8d61-031a-4adb-ae3a-9c0ee745f288.pdf&amp;downloadedFileName=TNPA%202026%2006%200010%20114511%20RFP.pdf</t>
  </si>
  <si>
    <t>TNPA/2026/06/0002/114503/RFP</t>
  </si>
  <si>
    <t>REQUEST FOR PROPOSAL TO LEASE PREMISES IN EXTENT OF 1502,4m2 AT OCEAN ROAD IN THE PORT OF CAPE TOWN FOR A PERIOD OF UP TO TEN (10) YEARS</t>
  </si>
  <si>
    <t>https://www.etenders.gov.za/home/Download/?blobName=f7b5d4bc-368e-4612-8823-4e28210b50ec.pdf&amp;downloadedFileName=TNPA%202026%2006%200002%20114503%20RFP.pdf</t>
  </si>
  <si>
    <t>TNPA/2026/06/0003/114504/RFP</t>
  </si>
  <si>
    <t>REQUEST FOR PROPOSAL TO LEASE PREMISES IN EXTENT OF 1192.03m2 AT COODE CRESCENT IN THE PORT OF CAPE TOWN FOR A PERIOD OF UP TO TEN (10) YEARS.</t>
  </si>
  <si>
    <t>https://www.etenders.gov.za/home/Download/?blobName=a1018d44-6ec2-4416-9561-be2f6337ea5e.pdf&amp;downloadedFileName=TNPA%202026%2006%200003%20114504%20RFP.pdf</t>
  </si>
  <si>
    <t>TNPA/2026/06/0004/114505/RFP</t>
  </si>
  <si>
    <t>REQUEST FOR PROPOSAL TO LEASE LAND IN EXTENT OF 135.3m2 AT COODE CRESCENT IN THE PORT OF CAPE TOWN FOR A PERIOD OF UP TO TEN (10) YEARS.</t>
  </si>
  <si>
    <t>https://www.etenders.gov.za/home/Download/?blobName=cff6f7e5-4255-4344-8aa9-ecdc5ad0fdbc.pdf&amp;downloadedFileName=TNPA%202026%2006%200004%20114505%20RFP.pdf</t>
  </si>
  <si>
    <t>TNPA/2026/06/0017/114518/RFP</t>
  </si>
  <si>
    <t>REQUEST FOR PROPOSAL TO LEASE PREMISES IN EXTENT OF 607.5m2 AT ALKMAAR ROAD IN THE PORT OF CAPE TOWN FOR A PERIOD OF UP TO TEN (10) YEARS</t>
  </si>
  <si>
    <t>https://www.etenders.gov.za/home/Download/?blobName=c7d8e374-d8c3-49d8-9cd6-e87000b4051d.pdf&amp;downloadedFileName=TNPA%202026%2006%200017%20114518%20RFP.pdf</t>
  </si>
  <si>
    <t>TNPA/2026/06/0005/114506/RFP</t>
  </si>
  <si>
    <t>REQUEST FOR PROPOSAL TO LEASE LAND IN EXTENT OF 190m2 AT ALKMAAR ROAD N THE PORT OF CAPE TOWN FOR A PERIOD OF UP TO TEN (10) YEARS.</t>
  </si>
  <si>
    <t>https://www.etenders.gov.za/home/Download/?blobName=eff89df7-eee8-47c4-a3e9-8a42ac04e889.pdf&amp;downloadedFileName=TNPA%202026%2006%200005%20114506%20RFP.pdf</t>
  </si>
  <si>
    <t>TNPA/2026/06/0018/114519/RFP</t>
  </si>
  <si>
    <t>REQUEST FOR PROPOSAL TO LEASE PREMISES IN EXTENT OF 199.7m2 AT HERIBI HOUSE IN THE PORT OF CAPE TOWN FOR A PERIOD OF UP TO TEN (10) YEARS</t>
  </si>
  <si>
    <t>https://www.etenders.gov.za/home/Download/?blobName=86dd6558-b5b5-4c75-a749-b85f9778651d.pdf&amp;downloadedFileName=TNPA%202026%2006%200018%20114519%20RFP.pdf</t>
  </si>
  <si>
    <t>TNPA/2026/06/0019/114520/RFP</t>
  </si>
  <si>
    <t>REQUEST FOR PROPOSAL TO LEASE LAND IN EXTENT OF 153.4m2 AT ALKMAAR ROAD IN THE PORT OF CAPE TOWN FOR A PERIOD OF UP TO FIVE (5) YEARS</t>
  </si>
  <si>
    <t>https://www.etenders.gov.za/home/Download/?blobName=7a789757-f900-4f8c-9c01-90112b47d22a.pdf&amp;downloadedFileName=TNPA%202026%2006%200019%20114520%20RFP.pdf</t>
  </si>
  <si>
    <t>DOH(FS)05/2026/2027</t>
  </si>
  <si>
    <t>SERVICE, MAINTENANCE AND REPAIR OF DIAGNOSTIC IMAGING EQUIPMENT FOR VARIOUS HEALTHCARE FACILITIES IN THE FREE STATE</t>
  </si>
  <si>
    <t>Free State - Health</t>
  </si>
  <si>
    <t>Auditorium, First Floor, Bophelo House, Cnr of Charlotte Maxeke Street &amp; Harvey Road Bloemfontein</t>
  </si>
  <si>
    <t>https://www.etenders.gov.za/home/Download/?blobName=c0882541-9ce9-45e5-9b84-b71650f27ecd.pdf&amp;downloadedFileName=Bid%20Document%20-%20DOH(FS)05-2026-2027.pdf</t>
  </si>
  <si>
    <t>MT01/2026</t>
  </si>
  <si>
    <t>GOVERNMENT MOTOR TRANSPORT (GMT):PROVISION OF AMAZON WEB SERVICES (AWS) CLOUD HOSTING AND RELATED SERVICES FOR GMT SYSTEMS,FOR A PERIOD OF 3 YEARS.</t>
  </si>
  <si>
    <t>Western Cape - Department of Mobility</t>
  </si>
  <si>
    <t>https://www.etenders.gov.za/home/Download/?blobName=3a5d4ec6-96c1-45ab-b074-065adc763899.pdf&amp;downloadedFileName=Bid%20Document%20MT01-2026%20AWS%20Hosting%20Term%20Contract.pdf</t>
  </si>
  <si>
    <t>WCGHSC0395/1/2026</t>
  </si>
  <si>
    <t>PROVISION OF LAUNDRY BAGS TO ALL HOSPITALS AND INSTITUTIONS UNDER THE CONTROL OF THE WESTERN CAPE DEPARTMENT OF HEALTH AND WELLNESS FOR A FIVE (5) YEAR PERIOD</t>
  </si>
  <si>
    <t>Western Cape - Health</t>
  </si>
  <si>
    <t>https://www.etenders.gov.za/home/Download/?blobName=1c8b7061-fc75-4f63-9844-2733fb47fb66.pdf&amp;downloadedFileName=Bid%20document%20-%20WCGHSC0395.1.2026%20-%20close%2017%20July%202026.pdf</t>
  </si>
  <si>
    <t>RFP/06/01/26</t>
  </si>
  <si>
    <t>THE PROVISION OF PROFESSIONAL SERVICE PROVIDERS TO ASSIST IN CAPITAL RAISING AND PROVIDE POST FUNDING SUPPORT SERVICES FOR A PERIOD OF 36 MONTHS</t>
  </si>
  <si>
    <t>Gauteng Partnership Fund</t>
  </si>
  <si>
    <t>Microsoft Teams: https://teams.microsoft.com/meet/366569762850783?p=CpcP0aqUvs5ip2d4Ei</t>
  </si>
  <si>
    <t>https://www.etenders.gov.za/home/Download/?blobName=82aa5bd9-4fe4-48ff-ab52-6afc72be18e9.pdf&amp;downloadedFileName=RFP060126%20-%20Tender%20Document.pdf</t>
  </si>
  <si>
    <t>E3081GXMPKOM</t>
  </si>
  <si>
    <t>Request for Information - Upgrading of Komati Area Radio System</t>
  </si>
  <si>
    <t>https://www.etenders.gov.za/home/Download/?blobName=f5405e68-3880-413b-8125-00dff0a644f6.pdf&amp;downloadedFileName=Area%20Radio%20System%20Upgrade%20RFI.pdf</t>
  </si>
  <si>
    <t>E3/2026/2027</t>
  </si>
  <si>
    <t>Request for Supply and Delivery of PAT Materials to appropriate workshop clothing to Technical, Comprehensive and Agricultural Schools: Lot1 - Supply, delivery and installation of Equipment and Tools for Civil, Electrical, Mechanical Technology Specialisations and Engineering Graphics and Design (EGD): Lot2 - Supply and Delivery of Practical Assessment Task (PAT) Materials to Technical, Comprehensive and Agricultural Schools: Lot3 - Supply and Delivery of Personal Protective Clothing for Teachers to Technical and Comprehensive Schools in the Free State for the period of Three Financial Years from the date of approval</t>
  </si>
  <si>
    <t>Free State - Education</t>
  </si>
  <si>
    <t>https://www.etenders.gov.za/home/Download/?blobName=346d3297-cac1-4656-8af2-46cb51c0989b.pdf&amp;downloadedFileName=E3-2026-2027%20PART%201%20OF%20BID%20DOCUMENT%2019June2026.pdf</t>
  </si>
  <si>
    <t>TNPA/2026/06/0020/114521/RFP</t>
  </si>
  <si>
    <t>REQUEST FOR PROPOSAL TO LEASE PREMISES IN EXTENT OF 156m2 AT BON 1 WITH PARKING IN THE PORT OF CAPE TOWN FOR A PERIOD OF UP TO TEN (10) YEARS</t>
  </si>
  <si>
    <t>https://www.etenders.gov.za/home/Download/?blobName=42a99c7a-a1eb-4a64-ba73-1e86ae918216.pdf&amp;downloadedFileName=TNPA%202026%2006%200020%20114521%20RFP.pdf</t>
  </si>
  <si>
    <t>RFT110/06/2025/26</t>
  </si>
  <si>
    <t>APPOINTMENT OF A SERVICE PROVIDER FOR PRINTING,SMS AND MAILING OF CONSUMER STATEMENTS FOR MADIBENG LOCAL MUNICIPALITY FOR A PERIOD OF THREE YEARS(36 MONTHS).</t>
  </si>
  <si>
    <t>Madibeng Local Municipality</t>
  </si>
  <si>
    <t>https://www.etenders.gov.za/home/Download/?blobName=0714e589-74e5-4556-8f57-c311befd7b42.pdf&amp;downloadedFileName=SIGNED%20INVITATION%20TO%20TENDER%20AS%20AT%2010%20JUNE%202026.pdf</t>
  </si>
  <si>
    <t>RFT89/11/2025/26 (RE-ADVERT)</t>
  </si>
  <si>
    <t>APPOINTMENT OF PANEL OF SIX(6) SERVICE PROVIDERS FOR NETWORK INFRASTRUCTURE MAINTENANCE &amp;REPAIRS IN MADIBENG LOCAL MUNICIPALITY FOR A PERIOD OF 36 MONTHS.</t>
  </si>
  <si>
    <t>https://www.etenders.gov.za/home/Download/?blobName=ed507b41-40af-4dc0-9442-4e2da337501e.pdf&amp;downloadedFileName=SIGNED%20INVITATION%20TO%20TENDER%20AS%20AT%2010%20JUNE%202026.pdf</t>
  </si>
  <si>
    <t>RFT90/11/2025/26 (RE-ADVERT)</t>
  </si>
  <si>
    <t>APPOINTMENT OF PANEL OF SIX (6)SERVICE PROVIDERS FOR SUBSTATION PLANT MAINTENANCE &amp; REAPIRS IN MADIBENG LOCAL MUNICIPALITY FOR A PERIOD OF 36 MONTHS</t>
  </si>
  <si>
    <t>https://www.etenders.gov.za/home/Download/?blobName=f78d22af-255d-40c5-ab56-7bd6aa3d286f.pdf&amp;downloadedFileName=SIGNED%20INVITATION%20TO%20TENDER%20AS%20AT%2010%20JUNE%202026.pdf</t>
  </si>
  <si>
    <t>DHA07-2026</t>
  </si>
  <si>
    <t>APPOINTMENT OF A PANEL OF COMMUNICATION AGENCIES TO PROVIDE COMPREHENSIVE COMMUNICATION SERVICES TO THE DEPARTMENT OF HOME AFFAIRS (DHA) ON AN AS-AND-WHEN-REQUIRED BASIS FOR A PERIOD OF THREE (3) YEARS, WITH A POSSIBLE EXTENSION OF A FURTHER TWO (2) YEARS.</t>
  </si>
  <si>
    <t>Home Affairs</t>
  </si>
  <si>
    <t>https://teams.microsoft.com/meet/354279777630782?p=fvRxYWrtKD1xk8OAOY</t>
  </si>
  <si>
    <t>https://www.etenders.gov.za/home/Download/?blobName=7c9d4d7a-c40c-49e2-bf35-b299ddb33279.pdf&amp;downloadedFileName=General_Conditions_of_Contract-_July_2011.pdf</t>
  </si>
  <si>
    <t>E0726TSSERIRL</t>
  </si>
  <si>
    <t>Regret Letter-The Supply and delivery of Transformer Filters</t>
  </si>
  <si>
    <t>https://www.etenders.gov.za/home/Download/?blobName=cbc775a6-74a0-40d3-ae55-7cb8ff24da88.pdf&amp;downloadedFileName=Regret%20Letter%20Template%20for%20Unsuccessful%20Suppliers%20-Transformer%20%20Filters.pdf</t>
  </si>
  <si>
    <t>WCGHCC0057/2026</t>
  </si>
  <si>
    <t>WCGHCC0057/2026: SUPPLY, DELIVERY, INSTALLATION, DEMONSTRATION AND COMISSIONING OF A MAMMOGRAPHY UNIT AT GEORGE HOSPITAL.</t>
  </si>
  <si>
    <t>https://www.etenders.gov.za/home/Download/?blobName=cdf0baee-bf4f-4f8e-b8b2-f02099d9cc13.pdf&amp;downloadedFileName=WCGHCC0057-2026%20Bid%20Document%20as%20at%2019.06.2026.pdf</t>
  </si>
  <si>
    <t>KZN ULM 41/25/26</t>
  </si>
  <si>
    <t>THREE YEAR CONTRACT - APPOINTMENT OF A PANEL FOR DISCONNECTION OF ILLEGAL ELECTRICAL CONNECTIONS AND METER BYPASS.</t>
  </si>
  <si>
    <t>uMlalazi Municipality</t>
  </si>
  <si>
    <t>11 KV CHALLENOR STREEET ESHOWE 3815</t>
  </si>
  <si>
    <t>https://www.etenders.gov.za/home/Download/?blobName=647c0f9a-9e11-46ab-973c-b6e5d337b4eb.pdf&amp;downloadedFileName=APPOINTING%20OF%20PANEL%20%20DISCONNECTION%20OF%20ELECTRICAL%20ILLEGAL%20CONNECTIONS%20FOR%20THE%20PERIOD%20OF%2036%20MONTHS%2018%20JUNE%202026%20(15).pdf</t>
  </si>
  <si>
    <t>SPU/B/DBSS/005/26</t>
  </si>
  <si>
    <t>SPU/B/DBSS/005/26: SERVICE OF AVIATION FUEL TANKS. DOD PROC PLAN: 26-27SAAF/738</t>
  </si>
  <si>
    <t>https://www.etenders.gov.za/home/Download/?blobName=849949a7-05b5-477c-aa3f-e9d870e5a551.pdf&amp;downloadedFileName=FUEL%20TANKS.pdf</t>
  </si>
  <si>
    <t>MRTT26-06/03</t>
  </si>
  <si>
    <t>Supply and Delivery of Dry Goods and Beverages to MRTT ( HTA ) for a period of 36 months</t>
  </si>
  <si>
    <t>Mpumalanga - Mpumalanga Regional Training Trust (MRTT)</t>
  </si>
  <si>
    <t>https://www.etenders.gov.za/home/Download/?blobName=d02586e4-35bb-41f5-a00b-52347925b406.pdf&amp;downloadedFileName=Advertisement%20of%20Bid%202026%20Final.pdf</t>
  </si>
  <si>
    <t>FOSPHB-RFP-11-26/27</t>
  </si>
  <si>
    <t>FOSPHB-RFP-11-26/27 REQUEST FOR PROPOSAL[RFP] HEARING CONSERVATION PROGRAMME – IMPLEMENTATION CONSULTANCY SERVICES – CUSTOM MADE HEARING PROTECTION FOR A PERIOD OF THREE (3) YEARS</t>
  </si>
  <si>
    <t>Industrial Development Corporation of South Africa Limited</t>
  </si>
  <si>
    <t>https://www.etenders.gov.za/home/Download/?blobName=44747c0d-a49f-40e8-ba10-865e3720d75f.zip&amp;downloadedFileName=FOSPHB_RFP_11_2627.zip</t>
  </si>
  <si>
    <t>FOSPHB-RFP-12-26/27</t>
  </si>
  <si>
    <t>FOSPHB-RFP-12-26/27 REQUEST FOR PROPOSAL [RFP] SUPPLY, INSTALLATION AND MAINTENANCE OF THERMAIL, NOISE AND PNOC-R STRESS REAL TIME MONITORS FOR A PERIOD OF THREE (3) YEARS</t>
  </si>
  <si>
    <t>https://www.etenders.gov.za/home/Download/?blobName=f5f5f9ee-6e9f-4c6c-8b2b-cacd27471648.zip&amp;downloadedFileName=FOSPHB_RFP_12_2627.zip</t>
  </si>
  <si>
    <t>SASSA:04-26-FAC-NW</t>
  </si>
  <si>
    <t>LEASING OF OFFICE ACCOMODATION FOR SASSA NORTHWEST REGION FOR A PERIOD OF FIVE (05) YEARS IN KGETLENG(KOSTER)CBD</t>
  </si>
  <si>
    <t>VIRTUAL(MICROSOFT TEAMS)</t>
  </si>
  <si>
    <t>https://www.etenders.gov.za/home/Download/?blobName=53ff6862-f3a0-412c-8e7f-a52d2a3a465c.pdf&amp;downloadedFileName=SASSA%2004-26-FAC-NW%20Leasing%20of%20office%20accomodation%20for%20SASSA%20North%20West%20Region%20for%20a%20%20period%20of%20five(5)%20yearas%20in%20Kgetleng(Koster)%20CBD.pdf</t>
  </si>
  <si>
    <t>RFB004/2026</t>
  </si>
  <si>
    <t>APPOINTMENT OF A SERVICE PROVIDER FOR THE PANEL OF ROUNDLOG TRANSPORT SERVICE FOR A PERIOD OF THREE (03) YEARS.</t>
  </si>
  <si>
    <t>Transportation and storage</t>
  </si>
  <si>
    <t>https://teams.microsoft.com/meet/320398502201521?p=8gjh5tjPRbL6pnnvgV</t>
  </si>
  <si>
    <t>https://www.etenders.gov.za/home/Download/?blobName=944e4c88-e025-4bfc-bbe0-4caebf9484d8.pdf&amp;downloadedFileName=RFB004.2026%20-%20ROUND%20LOG%20TRANSPORT%20BID%20DOCUMENT.pdf</t>
  </si>
  <si>
    <t>RFB006/2026</t>
  </si>
  <si>
    <t>APPOINTMENT OF SERVICE PROVIDER (S) FOR THE PROVISION OF SILVICULTURE SERVICES FOR A PERIOD OF THREE (3) YEARS.</t>
  </si>
  <si>
    <t>Agricultural Products and Services</t>
  </si>
  <si>
    <t>https://teams.microsoft.com/meet/369981994681163?p=O0XQrxVuNfbEs6gglF</t>
  </si>
  <si>
    <t>https://www.etenders.gov.za/home/Download/?blobName=50733591-7ebc-414f-8163-43cb07aea2c5.xlsx&amp;downloadedFileName=Annexure-A1-%20Pricing%20and%20Rates_v1.xlsx</t>
  </si>
  <si>
    <t>NERSA/2627/ICT/MSH/BID009</t>
  </si>
  <si>
    <t>THE APPOINTMENT OF A SERVICE PROVIDER TO MAINTAIN, SUPPORT, HOST, AND ENHANCE THE NERSA’s WEBSITE AS AND WHEN REQUIRED FOR A PERIOD OF THREE (3) YEARS.</t>
  </si>
  <si>
    <t>National Energy Regulator of South Africa</t>
  </si>
  <si>
    <t>link</t>
  </si>
  <si>
    <t>https://www.etenders.gov.za/home/Download/?blobName=414efeea-4d6d-4cab-8511-3c5107443391.pdf&amp;downloadedFileName=BID%20DOCUMENT_%20NERSA-2627-ICT-MSH-BID009.pdf</t>
  </si>
  <si>
    <t>NDOH 11-2026/2027</t>
  </si>
  <si>
    <t>APPOINTMENT OF SERVICE PROVIDERS TO SUPPORT THE NATIONAL DEPARTMENT OF HEALTH WITH THE ROLLOUT OF THE ELECTRONIC MEDICAL RECORD (EMR) DIGITAL SOLUTION IN EIGHT (8) PROVINCES OVER A PERIOD OF 18 MONTHS.</t>
  </si>
  <si>
    <t>Health</t>
  </si>
  <si>
    <t>https://teams.microsoft.com/meet/342090335018774?p=XdrmO4R4Zur 96pxkkC</t>
  </si>
  <si>
    <t>https://www.etenders.gov.za/home/Download/?blobName=3d24287f-a769-4679-a9e5-469c0471a080.pdf&amp;downloadedFileName=NDoH%2011%202026-2027.pdf</t>
  </si>
  <si>
    <t>RSR/RFP/FFSM/OAER/26/06/01</t>
  </si>
  <si>
    <t>Appointment of a service provider to provide office accommodation for the Railway Safety regulator for the Eastern Region, KwaZulu-Natal</t>
  </si>
  <si>
    <t>Railway Safety Regulator</t>
  </si>
  <si>
    <t>Online Session</t>
  </si>
  <si>
    <t>https://www.etenders.gov.za/home/Download/?blobName=e9319805-6dd3-4127-8c77-fcb61ca1ea20.pdf&amp;downloadedFileName=Office%20Accommodation-%20Eastern%20Region%20Tender%20Document.pdf</t>
  </si>
  <si>
    <t>E1872NTCSAMWPR1</t>
  </si>
  <si>
    <t>Repair and calibration of various machine for Lines and Servitude for 24 months</t>
  </si>
  <si>
    <t>Repair and installation of machinery and equipment</t>
  </si>
  <si>
    <t>MS Teams https://teams.microsoft.com/meet/357809188809075?p=qGBOc5nPE6zHF8XO7A Meeting ID: 357 809 1</t>
  </si>
  <si>
    <t>https://www.etenders.gov.za/home/Download/?blobName=04b5af79-3902-4a6b-8144-06a23cf42206.docx&amp;downloadedFileName=240-109253302%20_%20Quality%20Control%20Plan%20or%20Inspection%20Test%20Plan%20(QCP%20or%20ITP)%20rev%202.docx</t>
  </si>
  <si>
    <t>FORMAL TENDER: TD 03/06/2026</t>
  </si>
  <si>
    <t>FORMAL TENDER: TD 03/06/2026: SUPPLY AND DELIVERY OF SPECIALIZED PPE FOR A PERIOD ENDING 30 JUNE 2028</t>
  </si>
  <si>
    <t>Oudtshoorn Municipality</t>
  </si>
  <si>
    <t>https://www.etenders.gov.za/home/Download/?blobName=57229a28-58ea-46dd-8491-540006168651.pdf&amp;downloadedFileName=ADVERT-TD-03-06-2026.pdf</t>
  </si>
  <si>
    <t>Q4/2026/27</t>
  </si>
  <si>
    <t>REPAIR AND MAINTENANCE OF THE STRUISBAAI MUNICIPAL STORE</t>
  </si>
  <si>
    <t>https://www.etenders.gov.za/home/Download/?blobName=ac1571a3-050a-43f8-8d33-4567b27a8f42.pdf&amp;downloadedFileName=Q4-2026-27%20REPAIR%20AND%20MAINTENANCE%20OF%20THE%20STRUISBAAU%20MUNICIPAL%20STORE%20-%20TENDER%20DOCUMENT.pdf</t>
  </si>
  <si>
    <t>SC2663/2026</t>
  </si>
  <si>
    <t>Supply and Delivery of Bitumen Products to Overstrand Municipality for a Contract Period of 12 Months</t>
  </si>
  <si>
    <t>Overstrand Municipality</t>
  </si>
  <si>
    <t>https://www.etenders.gov.za/home/Download/?blobName=25354915-9a43-4034-a5db-68907253ff62.pdf&amp;downloadedFileName=SC2663.2026%20Advert.pdf</t>
  </si>
  <si>
    <t>SC2662/2026</t>
  </si>
  <si>
    <t>Supply and Delivery of Construction Materials to Overstrand Municipality for a Contract Period of 12 Months</t>
  </si>
  <si>
    <t>https://www.etenders.gov.za/home/Download/?blobName=bd6c1a10-b489-4dca-b2c4-2953184ce6bb.pdf&amp;downloadedFileName=SC2662.2026%20Advert.pdf</t>
  </si>
  <si>
    <t>E0926TSSERIR</t>
  </si>
  <si>
    <t>DESIGN AND SUPPLY TRANSFORMER CORES AND SHUNTS FOR A PERIOD OF 5 YEARS</t>
  </si>
  <si>
    <t>//teams.microsoft.com/meet/390028983011725?p=nklT1iEhEHU61Oj0qJ</t>
  </si>
  <si>
    <t>https://www.etenders.gov.za/home/Download/?blobName=211427a2-e116-4639-9700-05e77d733532.pdf&amp;downloadedFileName=240-106084675%20Annexure%20C3%20OHS%20Tender%20Evaluation%20Low%20risk.pdf</t>
  </si>
  <si>
    <t>CPSC-B-069-2026</t>
  </si>
  <si>
    <t>CPSC/B/069/2026 OUTSOURCING A PROFESSIONAL SERVICE PROVIDER FOR DOLOMITESTABILITY INVESTIGATION AND RISK MANAGEMENT SERVICE AT DOD SAINT GEORGE HOTEL DOD PROC PLAN 26-27/LOG DIV/1772</t>
  </si>
  <si>
    <t>SAINT GEORGES HOTEL</t>
  </si>
  <si>
    <t>https://www.etenders.gov.za/home/Download/?blobName=86a9705a-fe5a-482e-8912-0a79f35ce603.pdf&amp;downloadedFileName=CPSC-B-069-2026_260617_130850.pdf</t>
  </si>
  <si>
    <t>DFFE-RFQ002(26/27)</t>
  </si>
  <si>
    <t>THE APPOINTMENT OF ONE SERVICE PROVIDER TO SUPPLY, INSTALL, CONFIGURE AND PROVIDE TECHNICAL TRAINING OF INFORMATION TECHNOLOGY (IT) SERVICE HELPDESK SYSTEM FOR THE DEPARTMENT OF FORESTRY, FISHERIES, AND THE ENVIRONMENT (DFFE) FOR A PERIOD OF TWO (2) YEARS.</t>
  </si>
  <si>
    <t>https://www.etenders.gov.za/home/Download/?blobName=c32069a3-75a1-46e7-ac02-ed77835d66d5.pdf&amp;downloadedFileName=DFFE-RFQ002(26-27)%20IT%20HELPDESK.pdf</t>
  </si>
  <si>
    <t>RW10410343/26</t>
  </si>
  <si>
    <t>SUPPLY AND DELIVERY OF SACRIFICIAL ANODE CATHODIC PROTECTION (SACP) SYSTEM CONSUMABLE MATERIALS AND MONITORING POINTS ALONG THE COMBINED SYSTEM OF RAND WATER PIPELINE NETWORK AND PLANT HIRE.</t>
  </si>
  <si>
    <t>Rand Water</t>
  </si>
  <si>
    <t>https://www.etenders.gov.za/home/Download/?blobName=4e499bd7-f211-4371-bacc-c71513ab4690.pdf&amp;downloadedFileName=RW10410343%20final%20document%20-%2019%20June%202026.pdf</t>
  </si>
  <si>
    <t>TMT-ECDOE-26/27-SAN60-CL49</t>
  </si>
  <si>
    <t>TENDER DOCUMENT FOR THE CONSTRUCTION OF SANITATION FACILITIES AT FAIRVIEW JUNIOR SECONDARY SCHOOL IN EASTERN CAPE PROVINCE UNDER THE SANITATION 60 PROGRAMME</t>
  </si>
  <si>
    <t>THE MVULA TRUST</t>
  </si>
  <si>
    <t>https://www.etenders.gov.za/home/Download/?blobName=bb5065f9-98c9-40e6-ae54-ac1eb0eb9cb8.pdf&amp;downloadedFileName=TMT-ECDoE-2627-SAN60-CL49%20FAIRVIEW%20JSS.pdf</t>
  </si>
  <si>
    <t>TMT-ECDOE-26/27-SAN60-CL51</t>
  </si>
  <si>
    <t>TENDER DOCUMENT FOR THE CONSTRUCTION OF SANITATION FACILITIES AT SANDI SENIOR SECONDARY SCHOOL IN EASTERN CAPE PROVINCE UNDER THE SANITATION 60 PROGRAMME</t>
  </si>
  <si>
    <t>https://www.etenders.gov.za/home/Download/?blobName=773c5147-240d-4266-a884-961079afd87b.pdf&amp;downloadedFileName=SANDI%20SSS%20UNPRICED%20BOQ.pdf</t>
  </si>
  <si>
    <t>TMT-ECDOE-26/27-SAN60-CL52</t>
  </si>
  <si>
    <t>TENDER DOCUMENT FOR THE CONSTRUCTION OF SANITATION FACILITIES AT BAMBILANGA SENIOR SECONDARY SCHOOL IN EASTERN CAPE PROVINCE UNDER THE SANITATION 60 PROGRAMME</t>
  </si>
  <si>
    <t>https://www.etenders.gov.za/home/Download/?blobName=34146a37-07f5-4fb7-bcc1-5a653ad56324.pdf&amp;downloadedFileName=TMT-ECDoE-2627-SAN60-CL52%20BAMBILANGA%20SSS.pdf</t>
  </si>
  <si>
    <t>TMT-ECDOE-26/27-SAN60-CL53</t>
  </si>
  <si>
    <t>TENDER DOCUMENT FOR THE CONSTRUCTION OF SANITATION FACILITIES AT NQWILISO SENIOR SECONDARY SCHOOL IN EASTERN CAPE PROVINCE UNDER THE SANITATION 60 PROGRAMME</t>
  </si>
  <si>
    <t>https://www.etenders.gov.za/home/Download/?blobName=a928ada4-e020-4ddd-9169-15062c94ad34.pdf&amp;downloadedFileName=NQWILISO%20SSS%20UNPRICED%20BOQ.pdf</t>
  </si>
  <si>
    <t>TMT-ECDOE-26/27-SAN60-CL54</t>
  </si>
  <si>
    <t>TENDER DOCUMENT FOR THE CONSTRUCTION OF SANITATION FACILITIES AT LUDEKE JUNIOR SECONDARY SCHOOL IN EASTERN CAPE PROVINCE UNDER THE SANITATION 60 PROGRAMME</t>
  </si>
  <si>
    <t>https://www.etenders.gov.za/home/Download/?blobName=0e0a4440-f5f7-4391-8058-447d7719607e.pdf&amp;downloadedFileName=LUDEKE%20JSS%20UNPRICED%20BOQ.pdf</t>
  </si>
  <si>
    <t>TMT-ECDOE-26/27-SAN60-CL55</t>
  </si>
  <si>
    <t>TENDER DOCUMENT FOR THE CONSTRUCTION OF SANITATION FACILITIES AT MNDELA JUNIOR SECONDARY SCHOOL IN EASTERN CAPE PROVINCE UNDER THE SANITATION 60 PROGRAMME</t>
  </si>
  <si>
    <t>https://www.etenders.gov.za/home/Download/?blobName=46aca8a2-b9b3-44c7-8376-0e4e1a1e4452.pdf&amp;downloadedFileName=MNDELA%20JSS%20UNPRICED%20BOQ.pdf</t>
  </si>
  <si>
    <t>TMT-ECDOE-26/27-SAN60-CL57</t>
  </si>
  <si>
    <t>TENDER DOCUMENT FOR THE CONSTRUCTION OF SANITATION FACILITIES AT NJONGOZABANTU SENIOR SECONDARY SCHOOL IN EASTERN CAPE PROVINCE UNDER THE SANITATION 60 PROGRAMME</t>
  </si>
  <si>
    <t>https://www.etenders.gov.za/home/Download/?blobName=dafa4c23-9b03-48f9-bc98-7f3a31cf47c2.pdf&amp;downloadedFileName=TMT-ECDoE-2627-SAN60-CL57%20NJONGOZABANTU%20SSS.pdf</t>
  </si>
  <si>
    <t>TMT-ECDOE-26/27-SAN60-CL58</t>
  </si>
  <si>
    <t>TENDER DOCUMENT FOR THE CONSTRUCTION OF SANITATION FACILITIES AT EMIZAMOYETHU SENIOR SECONDARY SCHOOL IN EASTERN CAPE PROVINCE UNDER THE SANITATION 60 PROGRAMME</t>
  </si>
  <si>
    <t>https://www.etenders.gov.za/home/Download/?blobName=263903ed-f2e3-48b5-958a-c812f205456d.pdf&amp;downloadedFileName=TMT-ECDoE-2627-SAN60-CL58%20EMIZAMOYETHU%20SSS.pdf</t>
  </si>
  <si>
    <t>TMT-ECDOE-26/27-SAN60-CL59</t>
  </si>
  <si>
    <t>TENDER DOCUMENT FOR THE CONSTRUCTION OF SANITATION FACILITIES AT NTABENKONYANA SENIOR SECONDARY SCHOOL IN EASTERN CAPE PROVINCE UNDER THE SANITATION 60 PROGRAMME</t>
  </si>
  <si>
    <t>https://www.etenders.gov.za/home/Download/?blobName=f631acae-2fc2-4c4e-bb77-2d4f3557dc98.pdf&amp;downloadedFileName=NTABENKONYANA%20SSS%20UNPRICED%20BOQ.pdf</t>
  </si>
  <si>
    <t>ECLB BID NO.006/2026/27</t>
  </si>
  <si>
    <t>PROVISION OF OFFICE ACCOMMODATION SPACE FOR EASTERN CAPE LIQUOR BOARD HEAD OFFICE IN KUGOMPO CITY.</t>
  </si>
  <si>
    <t>Eastern Cape Liquor Board</t>
  </si>
  <si>
    <t>https://www.etenders.gov.za/home/Download/?blobName=981149f9-2748-4823-82e7-dacb86affe05.pdf&amp;downloadedFileName=ECLB%20BID%20NO.%20006-206026-27%20-LEASE%20OF%20OFFICE%20ACCOMMODATION%20FOR%20THE%20HEAD%20OFFICE%20IN%20EAST%20LONDON%20-FINAL.pdf</t>
  </si>
  <si>
    <t>TMT-ECDOE-26/27-SAN60-CL37</t>
  </si>
  <si>
    <t>TENDER DOCUMENT FOR THE CONSTRUCTION OF SANITATION FACILITIES AT MBASA JUNIOR SECONDARY SCHOOL IN EASTERN CAPE PROVINCE UNDER THE SANITATION 60 PROGRAMME</t>
  </si>
  <si>
    <t>https://www.etenders.gov.za/home/Download/?blobName=6d74152e-ef76-4744-81e5-09400c62073f.pdf&amp;downloadedFileName=TMT-ECDoE-2627-SAN60-CL37%20MBASA%20JSS.pdf</t>
  </si>
  <si>
    <t>TMT-ECDOE-26/27-SAN60-CL38</t>
  </si>
  <si>
    <t>TENDER DOCUMENT FOR THE CONSTRUCTION OF SANITATION FACILITIES AT DAZA JUNIOR SECONDARY SCHOOL IN EASTERN CAPE PROVINCE UNDER THE SANITATION 60 PROGRAMME</t>
  </si>
  <si>
    <t>https://www.etenders.gov.za/home/Download/?blobName=f12e9d9b-ad3e-4498-a70f-433e76a59d72.pdf&amp;downloadedFileName=TMT-ECDoE-2627-SAN60-CL38%20DAZA%20JSS.pdf</t>
  </si>
  <si>
    <t>TMT-ECDOE-26/27-SAN60-CL39</t>
  </si>
  <si>
    <t>TENDER DOCUMENT FOR THE CONSTRUCTION OF SANITATION FACILITIES AT KANYISA PRIMARY SCHOOL IN EASTERN CAPE PROVINCE UNDER THE SANITATION 60 PROGRAMME</t>
  </si>
  <si>
    <t>https://www.etenders.gov.za/home/Download/?blobName=042f0da0-36aa-4fd4-b506-2c6933a9a08d.pdf&amp;downloadedFileName=TMT-ECDoE-2627-SAN60-CL39%20KANYISA%20PS.pdf</t>
  </si>
  <si>
    <t>TMT-ECDOE-26/27-SAN60-CL40</t>
  </si>
  <si>
    <t>TENDER DOCUMENT FOR THE CONSTRUCTION OF SANITATION FACILITIES AT ZADUNGENI JUNIOR PRIMARY SCHOOL IN EASTERN CAPE PROVINCE UNDER THE SANITATION 60 PROGRAMME TENDER DOCUMENT FOR THE CONSTRUCTION OF SANITATION FACILITIES AT ZADUNGENI JUNIOR PRIMARY SCHOOL IN EASTERN CAPE PROVINCE UNDER THE SANITATION 60 PROGRAMME</t>
  </si>
  <si>
    <t>https://www.etenders.gov.za/home/Download/?blobName=c5f1f005-9c3a-4c2e-bfaf-011cece16a1f.pdf&amp;downloadedFileName=ZADUNGENI%20SPS%20UNPRICED%20BOQ.pdf</t>
  </si>
  <si>
    <t>TMT-ECDOE-26/27-SAN60-CL41</t>
  </si>
  <si>
    <t>TENDER DOCUMENT FOR THE CONSTRUCTION OF SANITATION FACILITIES AT KANANA SENIOR SECONDARY SCHOOL IN EASTERN CAPE PROVINCE UNDER THE SANITATION 60 PROGRAMME</t>
  </si>
  <si>
    <t>https://www.etenders.gov.za/home/Download/?blobName=403f3af5-a24a-4c3f-8a52-bea6765cb8f6.pdf&amp;downloadedFileName=KANANA%20SSS%20UNPRICED%20BOQ.pdf</t>
  </si>
  <si>
    <t>TMT-ECDOE-26/27-SAN60-CL42</t>
  </si>
  <si>
    <t>TENDER DOCUMENT FOR THE CONSTRUCTION OF SANITATION FACILITIES AT QHAYIYA SECONDARY SCHOOL IN EASTERN CAPE PROVINCE UNDER THE SANITATION 60 PROGRAMME</t>
  </si>
  <si>
    <t>https://www.etenders.gov.za/home/Download/?blobName=71fc472b-cd84-4244-8fd1-110247866bc3.pdf&amp;downloadedFileName=QHAYIYA%20SSS%20UNPRICED%20BOQ.pdf</t>
  </si>
  <si>
    <t>TMT-ECDOE-26/27-SAN60-CL43</t>
  </si>
  <si>
    <t>TENDER DOCUMENT FOR THE CONSTRUCTION OF SANITATION FACILITIES AT TOISE SENIOR SECONDARY SCHOOL IN EASTERN CAPE PROVINCE UNDER THE SANITATION 60 PROGRAMME</t>
  </si>
  <si>
    <t>https://www.etenders.gov.za/home/Download/?blobName=fd75cec9-68e9-4879-8a93-393c909e2201.pdf&amp;downloadedFileName=TOISE%20SSS%20UNPRICED%20BOQ.pdf</t>
  </si>
  <si>
    <t>TMT-ECDOE-26/27-SAN60-CL44</t>
  </si>
  <si>
    <t>TENDER DOCUMENT FOR THE CONSTRUCTION OF SANITATION FACILITIES AT TSHOLOMNQA HIGH SCHOOL IN EASTERN CAPE PROVINCE UNDER THE SANITATION 60 PROGRAMME</t>
  </si>
  <si>
    <t>https://www.etenders.gov.za/home/Download/?blobName=a2d6cffb-4cb4-44a8-8ccf-c427ca8391f9.pdf&amp;downloadedFileName=TMT-ECDoE-2627-SAN60-CL44%20TSOLOMNQA%20HS.pdf</t>
  </si>
  <si>
    <t>TMT-ECDOE-26/27-SAN60-CL46</t>
  </si>
  <si>
    <t>TENDER DOCUMENT FOR THE CONSTRUCTION OF SANITATION FACILITIES AT PHUMLANI SENIOR SECONDARY SCHOOL IN EASTERN CAPE PROVINCE UNDER THE SANITATION 60 PROGRAMME</t>
  </si>
  <si>
    <t>https://www.etenders.gov.za/home/Download/?blobName=b257de9e-75ea-4ca3-8563-689105441a7f.pdf&amp;downloadedFileName=PHUMLANI%20SSS%20UNPRICED%20BOQ.pdf</t>
  </si>
  <si>
    <t>TMT-ECDOE-26/27-SAN60-CL48</t>
  </si>
  <si>
    <t>TENDER DOCUMENT FOR THE CONSTRUCTION OF SANITATION FACILITIES AT SIBONILE SENIOR SECONDARY SCHOOL IN EASTERN CAPE PROVINCE UNDER THE SANITATION 60 PROGRAMME</t>
  </si>
  <si>
    <t>https://www.etenders.gov.za/home/Download/?blobName=56f9caa4-1479-4a70-a8ad-93303fa7e09d.pdf&amp;downloadedFileName=TMT-ECDoE-2627-SAN60-CL48%20SIBONILE%20SSS.pdf</t>
  </si>
  <si>
    <t>TMT-ECDOE-26/27-FLUSH-CL6R3</t>
  </si>
  <si>
    <t>TENDER DOCUMENT FOR MAINTENANCE OF FLUSH TOILETS AND/OR CONSTRUCTION OF NEW TOILET FACILITIES AT MAQOMA PRIMARY SCHOOL IN THE EASTERN CAPE PROVINCE UNDER THE ECDOE FLUSH TOILETS MAINTENANCE PROGRAMME</t>
  </si>
  <si>
    <t>https://www.etenders.gov.za/home/Download/?blobName=e8429d94-c04b-4560-aefd-a1bf95254c83.pdf&amp;downloadedFileName=TMT-ECDoE-2526-Flush-CL6R2-MAQOMA%20PS.pdf</t>
  </si>
  <si>
    <t>TMT-ECDOE-26/27-SAN60-CL29</t>
  </si>
  <si>
    <t>TENDER DOCUMENT FOR THE CONSTRUCTION OF SANITATION FACILITIES AT QADU SENIOR SECONDARY SCHOOL IN EASTERN CAPE PROVINCE UNDER THE SANITATION 60 PROGRAMME</t>
  </si>
  <si>
    <t>https://www.etenders.gov.za/home/Download/?blobName=0f8f2654-4e50-421e-b6a6-75684bc0ebc1.pdf&amp;downloadedFileName=QADU%20SSS%20UNPRICED%20BOQ.pdf</t>
  </si>
  <si>
    <t>TMT-ECDOE-26/27-SAN60-CL30</t>
  </si>
  <si>
    <t>TENDER DOCUMENT FOR THE CONSTRUCTION OF SANITATION FACILITIES AT ZANOKHANYO JUNIOR PRIMARY SCHOOL IN EASTERN CAPE PROVINCE UNDER THE SANITATION 60 PROGRAMME</t>
  </si>
  <si>
    <t>https://www.etenders.gov.za/home/Download/?blobName=7b0b89d9-20e2-4fa4-a1ac-3d32d73f7ef3.pdf&amp;downloadedFileName=ZANOKHANYO%20PS%20UNPRICED%20BOQ.pdf</t>
  </si>
  <si>
    <t>TMT-ECDOE-26/27-SAN60-CL31</t>
  </si>
  <si>
    <t>TENDER DOCUMENT FOR THE CONSTRUCTION OF SANITATION FACILITIES AT BUFFALO NEK HIGH SCHOOL IN EASTERN CAPE PROVINCE UNDER THE SANITATION 60 PROGRAMME</t>
  </si>
  <si>
    <t>https://www.etenders.gov.za/home/Download/?blobName=3facf396-ac45-4efb-9213-568873004e79.pdf&amp;downloadedFileName=TMT-ECDoE-2627-SAN60-CL31%20BUFFALO%20NEK%20HS.pdf</t>
  </si>
  <si>
    <t>TMT-ECDOE-26/27-SAN60-CL32</t>
  </si>
  <si>
    <t>TENDER DOCUMENT FOR THE CONSTRUCTION OF SANITATION FACILITIES AT ST GEORGES SENIOR SECONDARY SCHOOL IN EASTERN CAPE PROVINCE UNDER THE SANITATION 60 PROGRAMME</t>
  </si>
  <si>
    <t>https://www.etenders.gov.za/home/Download/?blobName=76a8982c-5e57-425a-87b8-10b344444aff.pdf&amp;downloadedFileName=ST%20GEORGE%27S%20SSS%20UNPRICED%20BOQ.pdf</t>
  </si>
  <si>
    <t>TMT-ECDOE-26/27-SAN60-CL34</t>
  </si>
  <si>
    <t>TENDER DOCUMENT FOR THE CONSTRUCTION OF SANITATION FACILITIES AT TYELIMHLOPHE AGRIC HIGH SCHOOL IN EASTERN CAPE PROVINCE UNDER THE SANITATION 60 PROGRAMME</t>
  </si>
  <si>
    <t>https://www.etenders.gov.za/home/Download/?blobName=d48e355c-cce9-44df-8226-093ba2abe54a.pdf&amp;downloadedFileName=TMT-ECDoE-2627-SAN60-CL34%20TYELIMHLOPHE%20AGRIC%20HS.pdf</t>
  </si>
  <si>
    <t>TMT-ECDOE-26/27-SAN60-CL35</t>
  </si>
  <si>
    <t>TENDER DOCUMENT FOR THE CONSTRUCTION OF SANITATION FACILITIES AT ZWELAKHE SENIOR SECONDARY SCHOOL IN EASTERN CAPE PROVINCE UNDER THE SANITATION 60 PROGRAMME</t>
  </si>
  <si>
    <t>https://www.etenders.gov.za/home/Download/?blobName=26824627-144f-48f3-b1c0-640d99aa9d30.pdf&amp;downloadedFileName=TMT-ECDoE-2627-SAN60-CL35%20ZWELAKHE%20SSS.pdf</t>
  </si>
  <si>
    <t>TMT-ECDOE-26/27-SAN60-CL36</t>
  </si>
  <si>
    <t>TENDER DOCUMENT FOR THE CONSTRUCTION OF SANITATION FACILITIES AT ISOLOMZI SENIOR SECONDARY SCHOOL IN EASTERN CAPE PROVINCE UNDER THE SANITATION 60 PROGRAMME</t>
  </si>
  <si>
    <t>https://www.etenders.gov.za/home/Download/?blobName=97e59ba5-3ab5-47d3-85f0-7e83dc8109b3.pdf&amp;downloadedFileName=ISOLOMZI%20SSS%20UNPRICED%20BOQ.pdf</t>
  </si>
  <si>
    <t>DHA09-2026</t>
  </si>
  <si>
    <t>THE APPOINTMENT OF A PANEL OF APPROPRIATELY QUALIFIED SERVICE PROVIDER/S WITH SUITABLE EXPERIENCE TO RENDER INVESTIGATIVE AND REPRESENTATION SERVICES AND PERFORM LABOUR RELATIONS FUNCTIONS ON BEHALF OF THE DEPARTMENT ON AN “AS-AND-WHEN REQUIRED” BASIS, OVER A PERIOD OF THREE (3) YEARS WITH AN OPTION TO RENEW FOR FURTHER TWO (2) YEARS SUBJECT TO SATISFACTORY PERFORMANCE AND AVAILABILITY OF BUDGET.</t>
  </si>
  <si>
    <t>https://teams.microsoft.com/meet/362965045568657?p=mBxLGlo4JZeE5GpWvt</t>
  </si>
  <si>
    <t>https://www.etenders.gov.za/home/Download/?blobName=0b12355a-82b0-448d-aa3d-7909a3759eb3.pdf&amp;downloadedFileName=INVITATION%20TO%20BID%20DHA09-2026.pdf</t>
  </si>
  <si>
    <t>RFP/SASSETA/25261131/1</t>
  </si>
  <si>
    <t>Appointment of a suitable and experienced Estate Agent or Landlord to lease office space in the Midrand area for a period until 31st March 2030, with an option to renew based on the SETA license</t>
  </si>
  <si>
    <t>Safety and Security Sector Education and Training Authority (Sasseta)</t>
  </si>
  <si>
    <t>https://www.etenders.gov.za/home/Download/?blobName=4df7ff04-d187-4d4d-96f4-46058139eaaa.pdf&amp;downloadedFileName=RFP.pdf</t>
  </si>
  <si>
    <t>TMT-ECDOE-26/27-SAN60-CL33</t>
  </si>
  <si>
    <t>TENDER DOCUMENT FOR THE CONSTRUCTION OF SANITATION FACILITIES AT ST MARGARET SENIOR SECONDARY SCHOOL IN EASTERN CAPE PROVINCE UNDER THE SANITATION 60 PROGRAMME</t>
  </si>
  <si>
    <t>https://www.etenders.gov.za/home/Download/?blobName=a3cfa0ec-4b66-442d-b807-4821ea9ea363.pdf&amp;downloadedFileName=ST%20MARGARET%20SSS%20UNPRICED%20BOQ.pdf</t>
  </si>
  <si>
    <t>dtic 02/26-27</t>
  </si>
  <si>
    <t>PROCUREMENT OF SUPPORT AND MAINTENANCE OF THE EXISTING HPE SERVER INFRASTRUCTURE FOR A PERIOD OF THREE (3) YEARS.</t>
  </si>
  <si>
    <t>Trade &amp; Industry</t>
  </si>
  <si>
    <t>https://www.etenders.gov.za/home/Download/?blobName=e3c62324-ee82-4161-9e37-dab88f4251ed.pdf&amp;downloadedFileName=1.%20Tender%20Doc%20-%20dtic%2002.26-27%20Maintenance%20of%20HPE%20Servers.pdf</t>
  </si>
  <si>
    <t>ID-3275611</t>
  </si>
  <si>
    <t>De Aar and Surrounding Area: Service, maintenance and repairs of generators at various clients for 36 months (Term Contract)</t>
  </si>
  <si>
    <t>Public Works</t>
  </si>
  <si>
    <t>https://www.etenders.gov.za/home/Download/?blobName=e8ce73d8-8b8a-43c9-a60a-388b44b32892.pdf&amp;downloadedFileName=BID%20DOCUMENT%20ID-3275611.pdf</t>
  </si>
  <si>
    <t>ID-3275612</t>
  </si>
  <si>
    <t>Upington and Surrounding Area: Service, maintenance and repairs of generators at various clients for 36 months (Term Contract)</t>
  </si>
  <si>
    <t>https://www.etenders.gov.za/home/Download/?blobName=2abb55e6-d649-41e4-b781-a568c4680754.pdf&amp;downloadedFileName=BID%20DOCUMENT%20ID-3275612.pdf</t>
  </si>
  <si>
    <t>PF25/2026</t>
  </si>
  <si>
    <t>Calvinia: Magistrate Court: Provisioning of cleaning services for 36 months (604m²)</t>
  </si>
  <si>
    <t>Calvinia Magistrate Court</t>
  </si>
  <si>
    <t>https://www.etenders.gov.za/home/Download/?blobName=b8467710-8227-4f9e-bd9a-2ce9c23f62f9.pdf&amp;downloadedFileName=BID%20DOCUMENT%20PF25.2026.pdf</t>
  </si>
  <si>
    <t>PF27/2026</t>
  </si>
  <si>
    <t>Springbok: Magistrate Court: Provisioning of cleaning services for 36 months (751m²)</t>
  </si>
  <si>
    <t>Springbok Magistrate Court</t>
  </si>
  <si>
    <t>https://www.etenders.gov.za/home/Download/?blobName=19d0026b-1d83-44e5-a584-a7a09911aed8.pdf&amp;downloadedFileName=BID%20DOCUMENT%20PF27.2026.pdf</t>
  </si>
  <si>
    <t>DTP/RFP/11/ICT/04/2026</t>
  </si>
  <si>
    <t>Provision of Data Centre and Network Operational Spares for Dube TradePort Corporation for a period of three (3) years</t>
  </si>
  <si>
    <t>Dube Tradeport</t>
  </si>
  <si>
    <t>Information service activities</t>
  </si>
  <si>
    <t>Microsoft Teams (virtually)</t>
  </si>
  <si>
    <t>https://www.etenders.gov.za/home/Download/?blobName=0aa8ed72-df7d-4796-b28a-54f038714c74.pdf&amp;downloadedFileName=DTPRFP11ICT04202%20Hardware%20Spares.pdf</t>
  </si>
  <si>
    <t>SSA/07/2026/27</t>
  </si>
  <si>
    <t>RENEWAL OF COHESITY NETBACKUP SOFTWARE LICENCES, HARDWARE MAINTENANCE AND ONSITE SUPPORT FOR A PERIOD OF THREE (3) YEARS PAYABLE ANNUALLY.</t>
  </si>
  <si>
    <t>State Security Agency</t>
  </si>
  <si>
    <t>https://www.etenders.gov.za/home/Download/?blobName=f9ba2b27-e7d3-4d8e-8fb2-3d618f66ca38.pdf&amp;downloadedFileName=General%20Conditions%20of%20Contract.pdf</t>
  </si>
  <si>
    <t>DHA08-2026</t>
  </si>
  <si>
    <t>APPOINTMENT FOR THE PROVISION OF CASH-IN-TRANSIT SERVICES AT OFFICES OF THE DEPARTMENT OF HOME AFFAIRS FOR A PERIOD OF 5 YEARS.</t>
  </si>
  <si>
    <t>Activities auxiliary to financial service and insurance activities.</t>
  </si>
  <si>
    <t>https://teams.microsoft.com/meet/392403425233223?p=RbqD1IRfgE2mJoBDxM</t>
  </si>
  <si>
    <t>https://www.etenders.gov.za/home/Download/?blobName=a4ed0256-8cb5-49ef-87b5-093042fbaf2c.pdf&amp;downloadedFileName=INVITATION%20TO%20BID%20DHA08-2026.pdf</t>
  </si>
  <si>
    <t>g-FleeT RFT: 13/10/2025</t>
  </si>
  <si>
    <t>APPOINTMENT OF A SERVICE PROVIDER TO RENDER GENERAL CLEANING SERVICES TO g-FleeT MANAGEMENT OFFICES AT BEDFORDVIEW AND KOEDOESPOORT FOR A PERIOD OF THREE (3) YEARS.</t>
  </si>
  <si>
    <t>Gauteng - Roads and Transport</t>
  </si>
  <si>
    <t>g-FleeT Management Department of Roads and Transport 76 Boeing Road East Bedfordview 2008</t>
  </si>
  <si>
    <t>https://www.etenders.gov.za/home/Download/?blobName=822fc972-a73d-47dd-93e1-cf466bf529e9.pdf&amp;downloadedFileName=Tender%20Document%20-%20g%20FleeT%2013%2010%202025.pdf</t>
  </si>
  <si>
    <t>E3028GXMPMAT</t>
  </si>
  <si>
    <t>SUPPLY AND DELIVERY OF LOW VOLTAGE MOTORS TO MATIMBA POWER STATION OVER A PERIOD OF FIVE (5) YEARS ON AN AS-AND-WHEN REQUIRED</t>
  </si>
  <si>
    <t>https://www.etenders.gov.za/home/Download/?blobName=e11367d1-9f17-42d8-a14d-1c1435c067ca.doc&amp;downloadedFileName=NEC3%20-Supply%20and%20delivery%20of%20low%20voltage%20motors.doc</t>
  </si>
  <si>
    <t>NLM/TS/CTAR/2026/2027</t>
  </si>
  <si>
    <t>Construction of Tsweleni Access Road in ward 4</t>
  </si>
  <si>
    <t>Ntabankulu Local Municipality</t>
  </si>
  <si>
    <t>Erf 85 Main Street, Ntabankulu Local Municipality, Ntabankulu Town Hall</t>
  </si>
  <si>
    <t>https://www.etenders.gov.za/home/Download/?blobName=a73a264f-ab5f-4d11-827b-3513de4f398b.pdf&amp;downloadedFileName=Bid%20Invitation%20for%20Construction%20of%20Tsweleni%20AR%20and%20Gxwaleni%20Concrete%20Slab.pdf</t>
  </si>
  <si>
    <t>NLM/TS/CGMCSP2/2026/2027</t>
  </si>
  <si>
    <t>Construction of Gxwaleni to Maliwa (Concrete Slab) phase 2 in ward 18</t>
  </si>
  <si>
    <t>Ntabankulu Local Municipality Town Hall</t>
  </si>
  <si>
    <t>https://www.etenders.gov.za/home/Download/?blobName=0a795c5e-6b56-474b-b156-99ba22308e95.pdf&amp;downloadedFileName=Bid%20Invitation%20for%20Construction%20of%20Tsweleni%20AR%20and%20Gxwaleni%20Concrete%20Slab.pdf</t>
  </si>
  <si>
    <t>FORMAL TENDER: TD 02/06/2026</t>
  </si>
  <si>
    <t>FORMAL TENDER: TD 02/06/2026: VARIOUS SERVICES TO BE RENDERED TO OUDTSHOORN MUNICIPALITY AS AND WHEN REQUIRED FOR A PERIOD ENDING 30 JUNE 2029 (CIDB 1SL, 1SQ OR HIGHER)</t>
  </si>
  <si>
    <t>https://www.etenders.gov.za/home/Download/?blobName=726bb005-644b-413e-9125-78e5824f8c4a.pdf&amp;downloadedFileName=ADVERT-TD-02-06-2026-VARIOUS-SERVICES.pdf</t>
  </si>
  <si>
    <t>FORMAL TENDER : TD 01/06/2026</t>
  </si>
  <si>
    <t>FORMAL TENDER: TD 01/06/2026: PROVISION OF PEST CONTROL AND HYGIENE SERVICES FOR PERIOD ENDING 30 JUNE 2029</t>
  </si>
  <si>
    <t>https://www.etenders.gov.za/home/Download/?blobName=bacb6e05-41a0-4792-bc28-d0c982c0a81c.pdf&amp;downloadedFileName=ADVERT-TD-01-06-2026-PEST-CONTROL.pdf</t>
  </si>
  <si>
    <t>5/2/1/1/2026-2027/47</t>
  </si>
  <si>
    <t>APPOINTMENT OF A SERVICE PROVIDER TO DEVELOP A TRAINING MANUAL ON METADATA STANDARDS (SANS 1878-1, SANS 19115-1 AND SANS 19115-2) AND UTILIZE IT TO TRAIN DATA CUSTODIANS WITHIN A PERIOD OF TWELVE (12) MONTHS</t>
  </si>
  <si>
    <t>Department of Rural Development &amp; Land Reform</t>
  </si>
  <si>
    <t>https://www.etenders.gov.za/home/Download/?blobName=28accc7c-bb3c-4ff1-9594-58de3bd9a449.pdf&amp;downloadedFileName=5-2-1-1-2026-2027-47.pdf</t>
  </si>
  <si>
    <t>BS08/06/2026</t>
  </si>
  <si>
    <t>RE-ADVERT: SALE OF ERF 297 KWAZAMOKUHLE FOR BUSINESS PURPOSES</t>
  </si>
  <si>
    <t>Law Library, 2nd Floor, Civic Center, Cnr Walter Sisulu Street &amp; Wanderers Avenue</t>
  </si>
  <si>
    <t>https://www.etenders.gov.za/home/Download/?blobName=362632ea-0caa-49c9-aaed-1858a52f700d.pdf&amp;downloadedFileName=advert%20BS08-06-2026%20Erf%20297%20Kwazamokuhle.pdf</t>
  </si>
  <si>
    <t>T022/2025/26</t>
  </si>
  <si>
    <t>THE SUPPLY AND DELIVERY OF STATIONERY, OFFICE EQUIPMENT AND REFRESHMENTS TO THE CAPE TOWN STADIUM</t>
  </si>
  <si>
    <t>Cape Town Stadium (RF) SOC LIMITED</t>
  </si>
  <si>
    <t>https://www.etenders.gov.za/home/Download/?blobName=2c4151c5-15c7-44e2-a892-2ccf81b95749.pdf&amp;downloadedFileName=CTS%20T022.2025.26_Advert_Provision%20of%20Stationery%20Office%20Equipment%20and%20Refreshments.pdf</t>
  </si>
  <si>
    <t>RFQJW45ZZ26</t>
  </si>
  <si>
    <t>REPLACEMENT OF UNIT 5 SCREW PUMP CABLE</t>
  </si>
  <si>
    <t>Northern Wastewater Treatment Works (Diepsloot) Johannesburg Water Depot</t>
  </si>
  <si>
    <t>https://www.etenders.gov.za/home/Download/?blobName=f2bfed2e-868c-477a-a04e-61ddf5f0fd78.pdf&amp;downloadedFileName=RFQJW45ZZ26%20-Unit%205%20Screw%20Pump%20Cable.pdf</t>
  </si>
  <si>
    <t>ER 12505 &amp; ERUC 0175</t>
  </si>
  <si>
    <t>REQUEST FOR SUPPLY AND DELIVERY OF 01 PROJECTOR AND 01 EXTERNAL HARD DRIVE FOR ASSET AND DISPOSAL – TO BE DELIVERED AT 174 MAYORS WALK - PIETERMARITZBURG – CONTACT PERSON – P.P.K KHUMALO – 033 264 2037 / 079 523 9160 AND 40 LAPTOPS FOR UMKHANYAKUDE DISTRICT TO BE DELEVERED AT THE DEPARTMENT OF SOCIAL DEVELOPMENT UMKHANYAKUDE DISTRICT. CONTACT PERSON – N.N MAZIBUKO – 060 940 0802</t>
  </si>
  <si>
    <t>Kwazulu Natal - Social Development</t>
  </si>
  <si>
    <t>https://www.etenders.gov.za/home/Download/?blobName=72e3066c-56c2-4177-9244-ea6bdcb1b7a0.pdf&amp;downloadedFileName=ER%2012505%20&amp;%20ERUC%200175.pdf</t>
  </si>
  <si>
    <t>RFQJW115NS26</t>
  </si>
  <si>
    <t>RESTORE VANDALIZED SAFETY SIGNAGE AND CARPORT</t>
  </si>
  <si>
    <t>Nothern Works Waste Water Plant @Diepsloot</t>
  </si>
  <si>
    <t>https://www.etenders.gov.za/home/Download/?blobName=4ad360fb-7857-4770-8935-e03e54b9052c.pdf&amp;downloadedFileName=RFQJW115NS26-RESTORE%20VANDALIZED%20SAFETY%20SIGNAGE%20AND%20CARPORT%20(19%20JUNE%20-06%20JULY).pdf</t>
  </si>
  <si>
    <t>RQ-019892</t>
  </si>
  <si>
    <t>TERMS OF REFERENCE FOR TRAINING ON ADVANCED PROJECT MANAGEMENT</t>
  </si>
  <si>
    <t>Limpopo - Department of Community Safety and Transport Management</t>
  </si>
  <si>
    <t>https://www.etenders.gov.za/home/Download/?blobName=fcb4e6d0-09ff-472a-81a8-61b6f511f23e.pdf&amp;downloadedFileName=RQ-019892.pdf</t>
  </si>
  <si>
    <t>BS05/06/2026</t>
  </si>
  <si>
    <t>RE-ADVERT: SALE OF ERVEN IN NEWTOWN FOR CRECHE AND CHURCH PURPOSES</t>
  </si>
  <si>
    <t>https://www.etenders.gov.za/home/Download/?blobName=6521683b-9f92-4949-bb6a-82642a8d21a8.pdf&amp;downloadedFileName=advert%20BS05-06-2026%20Newtown%20Creche%20and%20Church.pdf</t>
  </si>
  <si>
    <t>E3084GXMPLET</t>
  </si>
  <si>
    <t>Purchase and removal of scrap ferrous metal (Steel, Sub-Grade, CT's, VT's, Steel Cages, Porcelain, Rubber, Recloser/Breakers, Insulators, Isolators and linehardware) at Lethabo Power Station on “as and when” required basis for a contract period of 24 months</t>
  </si>
  <si>
    <t>https://www.etenders.gov.za/home/Download/?blobName=583d9b88-038e-4444-a24a-a106db77cbad.pdf&amp;downloadedFileName=Invitation%20to%20Tender%20(ITT)%20Lethabo%20PS.pdf</t>
  </si>
  <si>
    <t>RFQJW44ZZ26</t>
  </si>
  <si>
    <t>UNIT 3 PST’s ELECTRICAL REPAIRS</t>
  </si>
  <si>
    <t>https://www.etenders.gov.za/home/Download/?blobName=31a6ea9b-629d-4473-99b1-da711bdef873.pdf&amp;downloadedFileName=RFQJW44ZZ26_PSTs%20Electrical%20Repairs.pdf</t>
  </si>
  <si>
    <t>TNPA/2026/06/1243/7027/RFQ</t>
  </si>
  <si>
    <t>SUPPLY, DELIVERY, REMOVAL OF EXISTING UNINTERRUPTIBLE POWER SUPPLIES (UPS), AND THE INSTALLATION, TESTING, AND COMMISSIONING OF THREE (3) NEW UPS SYSTEMS AT THE PORT OF EAST LONDON FOR A PERIOD OF SIX (6) MONTHS.</t>
  </si>
  <si>
    <t>A Non-Compulsory Tender Clarification Meeting will be conducted via MS Teams please click here to ac</t>
  </si>
  <si>
    <t>https://www.etenders.gov.za/home/Download/?blobName=031b0901-6d88-451f-a40d-105dceb02e53.pdf&amp;downloadedFileName=2.%20Technical%20Functionality%20Evaluation%20Criteria%20for%20Supply%20and%20Installation%20of%20UPS.pdf</t>
  </si>
  <si>
    <t>NMQ 0210 OF 2026</t>
  </si>
  <si>
    <t>ASSESSMENT OF EXISTING BOREHOLE</t>
  </si>
  <si>
    <t>Msunduzi Museum</t>
  </si>
  <si>
    <t>https://www.etenders.gov.za/home/Download/?blobName=64aff47e-0796-4db2-8a9a-1df2db90285a.doc&amp;downloadedFileName=Borehole%20Assessment_Specifications.doc</t>
  </si>
  <si>
    <t>E2191DXLPOUR</t>
  </si>
  <si>
    <t>Cleaning and gardening services to all Eskom Distribution offices in the Limpopo Area within the Limlanga Cluster, for a period of 60 months (5 years)</t>
  </si>
  <si>
    <t>https://teams.microsoft.com/meet/37932570630294?p=LGvqowhxwfsgS1X8Ea</t>
  </si>
  <si>
    <t>https://www.etenders.gov.za/home/Download/?blobName=f4ddf7d5-13be-4af7-a52e-03cd227b7d65.pdf&amp;downloadedFileName=Appendix%20C%20-%20Cleaning%20Consumables.pdf</t>
  </si>
  <si>
    <t>RFQJW114TN26</t>
  </si>
  <si>
    <t>RFQJW114TN26 - DECKING REPAIRS</t>
  </si>
  <si>
    <t>Cydna Laboratories, 75 4th Street, Houghton</t>
  </si>
  <si>
    <t>https://www.etenders.gov.za/home/Download/?blobName=88454d72-fdaa-4b8f-9c62-5c0c834a04d7.pdf&amp;downloadedFileName=RFQJW114TN26%20-%20DECKING%20REPAIRS.pdf</t>
  </si>
  <si>
    <t>REQ0994-1606</t>
  </si>
  <si>
    <t>Appointment of a service provider for the supply, delivery and installation for air conditioning at Putellos Primary School,Mbumbulu, KZN</t>
  </si>
  <si>
    <t>KwaZulu Natal Economic Regulatory Authority</t>
  </si>
  <si>
    <t>https://www.etenders.gov.za/home/Download/?blobName=b37ca738-916e-4623-8ea1-febcb0e7674c.pdf&amp;downloadedFileName=02%20QBD_REQ0994_1606.pdf</t>
  </si>
  <si>
    <t>ADVERTISED RFQ 03/06/2026</t>
  </si>
  <si>
    <t>ADVERTISED RFQ 03/06/2026: REQUEST FOR QUOTATION: VARIOUS SERVICES TO BE RENDERED TO OUDTSHOORN MUNICIPALITY AS AND WHEN REQUIRED (CIDB 1SL AND 1SQ OR HIGHER) FOR A PERIOD OF 1 YEAR</t>
  </si>
  <si>
    <t>https://www.etenders.gov.za/home/Download/?blobName=acb128b1-9815-42f2-b85e-537a71482358.pdf&amp;downloadedFileName=RFQ%2003%20OF%2006%20OF%202025%20%20ADVERT.pdf</t>
  </si>
  <si>
    <t>Q1/2026/27</t>
  </si>
  <si>
    <t>SUPPLY AND DELIVER OF DISASTER RELIEF MATERIALS FOR A PERIOD OF 12 MONTHS</t>
  </si>
  <si>
    <t>https://www.etenders.gov.za/home/Download/?blobName=10e0d5ca-17b5-458e-a16d-579c6b199a02.pdf&amp;downloadedFileName=Q1-2026-27%20SUPPLY%20AND%20DELIVER%20OF%20DISASTER%20RELIEF%20MATERIALS%20FOR%20A%20PERIOD%20OF%2012%20MONTHS%20-%20TENDER%20DOCUMENT.pdf</t>
  </si>
  <si>
    <t>Q2/2026/27</t>
  </si>
  <si>
    <t>APPOINTMENT OF SERVICE PROVIDER FOR ARCGIS PRO STANDARD &amp; ADVANCE TRAINING</t>
  </si>
  <si>
    <t>https://www.etenders.gov.za/home/Download/?blobName=7b9c5e84-d85b-4f35-a7c3-f62a7edf58e1.pdf&amp;downloadedFileName=Q2-2026-27%20APPOINTMENT%20OF%20SERVICE%20PROVIDER%20FOR%20ARCGIS%20PRO%20STANDARD%20&amp;%20ADVANCE%20TRAINING%20-%20TENDER%20DOCUMENT.pdf</t>
  </si>
  <si>
    <t>Q3/2026/27</t>
  </si>
  <si>
    <t>SUPPLY &amp; DELIVERY CASE 580 SUPER R SERIES 3 PARTS</t>
  </si>
  <si>
    <t>https://www.etenders.gov.za/home/Download/?blobName=5ef45f60-3395-4cff-afbb-25081db8659c.pdf&amp;downloadedFileName=Q3-2026-27%20SUPPLY%20&amp;%20DELIVERY%20CASE%20580SUPER%20R%20SERIES%203%20PARTS%20-%20TENDER%20DOCUMENT.pdf</t>
  </si>
  <si>
    <t>8444 Re-issue</t>
  </si>
  <si>
    <t>Maintenance for Fire Systems for Period of 36 months</t>
  </si>
  <si>
    <t>https://www.etenders.gov.za/home/Download/?blobName=cc0e5f1c-a563-408e-ac50-28628183d756.pdf&amp;downloadedFileName=CIDB%20Bid%20document%20Template%20RFQ%208444%20Maitenance%20of%20Fire%20systems%20for%20period%20of%2036%20months_reviewedDM.pdf</t>
  </si>
  <si>
    <t>FTM/T31/25/26</t>
  </si>
  <si>
    <t>Appointment of a service provider for provision of event management at the state of the local municipal address event (SOLMA).</t>
  </si>
  <si>
    <t>Fetakgomo Tubatse Local Municipality</t>
  </si>
  <si>
    <t>https://www.etenders.gov.za/home/Download/?blobName=58e48661-b0df-4b84-aac5-036d83e7ae2d.pdf&amp;downloadedFileName=Advert%2019%20June%202026.pdf</t>
  </si>
  <si>
    <t>ER12501 &amp; ER 2371</t>
  </si>
  <si>
    <t>REQUEST FOR SUPPLY AND DELIVERY OF 38 LAPTOPS AS PER ATTACHED SPECIFICATION REQUISITION NUMBER (ER 12501 &amp;ER 2371) FOR ILEMBE DISTRICT TO BE DELEVERY AT 64 THUCKER STREET KWADUKUZA CONTACT PERSON MANINGI MFEKA -066 282 3390 AND SIYABONGA DLAMINI 079 296 0399</t>
  </si>
  <si>
    <t>https://www.etenders.gov.za/home/Download/?blobName=2c1458bd-14c4-4b6e-a026-bbdf331088a1.pdf&amp;downloadedFileName=laptops%20for%20ilembe.pdf</t>
  </si>
  <si>
    <t>RFI/OBP004/2026/27</t>
  </si>
  <si>
    <t>REQUEST FOR INFORMATION - NKP SITE SECURITY SOLUTION FOR ONDERSTEPOORT BIOLOGICAL PRODUCTS (OBP)</t>
  </si>
  <si>
    <t>Onderstepoort Biological Products Limited</t>
  </si>
  <si>
    <t>100 Old Soutpan Rd Onderstepoort, Pretoria, 0110</t>
  </si>
  <si>
    <t>https://www.etenders.gov.za/home/Download/?blobName=3f4b7822-92da-4027-bd47-0ec5135a125f.pdf&amp;downloadedFileName=RFI%20OBP004.2026.2027%20-%20NKP%20SITE%20SECURITY%20SOLUTION%20FOR%20ONDERSTEPOORT%20BIOLOGICAL%20PRODUCTS%20(OBP)%20-%20addendum.pdf</t>
  </si>
  <si>
    <t>NMQ 209 OF 2026</t>
  </si>
  <si>
    <t>INSTALLATION OF IRRIGATION SYSTEM</t>
  </si>
  <si>
    <t>Ncome Museum</t>
  </si>
  <si>
    <t>https://www.etenders.gov.za/home/Download/?blobName=455f650b-5a96-4bcb-8515-0a41b8959fb5.DOC&amp;downloadedFileName=SBD%204%20MUSEUM%20(1).DOC</t>
  </si>
  <si>
    <t>16354</t>
  </si>
  <si>
    <t>REQUEST FOR POTENTIAL SERVICE PROVIDERS TO SUBMIT A QUOTATION TO COMPLETE A LIMITED PRE-FEASIBILITY STUDY TO CONSIDER THE ESTABLISHMENT OF A GAUTENG AUTOMOTIVE RESEARCH INSTITUTE (GARI).</t>
  </si>
  <si>
    <t>Automotive Industry Development Centre (AIDC)</t>
  </si>
  <si>
    <t>Scientific research and development</t>
  </si>
  <si>
    <t>https://teams.microsoft.com/meet/327179598227763?p=LJeXXlIHypkjQnxfaC Meeting ID: 327 179 598 227 7</t>
  </si>
  <si>
    <t>https://www.etenders.gov.za/home/Download/?blobName=d91c0fd4-3462-40f6-8697-00d2aee4a114.pdf&amp;downloadedFileName=Standard%20Bidding%20Document%20(SDB)%204_%20for%20PRE-FEASIBILITY%20STUDY.pdf</t>
  </si>
  <si>
    <t>SCMU10-26/27-0006.</t>
  </si>
  <si>
    <t>ERRATUM -INVITATION TO THE BUILT ENVIRONMENT PROFESSIONALS FOR THE ESTABLISHMENT OF A PANEL OF CONSULTANTS FOR THE EASTERN CAPE DEPARTMENT OF TRANSPORT FOR A PERIOD OF THIRTY-SIX (36) MONTHS</t>
  </si>
  <si>
    <t>Eastern Cape - Transport</t>
  </si>
  <si>
    <t>https://www.etenders.gov.za/home/Download/?blobName=7532eccf-8ff1-4c59-a26b-6c3bba646369.pdf&amp;downloadedFileName=ADDENDUM%20BREIFING%20FOR%20PANEL%20OF%20CONSULTANTS%20(002).pdf</t>
  </si>
  <si>
    <t>POS9821</t>
  </si>
  <si>
    <t>08:00</t>
  </si>
  <si>
    <t>To appoint a Panel for Corporate Photography services for the Technology Innovation Agency for a period of (36 months), as and when required.</t>
  </si>
  <si>
    <t>Technology Innovation Agency</t>
  </si>
  <si>
    <t>https://www.etenders.gov.za/home/Download/?blobName=52e37a82-120e-4efb-9478-380bee1dc6d4.pdf&amp;downloadedFileName=TermsOfReference_V2%20-%20Photography.docx.pdf</t>
  </si>
  <si>
    <t>ATNS/RFQ/03/2026/46/ATS_MS Training_HO</t>
  </si>
  <si>
    <t>APPOINTMENT OF A SERVICE PROVIDER FOR THE PROVISION AND DELIVERY OF MICROSOFT OFFICE TRAINING (WORD, EXCEL, POWERPOINT, OUTLOOK, TEAMS, SHAREPOINT, AND FORMS) AT BASIC, INTERMEDIATE, AND ADVANCED LEVELS FOR A PERIOD OF TWELVE (12) MONTHS, ON AN AS-AND-WHEQUIRED BASIS – FOR THE ATS DEPARTMENT</t>
  </si>
  <si>
    <t>https://www.etenders.gov.za/home/Download/?blobName=95aaa9cd-a821-4198-94dc-7b2a3fd698a8.PDF&amp;downloadedFileName=ATNSRF~1.PDF</t>
  </si>
  <si>
    <t>QCTO RFQ 08/2026</t>
  </si>
  <si>
    <t>To appoint an experienced and competent service provider to conduct an OHS audit compliance.</t>
  </si>
  <si>
    <t>Quality Council for Trades and Occupations</t>
  </si>
  <si>
    <t>256 Glyn Street, Hatfield, Pretoria</t>
  </si>
  <si>
    <t>https://www.etenders.gov.za/home/Download/?blobName=0bc3b41c-4a2a-4bf0-a939-292487566897.pdf&amp;downloadedFileName=Specification%20to%20appoint%20OHS%20External%20Audit%20(2026).pdf</t>
  </si>
  <si>
    <t>RFI-RT284-26</t>
  </si>
  <si>
    <t>Supply and Delivery of Hypodermic Syringes, Needles, Bloodletting Devices, and Related Items.</t>
  </si>
  <si>
    <t>National Treasury</t>
  </si>
  <si>
    <t>https://www.etenders.gov.za/home/Download/?blobName=991d089c-56ed-4e8e-8cbc-5b554c0c9997.xlsx&amp;downloadedFileName=RT284%20Technical%20%20Specification%20(RFI).xlsx</t>
  </si>
  <si>
    <t>SCM/TSW/01/2026-2027</t>
  </si>
  <si>
    <t>APPOINTMENT OF AN IMPLEMENTING AGENT TO PROVIDE FULL SERVICE FOR THE DESIGN AND IMPLEMENTATION OF ENERGY EFFICIENCY (EEDSM) PROGRAM.</t>
  </si>
  <si>
    <t>Tswelopele Local Municipality</t>
  </si>
  <si>
    <t>https://www.etenders.gov.za/home/Download/?blobName=7a449f7f-b2ac-4ae9-80ad-fca1bf71b7ec.pdf&amp;downloadedFileName=Tender%20document%20-%20scm-tsw-01-2026-2027%20-%20EEDSM%20(003).pdf</t>
  </si>
  <si>
    <t>KZNGFA-RFQ 2026-04</t>
  </si>
  <si>
    <t>APPOINTMENT OF A KEY INDIVIDUAL FOR KGFT CAPITAL FOR 12 MONTHS</t>
  </si>
  <si>
    <t>KZN Growth Fund Trust</t>
  </si>
  <si>
    <t>https://www.etenders.gov.za/home/Download/?blobName=0c519a0b-fea6-498f-bf98-6063cedc7127.pdf&amp;downloadedFileName=Request%20for%20Quotation%20-%20Key%20Individual_final%20signed.pdf</t>
  </si>
  <si>
    <t>RFI/OBP003/2026/27</t>
  </si>
  <si>
    <t>REQUEST FOR INFORMATION - WATER SYSTEMS SOLUTION FOR ONDERSTEPOORT BIOLOGICAL PRODUCTS (OBP)</t>
  </si>
  <si>
    <t>https://www.etenders.gov.za/home/Download/?blobName=3ce35ee4-ad37-4891-a019-9f01832caeb8.pdf&amp;downloadedFileName=Solicitation%20ID%20RFI_OBP003_2026_27%20Request%20for%20Information%20Jun%2019%202026.pdf</t>
  </si>
  <si>
    <t>RFI/OBP002/2026/27</t>
  </si>
  <si>
    <t>REQUEST FOR INFORMATION - SOLAR ENERGY ELECTRICITY GENERATING, MANAGEMENT, STORAGE AND DISTRIBUTION SOLUTION FOR ONDERSTEPOORT</t>
  </si>
  <si>
    <t>https://www.etenders.gov.za/home/Download/?blobName=e2450024-744d-4e6c-ae3a-269efabd4e5a.pdf&amp;downloadedFileName=Solicitation%20ID%20RFI_OBP002_2026_27%20Request%20for%20Information%20Jun%2019%202026.pdf</t>
  </si>
  <si>
    <t>RFQ/HUM/26/27/061</t>
  </si>
  <si>
    <t>Request for Business Process Mapping Services</t>
  </si>
  <si>
    <t>Manufacturing, Engineering and Related Services SETA (merSETA)</t>
  </si>
  <si>
    <t>https://www.etenders.gov.za/home/Download/?blobName=96d822e8-a1a5-4da8-82ed-4408caf89e3e.pdf&amp;downloadedFileName=Request%20for%20Business%20Process%20Mapping%20Services.pdf</t>
  </si>
  <si>
    <t>RFQ No.: 289579/SK/2026</t>
  </si>
  <si>
    <t>The Appointment of a Service Provider for the Provision of Designated Aviation Medical Examiner (Dame) Services for South African National Parks (SANParks) Flight Crew Based in the Kruger National Park</t>
  </si>
  <si>
    <t>South African National Parks</t>
  </si>
  <si>
    <t>https://www.etenders.gov.za/home/Download/?blobName=814f87b6-aa9e-4821-9dc9-6128ed3bde50.pdf&amp;downloadedFileName=SANParks%20RFQ%20No.289579_Designated%20Aviation%20Medical%20Examiner_Air%20Services_19.06.2026.pdf</t>
  </si>
  <si>
    <t>ER - N 2509</t>
  </si>
  <si>
    <t>REQUEST FOR SUPPLY AND DELIVERY OF 24 DESKTOPS AND 09 LAPTOPS FOR ETHEKWINI NORTH DISTRICT TO BE DELEVERED AT 16 DR. GOONAM STREET – DURBAN. CONTACT PERSON – MS NTOMBIZONKE ZULU – 031 336 8865 / 071 353 7845</t>
  </si>
  <si>
    <t>https://www.etenders.gov.za/home/Download/?blobName=58cc0ae3-9a02-4b41-a1d9-79d19c3334cc.pdf&amp;downloadedFileName=ER-%20N%202509.pdf</t>
  </si>
  <si>
    <t>Pastel026</t>
  </si>
  <si>
    <t>REQUEST FOR QUOTE TO APPOINT A PASTEL PARTNER CONSULTANT FOR A PERIOD OF FIVE (05) YEARS.</t>
  </si>
  <si>
    <t>National Museum Bloemfontein</t>
  </si>
  <si>
    <t>https://www.etenders.gov.za/home/Download/?blobName=f86312f2-9f04-4a0e-86e3-0e8ef2dd0ff8.pdf&amp;downloadedFileName=RFQ%20TO%20APPOINT%20A%20PASTEL%20CONSULTANT%20FOR%205%20YEARS%2022%2006%202026.pdf</t>
  </si>
  <si>
    <t>SCMU10-26/27-0005</t>
  </si>
  <si>
    <t>ERRATUM_PROVISIONING OF NETWORK EQUIPMENT AND CABLING SERVICES THE DEPARTMENT OF TRANSPORT FOR A PERIOD OF THIRTY-SIX (36) MONTHS</t>
  </si>
  <si>
    <t>https://www.etenders.gov.za/home/Download/?blobName=3d893252-e00f-4b54-9ad5-41c5d29f25da.pdf&amp;downloadedFileName=ERRATUM%20NOTICE%20-%20SCMU10-2526-0005.pdf</t>
  </si>
  <si>
    <t>Q 2026/036</t>
  </si>
  <si>
    <t>PROVIDE CATERING AND DÉCOR FOR CAPE WINELANDS DISTRICT PHENOMENAL WOMEN AWARDS</t>
  </si>
  <si>
    <t>Cape Winelands District Municipality</t>
  </si>
  <si>
    <t>https://www.etenders.gov.za/home/Download/?blobName=22a500ca-0aab-4b1b-977c-4e081a313b8d.pdf&amp;downloadedFileName=Q2026%20036%20DOC.pdf</t>
  </si>
  <si>
    <t>Q 2026/043</t>
  </si>
  <si>
    <t>WEBSITE MAINTENANCE AND SUPPORT ON A MONTH-TO- MONTH BASIS</t>
  </si>
  <si>
    <t>https://www.etenders.gov.za/home/Download/?blobName=d8c4c347-b3d9-4653-af4f-b0ca55fce05d.pdf&amp;downloadedFileName=Q2026%20043%20DOC%20.pdf</t>
  </si>
  <si>
    <t>Q 2026/045</t>
  </si>
  <si>
    <t>APPOINTMENT OF A SERVICE PROVIDER TO FACILITATE STAKEHOLDER WORKSHOP(S) TO SIMULATE THE MUNICIPAL DISASTER MANAGEMENT PLAN AND DEVELOP STANDARD OPERATING PROCEDURES FOR EMERGENCY RESPONSE FOR THE PERIOD ENDING 30 JUNE 2027</t>
  </si>
  <si>
    <t>https://www.etenders.gov.za/home/Download/?blobName=db2a8296-d195-470d-91c7-38482b1d5557.pdf&amp;downloadedFileName=Q2026%20045%20DOC.pdf</t>
  </si>
  <si>
    <t>Q 2026/047</t>
  </si>
  <si>
    <t>PROFESSIONAL SERVICES – PROPERTY VALUATIONS FOR DISPOSAL OR LEASING PURPOSES</t>
  </si>
  <si>
    <t>https://www.etenders.gov.za/home/Download/?blobName=43b0e267-6805-41f3-90f8-99502717860a.pdf&amp;downloadedFileName=Q2026%20047%20DOC.pdf</t>
  </si>
  <si>
    <t>IZIKORFQFINRISK 12/06/2026</t>
  </si>
  <si>
    <t>REQUEST FOR QUOTATION (RFQ) FOR A RISK MANAGEMENT WORKSHOP, RISK MATURITY ASSESSMENT AND COMBINED ASSURANCE REVIEW SERVICES</t>
  </si>
  <si>
    <t>Iziko Museums of Cape Town</t>
  </si>
  <si>
    <t>https://www.etenders.gov.za/home/Download/?blobName=1b47381a-4864-40e0-9f8c-6c4d2c1598c5.pdf&amp;downloadedFileName=Risk%20Assessment%20RFQ.pdf</t>
  </si>
  <si>
    <t>RFQ 03/05/2026666</t>
  </si>
  <si>
    <t>APPOINTMENT OF SERVICE PROVIDER FOR SOIL CONTAMINATION AND CLASSIFICATION TESTS (CHEMICAL ANALYSIS)</t>
  </si>
  <si>
    <t>Kwa-Zulu Natal - Ezemvelo KwaZulu-Natal Wildlife</t>
  </si>
  <si>
    <t>https://www.etenders.gov.za/home/Download/?blobName=0b2a6b94-292c-4798-a9ab-b7fc38262d33.pdf&amp;downloadedFileName=SBD%20SOIL%20CONTAMINATION%20AND%20CLASSIFICATION%20TESTS%20(002).pdf</t>
  </si>
  <si>
    <t>R-8/3/2-38/2026</t>
  </si>
  <si>
    <t>SUPPLY/DEVELOPMENT, CUSTOMIZATION, DELIVERY AND IMPLEMENTATION OF AN ECL (EXPECTED CREDIT LOSS) MODEL IN TERMS OF GRAP 104 FOR FINANCIAL YEAR ENDING 30 JUNE 2026</t>
  </si>
  <si>
    <t>Govan Mbeki Local Municipality</t>
  </si>
  <si>
    <t>https://www.etenders.gov.za/home/Download/?blobName=65c0aa02-6c87-41ba-9aac-888b86b6cd79.pdf&amp;downloadedFileName=ECL%20Advert.pdf</t>
  </si>
  <si>
    <t>SCMU3-P26/27-0104-HO</t>
  </si>
  <si>
    <t>PROVISIONING OF SERVICE: FOR PLAY THERAPY FOR 40 OFFICIALS (SOCIAL WORKERS AND REGISTERED COUNSELLORS)</t>
  </si>
  <si>
    <t>Eastern Cape - Health</t>
  </si>
  <si>
    <t>https://www.etenders.gov.za/home/Download/?blobName=b764fa57-0b89-4dc2-92d1-3fba2be814ca.pdf&amp;downloadedFileName=PLAY%20THERAPY%20%2019.06.2026%20TN%20(1)%20Edited.pdf</t>
  </si>
  <si>
    <t>OTP-26/27-137</t>
  </si>
  <si>
    <t>Appointment of a service provider to deliver specialized online training in Artificial Intelligence for Human Recourses</t>
  </si>
  <si>
    <t>Eastern Cape - Officer of the Premier</t>
  </si>
  <si>
    <t>https://www.etenders.gov.za/home/Download/?blobName=313c310a-d002-4696-8e54-0227a265cbf6.pdf&amp;downloadedFileName=Human%20resources%20online%20courses.pdf</t>
  </si>
  <si>
    <t>00100220706OR</t>
  </si>
  <si>
    <t>Supply and Delivery of Vouchers</t>
  </si>
  <si>
    <t>Medical Research Council of South Africa</t>
  </si>
  <si>
    <t>https://www.etenders.gov.za/home/Download/?blobName=6b2ddf1e-ec43-4993-93be-4b661942dcea.pdf&amp;downloadedFileName=220706%20-%20specifications.pdf</t>
  </si>
  <si>
    <t>RFQ NHC/2026/27/008</t>
  </si>
  <si>
    <t>APPOINTMENT OF A PROFESSIONAL SERVICE PROVIDER TO DEVELOP A FUNDING, RESOURCE MOBILISATION AND REVENUE ENHANCEMENT STRATEGY FOR THE NATIONAL HERITAGE COUNCIL (NHC) FOR A PERIOD OF THREE (3) MONTHS</t>
  </si>
  <si>
    <t>National Heritage Council of South Africa</t>
  </si>
  <si>
    <t>https://www.etenders.gov.za/home/Download/?blobName=7f5794e8-db11-40a1-aced-d61ecbf3c854.pdf&amp;downloadedFileName=RFQ%20NHC-2026-27-008%20-%20Funding,%20Resource%20Mobilisation%20Strategy.pdf</t>
  </si>
  <si>
    <t>1224221</t>
  </si>
  <si>
    <t>APPOINTMENT OF A SERVICE PROVIDER FOR A RESPONSE HANDLING FOR 8 580 APPLICATIONS MMSEZ SOC INTERNSHIP PROGRAMME</t>
  </si>
  <si>
    <t>https://www.etenders.gov.za/home/Download/?blobName=8b7cc0b4-7117-4c6a-a841-c446f8e592b3.pdf&amp;downloadedFileName=Annexure%20A-%20ToR%20Response%20handling%20(SP).pdf</t>
  </si>
  <si>
    <t>MSI161/2026</t>
  </si>
  <si>
    <t>Provision of Borehole Drilling and Construction at Mahlabathini, Kwa-Ceza Area</t>
  </si>
  <si>
    <t>Msinsi Holding (SOC)</t>
  </si>
  <si>
    <t>KwaMphindangene Royal Council – Mahlabathini Area- Zululand District Municipality.</t>
  </si>
  <si>
    <t>https://www.etenders.gov.za/home/Download/?blobName=2a32a3d0-03f5-4212-b6c1-7c270928c703.pdf&amp;downloadedFileName=MSI61-2026%20-%20Provision%20of%20borehole%20Drilling%20and%20Construction.pdf</t>
  </si>
  <si>
    <t>RFP 10-06-2026</t>
  </si>
  <si>
    <t>APPOINTMENT OF A SERVICE PROVIDER TO PROVIDE MEDIA MONITORING SERVICES TO THE CROSS-BORDER ROAD TRANSPORT AGENCY (C-BRTA) FOR A PERIOD OF TWENTY-FOUR (24) MONTHS</t>
  </si>
  <si>
    <t>https://www.etenders.gov.za/home/Download/?blobName=503d95db-109f-4a04-8eef-5216689040a9.pdf&amp;downloadedFileName=RFP%20%2010-06-2026%20Appointment%20of%20a%20service%20provider%20for%20media%20monitoring.pdf</t>
  </si>
  <si>
    <t>SCMU3-P26/27-0101-HO</t>
  </si>
  <si>
    <t>PROVISIONING OF SERVICE: INFECTION PREVENTION AND CONTROL FOR 40 ECDOH IPC COORDINATORS.</t>
  </si>
  <si>
    <t>https://www.etenders.gov.za/home/Download/?blobName=784558d4-87f2-44b5-90bb-3f266c41b37e.pdf&amp;downloadedFileName=Infection%20Prvention%20and%20control%2019.06%202026%20TN%20(4).pdf</t>
  </si>
  <si>
    <t>SCMU3-P26/27/-0102-HO</t>
  </si>
  <si>
    <t>PROVISIONING OF SERVICE: SPECIFICATION FOR TRAINING OF STAFF OF THE EAST LONDON, PORT ELIZABETH AND MTHATHA ORTHOTIC AND PROSTHETIC CENTRES IN SPINAL CORRECTIVE BRACING</t>
  </si>
  <si>
    <t>https://www.etenders.gov.za/home/Download/?blobName=820c96e2-8bfa-45c4-b20c-89902b630038.pdf&amp;downloadedFileName=ORTHOTISTS%20PROSTHETISTS%2019.06.2026%20(1)%20TN%20Edited.pdf</t>
  </si>
  <si>
    <t>SCMU3-P26/27-0103-HO</t>
  </si>
  <si>
    <t>PROVISIONING OF SERVICE: PERINATAL TRAINING PROGRAM: K2 (WEB BASED, INTERACTIVE CARDIOTOCOGRAPHY AND FETAL MONITORING)</t>
  </si>
  <si>
    <t>https://www.etenders.gov.za/home/Download/?blobName=5a1761e0-f012-4b96-aa91-5e056dcf49da.pdf&amp;downloadedFileName=PERINATAL%20TRAINING%20(%20K2)%2019.06.2026%20(2).pdf</t>
  </si>
  <si>
    <t>RFQ111/26/27</t>
  </si>
  <si>
    <t>REQUEST TO APPOINT SOUTH AFRICAN SOCIETY TO RPOVIDE A QUOTE FOR 2 OFFICIALS ON SASLAW ANNUAL NATIONAL CONFERENCE IN JOHANNESBURG ON THE 16-17 SEPTEMBER 2026.</t>
  </si>
  <si>
    <t>Limpopo - Public Works</t>
  </si>
  <si>
    <t>https://www.etenders.gov.za/home/Download/?blobName=1f64e788-6c81-448b-892d-73cbf684416a.docx&amp;downloadedFileName=RFQ%20111.docx</t>
  </si>
  <si>
    <t>RFQJW075KM26</t>
  </si>
  <si>
    <t>Design, fabricate, supply, install and commission</t>
  </si>
  <si>
    <t>https://www.etenders.gov.za/home/Download/?blobName=8043a6ef-95d8-440e-b525-f524e0a8997c.pdf&amp;downloadedFileName=RFQJW075KM26-Design,%20fabricate,%20supply,%20install%20and%20commission.pdf</t>
  </si>
  <si>
    <t>RFQJW076KM26</t>
  </si>
  <si>
    <t>On-site verification of water meters</t>
  </si>
  <si>
    <t>https://www.etenders.gov.za/home/Download/?blobName=0f13992b-afbc-42c0-ba6a-65bc75407e87.pdf&amp;downloadedFileName=RFQJW076KM26-New%20-%20Copy.pdf</t>
  </si>
  <si>
    <t>RGQ0001228</t>
  </si>
  <si>
    <t>Request to appoint a service provider (SP) to provide the Fisheries Management branch of the Department of Forestry, Fisheries and the Environment (DFFE) /MLRF to undertake chemical analysis of fish samples and submit the test results to the DFFE for a period of 12 months.</t>
  </si>
  <si>
    <t>Marine Living Resources Fund</t>
  </si>
  <si>
    <t>https://www.etenders.gov.za/home/Download/?blobName=f63a482a-fc55-40cc-ae44-8c4a36574d6d.pdf&amp;downloadedFileName=RFQ0001228.pdf</t>
  </si>
  <si>
    <t>RFQ0SEC: Kur/01 26/27</t>
  </si>
  <si>
    <t>The Department of Employment and Labour: Northern Cape Provincial Office requires a security company to provide security services for 8 months at Kuruman Labour Centre</t>
  </si>
  <si>
    <t>National - Employment and Labour</t>
  </si>
  <si>
    <t>https://www.etenders.gov.za/home/Download/?blobName=a0cabd47-9767-4c92-a714-3027c37231be.pdf&amp;downloadedFileName=Security%20RFQ%20Kuruman19-06-2026-150338.pdf</t>
  </si>
  <si>
    <t>RFQJW113TN26</t>
  </si>
  <si>
    <t>RFQJW113TN26 - TRAVEL AND ACCOMMODATION</t>
  </si>
  <si>
    <t>https://www.etenders.gov.za/home/Download/?blobName=f97269d4-b01d-4b71-8dda-a70595499343.pdf&amp;downloadedFileName=RFQJW113TN26%20-%20TRAVEL%20AND%20ACCOMMODATION.pdf</t>
  </si>
  <si>
    <t>RFQJW117TN26</t>
  </si>
  <si>
    <t>RFQJW117TN26 - SERVICING OF FIRE EXTINGUISHERS AND HOSE REELS</t>
  </si>
  <si>
    <t>https://www.etenders.gov.za/home/Download/?blobName=c23ef098-c79f-4792-aa66-2e1a658429e6.pdf&amp;downloadedFileName=RFQJW117TN26%20-%20SERVICING%20OF%20FIRE%20EXTINGUISHERS%20AND%20HOSE%20REELS.pdf</t>
  </si>
  <si>
    <t>RFQJW0073SM2026</t>
  </si>
  <si>
    <t>REVENUE MANAGEMENT LEAD EXPERT</t>
  </si>
  <si>
    <t>https://www.etenders.gov.za/home/Download/?blobName=da0a2e32-b151-4669-95ff-7ca668cd3701.pdf&amp;downloadedFileName=RFQJW0073SM2026%20-%20REVENUE%20MANAGEMENT%20LEAD%20EXPERTS.pdf</t>
  </si>
  <si>
    <t>RFQJW0074SM2026</t>
  </si>
  <si>
    <t>Service of meter test equipment at Flow Lab, Ffennell Road Depot</t>
  </si>
  <si>
    <t>https://www.etenders.gov.za/home/Download/?blobName=121d8d04-35d6-482f-b6c4-c5b49a366d61.pdf&amp;downloadedFileName=RFQJW0074SM2026%20%E2%80%93%20Service%20of%20meter%20test%20equipment%20at%20Flow%20Lab,%20Ffennell%20Road%20Depot.pdf</t>
  </si>
  <si>
    <t>E1826TGSERI</t>
  </si>
  <si>
    <t>OUTAGE, MAINTENANCE AND WORKSHOP SERVICES FOR A PERIOD OF 5 YEARS AS AND WHEN REQUIRED</t>
  </si>
  <si>
    <t>https://www.etenders.gov.za/home/Download/?blobName=c71de4c8-2e6d-444d-b94b-10451f496058.pdf&amp;downloadedFileName=SHEQ%20Requirements.pdf</t>
  </si>
  <si>
    <t>E1726TGSERI</t>
  </si>
  <si>
    <t>VALVES SERVICES CONTRACT FOR A PERIOD OF 5 YEARS AS AND WHEN REQUIRED</t>
  </si>
  <si>
    <t>https://www.etenders.gov.za/home/Download/?blobName=708a7410-49b2-4d8e-9d4e-08eb5ae9addb.xlsx&amp;downloadedFileName=Quality%20Assurence%20-240-12248652_List%20of%20Tender%20Returnables_Cat%204_%20Rev%207.xlsx</t>
  </si>
  <si>
    <t>RFP 26-27-04/MM</t>
  </si>
  <si>
    <t>To provide Guarding Services for the South African Post Office for a Maximum of (12) Mouths - Eastern Cape Province</t>
  </si>
  <si>
    <t>South African Post Office Limited</t>
  </si>
  <si>
    <t>https://us04web.zoom.us/j/75575365619?pwd=V84kwPkQYgx2nQ2BRDVXJk2kh0eBPo.1</t>
  </si>
  <si>
    <t>https://www.etenders.gov.za/home/Download/?blobName=85faab34-e7ed-4fec-a8b5-03cd0a4ae0ae.docx&amp;downloadedFileName=RFP%2026-27-04%20--%20Annexure%20BC%20%20Guarding%20Services%20for%20Eastern%20Cape%20Province.docx</t>
  </si>
  <si>
    <t>LDPWRI-BM/20654</t>
  </si>
  <si>
    <t>Appointment of contractors for supply, delivery, installation, repair and maintenance of HVAC systems and equipment across five districts for period of 36 months</t>
  </si>
  <si>
    <t>https://www.etenders.gov.za/home/Download/?blobName=79ab23eb-477b-48c8-bc53-d137e1a3b61f.pdf&amp;downloadedFileName=LDPWRI%20BM%2020654%20HVAC..pdf</t>
  </si>
  <si>
    <t>LDPWRI-P/20658.</t>
  </si>
  <si>
    <t>Acquisition/ Provisioning of office accommodation for the Department of Education: Hlanganani Circuit Office</t>
  </si>
  <si>
    <t>CAPRICORN DISTRICT NEXT CORRECTIONAL SERVICES OFFICE</t>
  </si>
  <si>
    <t>https://www.etenders.gov.za/home/Download/?blobName=5f1f6ab5-4892-4b31-aa5e-10180685941a.pdf&amp;downloadedFileName=LDPWRI-P20654%20OFFICE%20ACCOMMODATION.pdf</t>
  </si>
  <si>
    <t>T05-06-26</t>
  </si>
  <si>
    <t>Appointment of the service provider to provide the Executive Coaching for three years</t>
  </si>
  <si>
    <t>Land and Agricultural Development Bank of South Africa</t>
  </si>
  <si>
    <t>Link provided on the tender document</t>
  </si>
  <si>
    <t>https://www.etenders.gov.za/home/Download/?blobName=e2574f92-317b-44a3-8fb8-7d11c0ff099d.pdf&amp;downloadedFileName=ANNEXURE%20H%20-%20BRIBERY%20AND%20CORRUPTION%20DECLARATION.pdf</t>
  </si>
  <si>
    <t>Table 01</t>
  </si>
  <si>
    <t>Supply and delivery of Boardroom table</t>
  </si>
  <si>
    <t>Manufacture of furniture</t>
  </si>
  <si>
    <t>https://www.etenders.gov.za/home/Download/?blobName=f329ec1e-7fd4-4245-af1d-3b7843d6cfaf.docx&amp;downloadedFileName=RFQ%20number%20Tables%2001.docx</t>
  </si>
  <si>
    <t>BCM5-26/27-0013</t>
  </si>
  <si>
    <t>QUOTATION FOR THE APPOINTMENT OF A SUITABLE SERVICE PROVIDER TO RENDER TRAINING SERVICES FOR MASTERING ENGINEERING AND CONSTRUCTION CONTRACTS FOR EIGHT (08) OFFICIALS AS PER SPECIFICATION TO THE EASTERN CAPE DEPARTMENT OF PUBLIC WORKS &amp; INFRASTRUCTURE</t>
  </si>
  <si>
    <t>ECDPW.GOV.ZA</t>
  </si>
  <si>
    <t>Eastern Cape Department of Public Works and Infrastructure</t>
  </si>
  <si>
    <t>https://www.ecdpw.gov.za/wp-content/tender-uploads/bcm5-2627-0013.pdf</t>
  </si>
  <si>
    <t>SCMU5-26/27-0035</t>
  </si>
  <si>
    <t>Request for Bid</t>
  </si>
  <si>
    <t>APPOINTMENT OF SERVICE PROVIDER FOR THE PROVISION OF ADEQUATE OFFICE ACCOMMODATION WITHIN MTHATHA CENTRAL BUSINESS DISTRICT - DEPARTMENT OF AGRICULTURE</t>
  </si>
  <si>
    <t>https://www.ecdpw.gov.za/wp-content/tender-uploads/department-of-agriculture--mthatha-cbd--final-0035.pdf</t>
  </si>
  <si>
    <t>SCMU5-26/27-0034</t>
  </si>
  <si>
    <t>APPOINTMENT OF SERVICE PROVIDER FOR THE PROVISION OF ADEQUATE OFFICE ACCOMMODATION WITHIN MTHATHA CENTRAL BUSINESS DISTRICT - DEPARTMENT OF SOCIAL DEVELOPMENT: DISTRICT OFFICE</t>
  </si>
  <si>
    <t>https://www.ecdpw.gov.za/wp-content/tender-uploads/department-of-social-development-district-office--mthatha-cbd--final-0034.pdf</t>
  </si>
  <si>
    <t>SCMU5-26/27-0029</t>
  </si>
  <si>
    <t>TAFALOFEFE HOSPITAL: WATER AND WASTEWATER TREATMENT WORKS</t>
  </si>
  <si>
    <t>https://www.ecdpw.gov.za/wp-content/tender-uploads/scmu5-2627-0029_-tafalofefe-hospital--water-and-wastewater-treatment-works-.pdf</t>
  </si>
  <si>
    <t>SCMU5-26/27-0033</t>
  </si>
  <si>
    <t>APPOINTMENT OF SERVICE PROVIDER FOR THE PROVISION OF ADEQUATE OFFICE ACCOMMODATION WITHIN MTHATHA CENTRAL BUSINESS DISTRICT - DEPARTMENT OF TRANSPORT</t>
  </si>
  <si>
    <t>https://www.ecdpw.gov.za/wp-content/tender-uploads/department-of-transport--mthatha-cbd--final-0033.pdf</t>
  </si>
  <si>
    <t>SCMU5-26/27-0032</t>
  </si>
  <si>
    <t>APPOINTMENT OF SERVICE PROVIDER FOR THE PROVISION OF ADEQUATE OFFICE ACCOMMODATION WITHIN MTHATHA CENTRAL BUSINESS DISTRICT - DEPARTMENT OF SOCIAL DEVELOPMENT: LOCAL AREA OFFICE</t>
  </si>
  <si>
    <t>https://www.ecdpw.gov.za/wp-content/tender-uploads/department-of-social-development-local-area-office--mthatha-cbd--final-0032.pdf</t>
  </si>
  <si>
    <t>SCMU5-26/27-0009</t>
  </si>
  <si>
    <t>ERRATUM: TERM CONTRACT FOR MANAGEMENT AND ADMINISTERING PAYMENT OF MONTHLYSTIPEND FOR EPWP PARTICIPANTS FOR A PERIOD OF 3 YEARS.</t>
  </si>
  <si>
    <t>https://www.ecdpw.gov.za/wp-content/tender-uploads/erratum-scmu5-26-27-0009.pdf</t>
  </si>
  <si>
    <t>SCMU5-26/27-0002</t>
  </si>
  <si>
    <t>EXPRESSION OF INTEREST FOR A PANEL OF TRAINING PROVIDERS FOR EPWP PROGRAMMES FOR A PERIOD OF THREE (3) YEARS.</t>
  </si>
  <si>
    <t>https://www.ecdpw.gov.za/wp-content/tender-uploads/0002-9.pdf</t>
  </si>
  <si>
    <t>SCMU5-26/27-0022</t>
  </si>
  <si>
    <t>BID FOR THE APPOINTMENT OF SERVICE PROVIDER FOR THE RENEWAL OF SUPPORT AND MAINTENANCE FOR DISASTER RECOVERY AND MANAGED BACKUP SERVICES INCLUDING LICENSES FOR A PERIOD OF 24 MONTHS AS PER SPECIFICATION</t>
  </si>
  <si>
    <t>https://www.ecdpw.gov.za/wp-content/tender-uploads/scmu5-26-27-0022.pdf</t>
  </si>
  <si>
    <t>BCM5-26/27-0012</t>
  </si>
  <si>
    <t>QUOTATION FOR SUPPLY, DELIVERY AND DECANTING OF DIESEL AT AMALINDA OFFICES AS PER SPECIFICATION FROM DEPARTMENT OF PUBLIC WORKS AND INFRASTRUCTURE</t>
  </si>
  <si>
    <t>https://www.ecdpw.gov.za/wp-content/tender-uploads/bcm5-26-27-0012-quotation-for-supply-delivery-and-decanting-of-diesel-at---amalinda-offices-as-per-specification-from-department-of-public-works-and-infrastructure-.pdf</t>
  </si>
  <si>
    <t>ALF5-26/27-0004</t>
  </si>
  <si>
    <t>TWO YEAR TERM CONTRACT FOR SUPPLY, SERVICING, REPAIRS AND MAINTENANCE OF GENERAL BUILDING FOR ALFRED NZO DISTRICT</t>
  </si>
  <si>
    <t>https://www.ecdpw.gov.za/wp-content/tender-uploads/alf5-26-27-0004-term-contract-gaeneral-building.pdf</t>
  </si>
  <si>
    <t>ALF5-26/27-0003</t>
  </si>
  <si>
    <t>TWO YEAR TERM CONTRACT FOR SUPPLY, SERVICING, REPAIRS AND MAINTENANCE OF PLUMBING AND DRAINAGE EQUIPMENT IN ALFRED NZO DISTRICT</t>
  </si>
  <si>
    <t>https://www.ecdpw.gov.za/wp-content/tender-uploads/alf5-26-27-0003-term-contract-plumbing.pdf</t>
  </si>
  <si>
    <t>ALF5-26/27-0002</t>
  </si>
  <si>
    <t>TWO YEAR TERM CONTRACT FOR SUPPLY, SERVICING, REPAIRS AND MAINTENANCE OF ELECTRICAL EQUIPMENT FOR ALFRED NZO DISTRICT</t>
  </si>
  <si>
    <t>https://www.ecdpw.gov.za/wp-content/tender-uploads/alf5-26-27-0002-term-contract-electical.pdf</t>
  </si>
  <si>
    <t>Training on People 300 Skills Development and Emplyment Equity for 5 Employees</t>
  </si>
  <si>
    <t>NTABANKULU.GOV.ZA</t>
  </si>
  <si>
    <t>https://www.ntabankulu.gov.za/2026/06/19/training-on-people-300-skills-development-and-emplyment-equity-for-5-employees/</t>
  </si>
  <si>
    <t>Bid Invitation for Construction of Tsweleni AR and Gxwaleni Concrete Slab</t>
  </si>
  <si>
    <t>https://www.ntabankulu.gov.za/2026/06/19/bid-invitation-for-construction-of-tsweleni-ar-and-gxwaleni-concrete-slab/</t>
  </si>
  <si>
    <t>CLOSING REGISTER FOR SUPPLY AND DELIVERY OF DIESEL</t>
  </si>
  <si>
    <t>https://www.ntabankulu.gov.za/2026/06/17/closing-register-for-supply-and-delivery-of-diesel/</t>
  </si>
  <si>
    <t>CLOSING REGISTER FOR PROVISION OF SECURITY SERVICES</t>
  </si>
  <si>
    <t>https://www.ntabankulu.gov.za/2026/06/17/closing-register-for-provision-of-security-services/</t>
  </si>
  <si>
    <t>TENDER DOCUMENTFOR 3 YEAR FRAMEWORK CONTRACT OF 05 ROAD MAINTENANCE CONTRACTORS</t>
  </si>
  <si>
    <t>https://www.ntabankulu.gov.za/2026/06/10/tender-documentfor-3-year-framework-contract-of-05-road-maintenance-contractors/</t>
  </si>
  <si>
    <t>Closing Register for Construction of Fenced Mathole Pre-School with Ablution Facilities</t>
  </si>
  <si>
    <t>https://www.ntabankulu.gov.za/2026/06/03/closing-register-for-construction-of-fenced-mathole-pre-school-with-ablution-facilities/</t>
  </si>
  <si>
    <t>Bid Invitation for Electrification and Maintenance Contractors</t>
  </si>
  <si>
    <t>https://www.ntabankulu.gov.za/2026/05/29/bid-invitation-for-electrification-and-maintenance-contractors/</t>
  </si>
  <si>
    <t>Supply and Delivery of Kid’s Learning Gadgets</t>
  </si>
  <si>
    <t>https://www.ntabankulu.gov.za/2026/05/29/supply-and-delivery-of-kids-learning-gadgets-2/</t>
  </si>
  <si>
    <t>Closing Register for Construction of Rwantsana Community Hall</t>
  </si>
  <si>
    <t>https://www.ntabankulu.gov.za/2026/05/26/closing-register-for-construction-of-rwantsana-community-hall/</t>
  </si>
  <si>
    <t>Supply and Delivery of Diesel for 12 Months</t>
  </si>
  <si>
    <t>https://www.ntabankulu.gov.za/2026/05/21/supply-and-delivery-of-diesel-for-12-months/</t>
  </si>
  <si>
    <t>WEBSITE HOSTING AND MAINTENANCE SERVICES FOR UMZIMVUBU LOCAL MUNICIPALITY FOR A PERIOD OF 3 YEARS (1)</t>
  </si>
  <si>
    <t>UMZIMVUBU.GOV.ZA</t>
  </si>
  <si>
    <t>Umzimvubu Local Municipality</t>
  </si>
  <si>
    <t>https://www.umzimvubu.gov.za/wp-content/uploads/2025/02/WEBSITE-HOSTING-AND-MAINTENANCE-SERVICES-FOR-UMZIMVUBU-LOCAL-MUNICIPALITY-FOR-A-PERIOD-OF-3-YEARS-1.pdf</t>
  </si>
  <si>
    <t>Umndini Tender Document 1</t>
  </si>
  <si>
    <t>https://www.umzimvubu.gov.za/wp-content/uploads/2025/02/Umndini-Tender-Document-1.pdf</t>
  </si>
  <si>
    <t>Umndini Contract Section 2</t>
  </si>
  <si>
    <t>https://www.umzimvubu.gov.za/wp-content/uploads/2025/02/Umndini-Contract-Section-2.pdf</t>
  </si>
  <si>
    <t>UMNDINI BOQ</t>
  </si>
  <si>
    <t>https://www.umzimvubu.gov.za/wp-content/uploads/2025/02/UMNDINI-BOQ.pdf</t>
  </si>
  <si>
    <t>TENDER DOCUMENT-SUPPLY AND DELIVERY OF CLEANING MATERIAL AT UMZIMVUBU LOCAL MUNICIPALITY FOR THE PERIOD OF 3 YEARS</t>
  </si>
  <si>
    <t>https://www.umzimvubu.gov.za/wp-content/uploads/2025/02/TENDER-DOCUMENT-SUPPLY-AND-DELIVERY-OF-CLEANING-MATERIAL-AT-UMZIMVUBU-LOCAL-MUNICIPALITY-FOR-THE-PERIOD-OF-3-YEARS.pdf</t>
  </si>
  <si>
    <t>Tender Document-Provision of Vetting and Screening Services</t>
  </si>
  <si>
    <t>https://www.umzimvubu.gov.za/wp-content/uploads/2025/02/Tender-Document-Provision-of-Vetting-and-Screening-Services.pdf</t>
  </si>
  <si>
    <t>Tender Document-Provision of Vetting and Screening Services (1)</t>
  </si>
  <si>
    <t>https://www.umzimvubu.gov.za/wp-content/uploads/2025/02/Tender-Document-Provision-of-Vetting-and-Screening-Services-1.pdf</t>
  </si>
  <si>
    <t>Tender Document-Panel of Service Providers for Training Services</t>
  </si>
  <si>
    <t>https://www.umzimvubu.gov.za/wp-content/uploads/2025/02/Tender-Document-Panel-of-Service-Providers-for-Training-Services.pdf</t>
  </si>
  <si>
    <t>Tender Document-COMPLETION OF ELECTRIFICATION IN VARIOUS WARDS THROUGH TURNKEY APPROACH</t>
  </si>
  <si>
    <t>https://www.umzimvubu.gov.za/wp-content/uploads/2025/02/Tender-Document-COMPLETION-OF-ELECTRIFICATION-IN-VARIOUS-WARDS-THROUGH-TURNKEY-APPROACH.pdf</t>
  </si>
  <si>
    <t>Tender Document</t>
  </si>
  <si>
    <t>https://www.umzimvubu.gov.za/wp-content/uploads/2025/02/Tender-Document.pdf</t>
  </si>
  <si>
    <t>Sodladla Tender Document 1</t>
  </si>
  <si>
    <t>https://www.umzimvubu.gov.za/wp-content/uploads/2025/02/Sodladla-Tender-Document-1.pdf</t>
  </si>
  <si>
    <t>Sodladla Contract Section 2</t>
  </si>
  <si>
    <t>https://www.umzimvubu.gov.za/wp-content/uploads/2025/02/Sodladla-Contract-Section-2.pdf</t>
  </si>
  <si>
    <t>SODLADLA BOQ</t>
  </si>
  <si>
    <t>https://www.umzimvubu.gov.za/wp-content/uploads/2025/02/SODLADLA-BOQ.pdf</t>
  </si>
  <si>
    <t>Nkungwini Tender Document 1</t>
  </si>
  <si>
    <t>https://www.umzimvubu.gov.za/wp-content/uploads/2025/02/Nkungwini-Tender-Document-1.pdf</t>
  </si>
  <si>
    <t>Nkungwini Contract Section 2</t>
  </si>
  <si>
    <t>https://www.umzimvubu.gov.za/wp-content/uploads/2025/02/Nkungwini-Contract-Section-2.pdf</t>
  </si>
  <si>
    <t>NKUNGWINI BOQ</t>
  </si>
  <si>
    <t>https://www.umzimvubu.gov.za/wp-content/uploads/2025/02/NKUNGWINI-BOQ.pdf</t>
  </si>
  <si>
    <t>Ndindindi Tender Document 1</t>
  </si>
  <si>
    <t>https://www.umzimvubu.gov.za/wp-content/uploads/2025/02/Ndindindi-Tender-Document-1.pdf</t>
  </si>
  <si>
    <t>Ndindindi Contract Section 2</t>
  </si>
  <si>
    <t>https://www.umzimvubu.gov.za/wp-content/uploads/2025/02/Ndindindi-Contract-Section-2.pdf</t>
  </si>
  <si>
    <t>Ndindindi BOQ</t>
  </si>
  <si>
    <t>https://www.umzimvubu.gov.za/wp-content/uploads/2025/02/Ndindindi-BOQ.pdf</t>
  </si>
  <si>
    <t>Mnaxiweni Tender Document</t>
  </si>
  <si>
    <t>https://www.umzimvubu.gov.za/wp-content/uploads/2025/02/Mnaxiweni-Tender-Document.pdf</t>
  </si>
  <si>
    <t>maphakama Tender Document 1</t>
  </si>
  <si>
    <t>https://www.umzimvubu.gov.za/wp-content/uploads/2025/02/maphakama-Tender-Document-1.pdf</t>
  </si>
  <si>
    <t>Maphakama Contract Section 2</t>
  </si>
  <si>
    <t>https://www.umzimvubu.gov.za/wp-content/uploads/2025/02/Maphakama-Contract-Section-2.pdf</t>
  </si>
  <si>
    <t>Maphakama BOQ</t>
  </si>
  <si>
    <t>https://www.umzimvubu.gov.za/wp-content/uploads/2025/02/Maphakama-BOQ.pdf</t>
  </si>
  <si>
    <t>Manxiweni Contract Section</t>
  </si>
  <si>
    <t>https://www.umzimvubu.gov.za/wp-content/uploads/2025/02/Manxiweni-Contract-Section.pdf</t>
  </si>
  <si>
    <t>mamtwani Tender Document</t>
  </si>
  <si>
    <t>https://www.umzimvubu.gov.za/wp-content/uploads/2025/02/mamtwani-Tender-Document.pdf</t>
  </si>
  <si>
    <t>Mamtwani Contract Section</t>
  </si>
  <si>
    <t>https://www.umzimvubu.gov.za/wp-content/uploads/2025/02/Mamtwani-Contract-Section.pdf</t>
  </si>
  <si>
    <t>Gravel Road S-W Pipe Backfill-shallow- detail5</t>
  </si>
  <si>
    <t>https://www.umzimvubu.gov.za/wp-content/uploads/2025/02/Gravel-Road-S-W-Pipe-Backfill-shallow-detail5.pdf</t>
  </si>
  <si>
    <t>Gravel Road S-W Pipe Backfill-shallow- detail4</t>
  </si>
  <si>
    <t>https://www.umzimvubu.gov.za/wp-content/uploads/2025/02/Gravel-Road-S-W-Pipe-Backfill-shallow-detail4.pdf</t>
  </si>
  <si>
    <t>Gravel Road S-W Pipe Backfill-shallow- detail3</t>
  </si>
  <si>
    <t>https://www.umzimvubu.gov.za/wp-content/uploads/2025/02/Gravel-Road-S-W-Pipe-Backfill-shallow-detail3.pdf</t>
  </si>
  <si>
    <t>Gravel Road S-W Pipe Backfill-shallow- detail3 (1)</t>
  </si>
  <si>
    <t>https://www.umzimvubu.gov.za/wp-content/uploads/2025/02/Gravel-Road-S-W-Pipe-Backfill-shallow-detail3-1.pdf</t>
  </si>
  <si>
    <t>Gravel Road S-W Pipe Backfill-shallow- detail2</t>
  </si>
  <si>
    <t>https://www.umzimvubu.gov.za/wp-content/uploads/2025/02/Gravel-Road-S-W-Pipe-Backfill-shallow-detail2.pdf</t>
  </si>
  <si>
    <t>Gravel Road S-W Pipe Backfill-shallow- detail1</t>
  </si>
  <si>
    <t>https://www.umzimvubu.gov.za/wp-content/uploads/2025/02/Gravel-Road-S-W-Pipe-Backfill-shallow-detail1.pdf</t>
  </si>
  <si>
    <t>Gravel Road S-W Pipe Backfill-shallow- detail</t>
  </si>
  <si>
    <t>https://www.umzimvubu.gov.za/wp-content/uploads/2025/02/Gravel-Road-S-W-Pipe-Backfill-shallow-detail.pdf</t>
  </si>
  <si>
    <t>Gravel Road S-W Inlet detail5</t>
  </si>
  <si>
    <t>https://www.umzimvubu.gov.za/wp-content/uploads/2025/02/Gravel-Road-S-W-Inlet-detail5.pdf</t>
  </si>
  <si>
    <t>Gravel Road S-W Inlet detail4</t>
  </si>
  <si>
    <t>https://www.umzimvubu.gov.za/wp-content/uploads/2025/02/Gravel-Road-S-W-Inlet-detail4.pdf</t>
  </si>
  <si>
    <t>Gravel Road S-W Inlet detail3</t>
  </si>
  <si>
    <t>https://www.umzimvubu.gov.za/wp-content/uploads/2025/02/Gravel-Road-S-W-Inlet-detail3.pdf</t>
  </si>
  <si>
    <t>Gravel Road S-W Inlet detail2</t>
  </si>
  <si>
    <t>https://www.umzimvubu.gov.za/wp-content/uploads/2025/02/Gravel-Road-S-W-Inlet-detail2.pdf</t>
  </si>
  <si>
    <t>Gravel Road S-W Inlet detail1</t>
  </si>
  <si>
    <t>https://www.umzimvubu.gov.za/wp-content/uploads/2025/02/Gravel-Road-S-W-Inlet-detail1.pdf</t>
  </si>
  <si>
    <t>Gravel Road S-W Inlet detail</t>
  </si>
  <si>
    <t>https://www.umzimvubu.gov.za/wp-content/uploads/2025/02/Gravel-Road-S-W-Inlet-detail.pdf</t>
  </si>
  <si>
    <t>Gravel headwall detail5</t>
  </si>
  <si>
    <t>https://www.umzimvubu.gov.za/wp-content/uploads/2025/02/Gravel-headwall-detail5.pdf</t>
  </si>
  <si>
    <t>Gravel headwall detail4</t>
  </si>
  <si>
    <t>https://www.umzimvubu.gov.za/wp-content/uploads/2025/02/Gravel-headwall-detail4.pdf</t>
  </si>
  <si>
    <t>Gravel headwall detail3</t>
  </si>
  <si>
    <t>https://www.umzimvubu.gov.za/wp-content/uploads/2025/02/Gravel-headwall-detail3.pdf</t>
  </si>
  <si>
    <t>Gravel headwall detail2</t>
  </si>
  <si>
    <t>https://www.umzimvubu.gov.za/wp-content/uploads/2025/02/Gravel-headwall-detail2.pdf</t>
  </si>
  <si>
    <t>Gravel headwall detail1</t>
  </si>
  <si>
    <t>https://www.umzimvubu.gov.za/wp-content/uploads/2025/02/Gravel-headwall-detail1.pdf</t>
  </si>
  <si>
    <t>Gravel headwall detail</t>
  </si>
  <si>
    <t>https://www.umzimvubu.gov.za/wp-content/uploads/2025/02/Gravel-headwall-detail.pdf</t>
  </si>
  <si>
    <t>FINAL BOQ MANXIWENI AR</t>
  </si>
  <si>
    <t>https://www.umzimvubu.gov.za/wp-content/uploads/2025/02/FINAL-BOQ-MANXIWENI-AR.pdf</t>
  </si>
  <si>
    <t>Cross-section_gravel5</t>
  </si>
  <si>
    <t>https://www.umzimvubu.gov.za/wp-content/uploads/2025/02/Cross-section_gravel5.pdf</t>
  </si>
  <si>
    <t>Cross-section_gravel4</t>
  </si>
  <si>
    <t>https://www.umzimvubu.gov.za/wp-content/uploads/2025/02/Cross-section_gravel4.pdf</t>
  </si>
  <si>
    <t>Cross-section_gravel3</t>
  </si>
  <si>
    <t>https://www.umzimvubu.gov.za/wp-content/uploads/2025/02/Cross-section_gravel3.pdf</t>
  </si>
  <si>
    <t>Cross-section_gravel2</t>
  </si>
  <si>
    <t>https://www.umzimvubu.gov.za/wp-content/uploads/2025/02/Cross-section_gravel2.pdf</t>
  </si>
  <si>
    <t>Cross-section_gravel1</t>
  </si>
  <si>
    <t>https://www.umzimvubu.gov.za/wp-content/uploads/2025/02/Cross-section_gravel1.pdf</t>
  </si>
  <si>
    <t>Cross-section_gravel</t>
  </si>
  <si>
    <t>https://www.umzimvubu.gov.za/wp-content/uploads/2025/02/Cross-section_gravel.pdf</t>
  </si>
  <si>
    <t>Cross-section_Concrete25</t>
  </si>
  <si>
    <t>https://www.umzimvubu.gov.za/wp-content/uploads/2025/02/Cross-section_Concrete25.pdf</t>
  </si>
  <si>
    <t>Cross-section_Concrete24</t>
  </si>
  <si>
    <t>https://www.umzimvubu.gov.za/wp-content/uploads/2025/02/Cross-section_Concrete24.pdf</t>
  </si>
  <si>
    <t>Cross-section_Concrete23</t>
  </si>
  <si>
    <t>https://www.umzimvubu.gov.za/wp-content/uploads/2025/02/Cross-section_Concrete23.pdf</t>
  </si>
  <si>
    <t>Cross-section_Concrete22</t>
  </si>
  <si>
    <t>https://www.umzimvubu.gov.za/wp-content/uploads/2025/02/Cross-section_Concrete22.pdf</t>
  </si>
  <si>
    <t>Cross-section_Concrete21</t>
  </si>
  <si>
    <t>https://www.umzimvubu.gov.za/wp-content/uploads/2025/02/Cross-section_Concrete21.pdf</t>
  </si>
  <si>
    <t>Cross-section_Concrete21 (1)</t>
  </si>
  <si>
    <t>https://www.umzimvubu.gov.za/wp-content/uploads/2025/02/Cross-section_Concrete21-1.pdf</t>
  </si>
  <si>
    <t>Cross-section_Concrete2</t>
  </si>
  <si>
    <t>https://www.umzimvubu.gov.za/wp-content/uploads/2025/02/Cross-section_Concrete2.pdf</t>
  </si>
  <si>
    <t>Centule Tender Document ...</t>
  </si>
  <si>
    <t>https://www.umzimvubu.gov.za/wp-content/uploads/2025/02/Centule-Tender-Document-.pdf</t>
  </si>
  <si>
    <t>CENTULE Contract Section 2...........</t>
  </si>
  <si>
    <t>https://www.umzimvubu.gov.za/wp-content/uploads/2025/02/CENTULE-Contract-Section-2.pdf</t>
  </si>
  <si>
    <t>Centule BOQ</t>
  </si>
  <si>
    <t>https://www.umzimvubu.gov.za/wp-content/uploads/2025/02/Centule-BOQ.pdf</t>
  </si>
  <si>
    <t>Capture5</t>
  </si>
  <si>
    <t>https://www.umzimvubu.gov.za/wp-content/uploads/2025/02/Capture5.jpg</t>
  </si>
  <si>
    <t>Capture4</t>
  </si>
  <si>
    <t>https://www.umzimvubu.gov.za/wp-content/uploads/2025/02/Capture4.jpg</t>
  </si>
  <si>
    <t>Capture3</t>
  </si>
  <si>
    <t>https://www.umzimvubu.gov.za/wp-content/uploads/2025/02/Capture3.jpg</t>
  </si>
  <si>
    <t>Capture2</t>
  </si>
  <si>
    <t>https://www.umzimvubu.gov.za/wp-content/uploads/2025/02/Capture2.jpg</t>
  </si>
  <si>
    <t>Capture1</t>
  </si>
  <si>
    <t>https://www.umzimvubu.gov.za/wp-content/uploads/2025/02/Capture1.jpg</t>
  </si>
  <si>
    <t>Capture</t>
  </si>
  <si>
    <t>https://www.umzimvubu.gov.za/wp-content/uploads/2025/02/Capture.jpg</t>
  </si>
  <si>
    <t>BOQ SOLANI SLAB</t>
  </si>
  <si>
    <t>https://www.umzimvubu.gov.za/wp-content/uploads/2025/02/BOQ-SOLANI-SLAB.pdf</t>
  </si>
  <si>
    <t>BOQ mamthwani AR</t>
  </si>
  <si>
    <t>https://www.umzimvubu.gov.za/wp-content/uploads/2025/02/BOQ-mamthwani-AR.pdf</t>
  </si>
  <si>
    <t>BOQ FOR COMPLETION OF ELECTRFICATION</t>
  </si>
  <si>
    <t>https://www.umzimvubu.gov.za/wp-content/uploads/2025/02/BOQ-FOR-COMPLETION-OF-ELECTRFICATION.pdf</t>
  </si>
  <si>
    <t>Advert for Radio services for Umzimvubu local Municipality</t>
  </si>
  <si>
    <t>https://www.umzimvubu.gov.za/wp-content/uploads/2025/02/Advert-for-Radio-services-for-Umzimvubu-local-Municipality.pdf</t>
  </si>
  <si>
    <t>AA solani Contract Section</t>
  </si>
  <si>
    <t>https://www.umzimvubu.gov.za/wp-content/uploads/2025/02/AA-solani-Contract-Section.pdf</t>
  </si>
  <si>
    <t>WMM LM MBD FORMS 2023.pdf</t>
  </si>
  <si>
    <t>WINNIEMMLM.GOV.ZA</t>
  </si>
  <si>
    <t>Winnie Madikizela-Mandela Local Municipality</t>
  </si>
  <si>
    <t>https://www.winniemmlm.gov.za/wp-content/uploads/2023/02/WMM-LM-MBD-FORMS-2023.pdf.pdf</t>
  </si>
  <si>
    <t>Erratum-Procurement of Mobile Contracts for five Years</t>
  </si>
  <si>
    <t>https://www.winniemmlm.gov.za/wp-content/uploads/2025/08/Erratum-Procurement-of-Mobile-Contracts-for-five-Years.pdf</t>
  </si>
  <si>
    <t>INVITATION TO A TENDER</t>
  </si>
  <si>
    <t>GREATKEILM.GOV.ZA</t>
  </si>
  <si>
    <t>Great Kei Local Municipality</t>
  </si>
  <si>
    <t>https://greatkeilm.gov.za/web/2026/06/09/invitation-to-a-tender-briefing/</t>
  </si>
  <si>
    <t>RFQ/BTO/09</t>
  </si>
  <si>
    <t>RFQ/BTO/09/2025/26 : Request for Re advertisement for Supply  and delivery of Alternative  Energy.</t>
  </si>
  <si>
    <t>https://greatkeilm.gov.za/web/2026/06/05/rfq-bto-09-2025-26-request-for-re-advertisement-for-supply-and-delivery-of-alternative-energy/</t>
  </si>
  <si>
    <t>RFQ/COMM/ 08/2025/26 : Request for Fencing of Kei Mouth Transfer Station.</t>
  </si>
  <si>
    <t>https://greatkeilm.gov.za/web/2026/06/01/rfq-comm-08-2025-26-request-for-fencing-of-kei-mouth-transfer-station/</t>
  </si>
  <si>
    <t>TENDER: TECH/COMM: 21/2025/26 : Re-Advertisement of Supply. Delivery, Implementation and Commissioning of Server Infrastructure for a period of Three Years</t>
  </si>
  <si>
    <t>https://greatkeilm.gov.za/web/2026/05/13/tender-tech-comm-21-2025-26-re-advertisement-of-supply-delivery-implementation-and-commissioning-of-server-infrastructure-for-a-period-of-three-years/</t>
  </si>
  <si>
    <t>TENDER: CORP: 01/2025/26 : Panel of Four Service Providers for the Provision of Travel &amp; Accommodation Services for a Period of Two (2) Years.</t>
  </si>
  <si>
    <t>https://greatkeilm.gov.za/web/2026/05/13/tender-corp-01-2025-26-panel-of-four-service-providers-for-the-provision-of-travel-accommodation-services-for-a-period-of-two-2-years/</t>
  </si>
  <si>
    <t>TECH/QS: 01/2025/26 : Provision for a Panel of Ten (10) Professional Quantity Surveyors for a Period of Three (3) years</t>
  </si>
  <si>
    <t>https://greatkeilm.gov.za/web/2026/05/13/tech-qs-01-2025-26-provision-for-a-panel-of-ten-10-professional-quantity-surveyors-for-a-period-of-three-3-years/</t>
  </si>
  <si>
    <t>TENDER: CORP: 02/2025/26 : Provision of Vetting Services For a Period of Three Years</t>
  </si>
  <si>
    <t>https://greatkeilm.gov.za/web/2026/05/13/tender-corp-02-2025-26-provision-of-vetting-services-for-a-period-of-three-years/</t>
  </si>
  <si>
    <t>TENDER: BTO: 22/2025/26 : Provision of Insurance for Municipal Assets and Public Liability for a Period of Three (3) Years</t>
  </si>
  <si>
    <t>https://greatkeilm.gov.za/web/2026/05/13/tender-bto-22-2025-26-provision-of-insurance-for-municipal-assets-and-public-liability-for-a-period-of-three-3-years/</t>
  </si>
  <si>
    <t>INVITATION TO TENDER FOR THE APPOINTED PANEL FOR THE IMPLEMENTATION OF TURNKEY ELECTRICAL SERVICES</t>
  </si>
  <si>
    <t>https://greatkeilm.gov.za/web/2026/04/30/invitation-to-tender-for-the-appointed-panel-for-the-implementation-of-turnkey-electrical-services/</t>
  </si>
  <si>
    <t>RFQ/BTO/10</t>
  </si>
  <si>
    <t>RFQ/BTO/10/2025/26 : Request for Supply and Delivery of Laptops and Laptop Bags.</t>
  </si>
  <si>
    <t>https://greatkeilm.gov.za/web/2026/04/29/rfq-bto-10-2025-26-request-for-supply-and-delivery-of-laptops-and-laptop-bags/</t>
  </si>
  <si>
    <t>RFQ/BTO/11</t>
  </si>
  <si>
    <t>RFQ/BTO/11/2025/26 : Request for Supply and Installation of Microsoft Exchange Online Licenses.</t>
  </si>
  <si>
    <t>https://greatkeilm.gov.za/web/2026/04/29/rfq-bto-11-2025-26-request-for-supply-and-installation-of-microsoft-exchange-online-licenses/</t>
  </si>
  <si>
    <t>RFQ/STRA/02</t>
  </si>
  <si>
    <t>RFQ/STRA/02/2025/26 : Request for Supply and  Delivery of Cropping  Projects.</t>
  </si>
  <si>
    <t>https://greatkeilm.gov.za/web/2026/04/22/rfq-stra-02-2025-26-request-for-supply-and-delivery-of-cropping-projects/</t>
  </si>
  <si>
    <t>RFQ/COMM/04</t>
  </si>
  <si>
    <t>RFQ/COMM/04/2025/26 : Request for Re Advertisement for Supply  and delivery of Protective  Clothing for Community  Services Staff.</t>
  </si>
  <si>
    <t>https://greatkeilm.gov.za/web/2026/04/10/rfq-comm-04-2025-26-request-for-re-advertisement-for-supply-and-delivery-of-protective-clothing-for-community-services-staff/</t>
  </si>
  <si>
    <t>INVITATION – TENDER TECH/CIV:01/2025/26 – Provision for a panel of ten (10) Professional Civil Engineering Consultants for a Period of THREE (3) Years</t>
  </si>
  <si>
    <t>https://greatkeilm.gov.za/web/2026/03/09/invitation-tender-tech-civ01-2025-26-provision-for-a-panel-of-ten-10-professional-civil-engineering-consultants-for-a-period-of-three-3-years/</t>
  </si>
  <si>
    <t>INVITATION TO TENDER FOR THREE DISASTER ROADS PROJECTS</t>
  </si>
  <si>
    <t>https://greatkeilm.gov.za/web/2026/03/06/invitation-to-tender-for-three-disaster-roads-projects/</t>
  </si>
  <si>
    <t>RFQ/MAY02/2025</t>
  </si>
  <si>
    <t>RFQ/MAY02/2025/26 : Request for Supply and delivery of Banners.</t>
  </si>
  <si>
    <t>https://greatkeilm.gov.za/web/2026/03/05/rfq-may02-2025-26-request-for-supply-and-delivery-of-banners/</t>
  </si>
  <si>
    <t>RFQ/COMM/07</t>
  </si>
  <si>
    <t>RFQ/COMM/07/2025/26 : SUPPLY AND DELIVERY OF PROTECTIVE CLOTHING FOR DFFE PARICIPANTS</t>
  </si>
  <si>
    <t>https://greatkeilm.gov.za/web/2026/03/05/rfq-comm-07-2025-26-supply-and-delivery-of-protective-clothing-for-dffe-paricipants/</t>
  </si>
  <si>
    <t>RFQ/CORP/02</t>
  </si>
  <si>
    <t>RFQ/CORP/02/2025/26 :  Request for Supply,  delivery and Assembling  of a Council Chamber  Furniture</t>
  </si>
  <si>
    <t>https://greatkeilm.gov.za/web/2026/02/04/rfq-corp-02-2025-26-request-for-supply-delivery-and-assembling-of-a-council-chamber-furniture/</t>
  </si>
  <si>
    <t>Requests for Quotation</t>
  </si>
  <si>
    <t>GPL.GOV.ZA</t>
  </si>
  <si>
    <t>Gauteng Provincial Legislature</t>
  </si>
  <si>
    <t>https://www.gpl.gov.za/category/business/bids-tenders/advertised-tenders/</t>
  </si>
  <si>
    <t>SCM/1367/S/2025-2026</t>
  </si>
  <si>
    <t>THE CO- MANAGEMENT AND OPERATION OF MUNICIPAL POUNDValidity period: 90 days</t>
  </si>
  <si>
    <t>NELSONMANDELABAY.GOV.ZA</t>
  </si>
  <si>
    <t>Nelson Mandela Bay Metropolitan Municipality</t>
  </si>
  <si>
    <t>SCM/1351/G/2025-2026</t>
  </si>
  <si>
    <t>SUPPLY AND DELIVERY OF WATER METERS, METER INTERFACE UNIT’S AND RELATED MATERIALSValidity period: 90 days</t>
  </si>
  <si>
    <t>SCM/1347/G/2025-2026</t>
  </si>
  <si>
    <t>Expression of Interest</t>
  </si>
  <si>
    <t>EXPRESSION OF INTEREST (EOI) FOR THE SUPPLY AND DELIVERY OF VARIOUS CLEANING MATERIALValidity period: N/A</t>
  </si>
  <si>
    <t>SCM/1346/G/2025-2026</t>
  </si>
  <si>
    <t>SUPPLY AND DELIVERY OF ELECTRICAL PRODUCTS FOR UNDERGROUND AND OVERHEAD SYSTEMSValidity period: 90 days</t>
  </si>
  <si>
    <t>SCM/1360/S/2025-2026</t>
  </si>
  <si>
    <t>CALL FOR EXPRESSION OF INTEREST FOR REPAIRS AND MAINTENANCE OF VEHICLES FOR A PERIOD OF 36 MONTHSValidity Period:  N/A</t>
  </si>
  <si>
    <t>SCM/1046/G/2022-2023</t>
  </si>
  <si>
    <t>SPECIALIZED FIRE FIGHTING VEHICLESValidity period: 90 days</t>
  </si>
  <si>
    <t>SCM/1312/S/2025-2026</t>
  </si>
  <si>
    <t>EXTERNAL HIRE OF REFUSE COMPACTION VEHICLES ON AN "AS AND WHEN REQUIRED BASIS”Compulsory Clarification Meeting: 10 June 2026, Waste Management Boardroom, Harrower Road, Gqeberha at 10:00amValidity period: 90 days</t>
  </si>
  <si>
    <t>SCM/1333/G/2025-2026</t>
  </si>
  <si>
    <t>MANUFACTURE, TESTING, SUPPLY AND DELIVERY OF CSP TRANSFORMERSValidity period: 90 days</t>
  </si>
  <si>
    <t>SCM/1343/C/2025-2026CIDB GRADING: 3GB or HIGHER</t>
  </si>
  <si>
    <t>CONSTRUCTION OF WARD 8 COUNCILLORS’ OFFICE FOR A PERIOD OF THREE (3) MONTHSCompulsory Clarification Meeting: 17 June 2026, 61 Longway Avenue, Lorraine, Gqeberha at 11:00 amValidity period: 90 days</t>
  </si>
  <si>
    <t>SCM/1085/C/2022-2023</t>
  </si>
  <si>
    <t>TRIENNIAL CONTRACT FOR PROVISION OF BASIC SANITATION SERVICES: CLUSTERS 1 - 6Validity period: 90 days</t>
  </si>
  <si>
    <t>SCM/1235/S/2024-2025</t>
  </si>
  <si>
    <t>OCCASSIONAL HIRE OF PLANT / TRUCKS FOR RELOCATIONN OF HOUSEHOLDS AND THEIR BELONGINGS FROM STRESSED INFORMAL SETTLEMENTS TO HUMAN SETTLEMENTS PROJECTSValidity period: 90 days</t>
  </si>
  <si>
    <t>SCM/1339/S/2025-2026</t>
  </si>
  <si>
    <t>SUPPLY AND DELIVERY OF TEMPO CONSUMABLES, SPARE PARTS AND MAINTENANCE THEREOF, FOR THE MICROBIOLOGICAL ANALYSES OF FOOD AND ENVIRONMENTAL SAMPLESValidity period: 90 days</t>
  </si>
  <si>
    <t>SCM/1294/C/2024-2025</t>
  </si>
  <si>
    <t>PROFESSIONAL ENGINEERING SERVICES: DESIGN AND MONITOR THE INSTALLATION OF CIVIL ENGINEERING SERVICES IN VISTARUS, BETHELSDORP 570 SITESCompulsory Clarification Meeting: 30 June 2026, Pieter Rademeyer Hall, Kariega at 10:00 amValidity period: 90 days</t>
  </si>
  <si>
    <t>SCM/1353/G/2025-2026</t>
  </si>
  <si>
    <t>PROVISIONING (DESIGN, SUPPLY AND INSTALLATION) OF ICT UTP CABLING INFRASTRUCTUREValidity period: 90 days</t>
  </si>
  <si>
    <t>SCM/1356/G/2025-2026</t>
  </si>
  <si>
    <t>PROVISIONING (DESIGN, SUPPLY AND INSTALLATION) OF ICT NETWORKING INFRASTRUCTUREValidity period: 90 days</t>
  </si>
  <si>
    <t>SCM/1352/G/2025-2026</t>
  </si>
  <si>
    <t>PROVISIONING (DESIGN, SUPPLY AND INSTALLATION) OF ICT WIRELESS INFRASTRUCTUREValidity period: 90 days</t>
  </si>
  <si>
    <t>SCM/1198/S/2024-2025</t>
  </si>
  <si>
    <t>PROFESSIONAL ENGINEERING SERVICES FOR SANITATION MASTER_x000D_
  PLANCompulsory Clarification meeting: 13 May 2026, at 10:00am, 6thfloor Boardroom, Fidelity Building, 188 Govan Mbeki Avenue, Port Elizabeth_x000D_
  Central, 6001Validity period: 90 days</t>
  </si>
  <si>
    <t>SCM/1141/S/2023-2024</t>
  </si>
  <si>
    <t>PROFESSIONAL ENGINEERING SERVICES FOR PROVISION OF BASIC_x000D_
  SERVICES: WATER and SANITATIONCompulsory Clarification meeting: 14 May 2026, at 10:00am, 6thfloor Boardroom, Fidelity Building, 188 Govan Mbeki Avenue, Port Elizabeth_x000D_
  Central, 6001Validity period: 90 days</t>
  </si>
  <si>
    <t>SCM/1035/S/2022-2023</t>
  </si>
  <si>
    <t>PROFESSIONAL ENGINEERING SERVICES FOR JACHVLAKTE BULK_x000D_
  SEWERAGE: PHASE 1Compulsory Clarification meeting: 19 May 2026, at 10:00am, 6thfloor Boardroom, Fidelity Building, 188 Govan Mbeki Avenue, Port Elizabeth_x000D_
  Central, 6001Validity period: 90</t>
  </si>
  <si>
    <t>UIF 3/26/27</t>
  </si>
  <si>
    <t>Request for proposals for the appointment of a service provider to provide day-to-day cleaning and pest control services at 94 WF Nkomo Building for the Unemployment Insurance Fund for a period of thirty-six (36) Months</t>
  </si>
  <si>
    <t>LABOUR.GOV.ZA</t>
  </si>
  <si>
    <t>Department of Employment and Labour</t>
  </si>
  <si>
    <t>https://www.labour.gov.za/Tenders/Available-Tenders/Lists/Open%20Tenders/Attachments/538/DAY%20TO%20DAY%20AND%20PEST%20CONTROL%20TENDER%20.pdf</t>
  </si>
  <si>
    <t>UIF3/26/27</t>
  </si>
  <si>
    <t>Request for proposals for the appointment of a service provider to provide day to day cleaning and pest control services at 94 WF Nkomo Building for the Unemployment Insurance Fund for a period of thirty (36) months – Specifications</t>
  </si>
  <si>
    <t>https://www.labour.gov.za/Tenders/Available-Tenders/Lists/Open%20Tenders/Attachments/539/DAY%20TO%20DAY%20CLEANING%20%20AND%20PEST%20CONTROL%20SERVICES%20SPECIFICATION%2009%20JUNE%202026.pdf</t>
  </si>
  <si>
    <t>UIF2/26/27</t>
  </si>
  <si>
    <t>Request for proposals for the appointment of a service provider to provide deep cleaning and hygiene services, materials, and consumable items to the Unemployment Insurance Fund for a period of thirty-six (36) months</t>
  </si>
  <si>
    <t>https://www.labour.gov.za/Tenders/Available-Tenders/Lists/Open%20Tenders/Attachments/537/Approved%20Deep%20cleaning%20tender%20specification%20advert%20date%2005%20June%202026.pdf</t>
  </si>
  <si>
    <t>DRT 02/05/2026</t>
  </si>
  <si>
    <t>11:00 AM</t>
  </si>
  <si>
    <t>ESTABLISHMENT OF A PANEL OF SERVICE PROVIDERS FOR THE SUPPLY AND DELIVERY OF PERSONAL PROTECTIVE AND SAFETY EQUIPMENT FOR A PERIOD OF THREE YEARS TO THE DEPARTMENT</t>
  </si>
  <si>
    <t>E-TENDERS.GAUTENG.GOV.ZA</t>
  </si>
  <si>
    <t>Gauteng Department of Health</t>
  </si>
  <si>
    <t>DRT 01/05/2026</t>
  </si>
  <si>
    <t>Appointment of a service provider to perform specialized traffic surveying on provincial roads in Gauteng Province for a period of (3) three years.</t>
  </si>
  <si>
    <t>HLA 4/2/4-2026/01</t>
  </si>
  <si>
    <t>THE ESTABLISHMENT OF A PRE-APPROVED LIST OF SERVICE PROVIDERS TO PROVIDE EVENTS MANAGEMENT SERVICES FOR THE DEPARTMENT OF HUMAN SETTLEMENTS OVER A PERIOD OF 36 MONTHS</t>
  </si>
  <si>
    <t>GT/GPT/018/2026</t>
  </si>
  <si>
    <t>APPOINTMENT OF A SERVICE PROVIDER TO RENDER PROFESSIONAL RESEARCH SERVICES FOR THE COMPILATION OF THE MUNICIPAL ECONOMIC REVIEW AND OUTLOOK (MERO) REPORT FOR THE 2026/2027 FINANCIAL YEAR</t>
  </si>
  <si>
    <t>RFQ – Appointment Of A Suitable Service Provider For The Delivery, Facilitation, Assessment Moderation And Learner Support For The Certificate: Municipal Finance Management (NQF Level: 6)</t>
  </si>
  <si>
    <t>AMAHLATHI.GOV.ZA</t>
  </si>
  <si>
    <t>Amahlathi Local Municipality</t>
  </si>
  <si>
    <t>https://amahlathi.gov.za/event/rfq-appointment-of-a-suitable-service-provider-for-the-delivery-facilitation-assessment-moderation-and-learner-support-for-the-certificate-municipal-finance-management-nqf-level-6/</t>
  </si>
  <si>
    <t>ADDENDAM: APPOINTMENT OF A PANEL OF SIX (6) CIVIL ENGINEERING PROFESSIONAL SERVICE PROVIDERS FOR PREPARING BUSINESS PLAN, FEASIBILITY STUDY, PRELIMINARY DESIGN, DETAIL DESIGN, TENDER DOCUMENTATION AND CONSTRUCTION MONITORING OF SURFACED PAVED ROADS, BRIDGES AND GRAVEL ROADS PROJECTS FOR A PERIOD OF 3 YEARS.</t>
  </si>
  <si>
    <t>MATATIELE.GOV.ZA</t>
  </si>
  <si>
    <t>https://www.matatiele.gov.za/job/addendam-appointment-of-a-panel-of-six-6-civil-engineering-professional-service-providers-for-preparing-business-plan-feasibility-study-preliminary-design-detail-design-tender-documentation-and/</t>
  </si>
  <si>
    <t>Advert for Bakkies accessories installation-128</t>
  </si>
  <si>
    <t>https://www.matatiele.gov.za/job/advert-for-bakkies-accessories-installation-128/</t>
  </si>
  <si>
    <t>Advert for Printing and Mailing For Consumer Debtors-78</t>
  </si>
  <si>
    <t>https://www.matatiele.gov.za/job/advert-for-printing-and-mailing-for-consumer-debtors-78/</t>
  </si>
  <si>
    <t>Advert for Road signs-127</t>
  </si>
  <si>
    <t>https://www.matatiele.gov.za/job/advert-for-road-signs-127/</t>
  </si>
  <si>
    <t>BID DOCUMENTS: INSTALLATION OF VEHICLE ACCESSORIES ON THREE (3) X SINGLE CABS ELECTRICAL SERVICES BAKKIES.</t>
  </si>
  <si>
    <t>https://www.matatiele.gov.za/job/bid-documents-installation-of-vehicle-accessories-on-three-3-x-single-cabs-electrical-services-bakkies/</t>
  </si>
  <si>
    <t>BID DOCUMENT: PRINTING AND MAILING OF CONSUMER DEBTOR’S STATEMENTS. NAME OF THE COMPANY.</t>
  </si>
  <si>
    <t>https://www.matatiele.gov.za/job/bid-document-printing-and-mailing-of-consumer-debtors-statements-name-of-the-company/</t>
  </si>
  <si>
    <t>BID DOCUMENT: SUPPLY AND DELIVERY OF ROAD SIGNS.</t>
  </si>
  <si>
    <t>https://www.matatiele.gov.za/job/bid-document-supply-and-delivery-of-road-signs/</t>
  </si>
  <si>
    <t>Opening and closing register: Supply and delivery of Fifty-Three (53) Protective clothing/staff uniform for admin and support unit.   for</t>
  </si>
  <si>
    <t>https://www.matatiele.gov.za/job/opening-and-closing-register-supply-and-delivery-of-fifty-three-53-protective-clothing-staff-uniform-for-admin-and-support-unit-for/</t>
  </si>
  <si>
    <t>OPENING AND CLOSING REGISTER: PROVISION OF ACTIVE DIRECTION AUDIT SOFTWARE.</t>
  </si>
  <si>
    <t>https://www.matatiele.gov.za/job/opening-and-closing-register-provision-of-active-direction-audit-software/</t>
  </si>
  <si>
    <t>OPENING AND CLOSING REGISTER: SUPPY AND DELIVER TRAFFIC OFFICERS MOTORCYCLE PPE.</t>
  </si>
  <si>
    <t>https://www.matatiele.gov.za/job/opening-and-closing-register-suppy-and-deliver-traffic-officers-motorcycle-ppe/</t>
  </si>
  <si>
    <t>closing register for printing and mailing statements-78</t>
  </si>
  <si>
    <t>https://www.matatiele.gov.za/job/closing-register-for-printing-and-mailing-statements-78/</t>
  </si>
  <si>
    <t>closing register road signs</t>
  </si>
  <si>
    <t>https://www.matatiele.gov.za/job/closing-register-road-signs/</t>
  </si>
  <si>
    <t>closing register bakkies</t>
  </si>
  <si>
    <t>https://www.matatiele.gov.za/job/closing-register-bakkies/</t>
  </si>
  <si>
    <t>Closing Register- Uniform For Admin &amp; Council Staff 53 Units</t>
  </si>
  <si>
    <t>https://www.matatiele.gov.za/job/closing-register-uniform-for-admin-council-staff-53-units/</t>
  </si>
  <si>
    <t>Closing Register for Traffic Officer Motocycle Riding PPE</t>
  </si>
  <si>
    <t>https://www.matatiele.gov.za/job/closing-register-for-traffic-officer-motocycle-riding-ppe/</t>
  </si>
  <si>
    <t>Closing Register for Provision Of Active Directory Audit software</t>
  </si>
  <si>
    <t>https://www.matatiele.gov.za/job/closing-register-for-provision-of-active-directory-audit-software/</t>
  </si>
  <si>
    <t>Closing register for cleaning and refuse removal for Matat CBD</t>
  </si>
  <si>
    <t>https://www.matatiele.gov.za/job/closing-register-for-cleaning-and-refuse-removal-for-matat-cbd/</t>
  </si>
  <si>
    <t>BIDS AWARDED IN THE THIRD QUARTER ENDED 31 MARCH 2026</t>
  </si>
  <si>
    <t>https://www.matatiele.gov.za/job/bids-awarded-in-the-third-quarter-ended-31-march-2026/</t>
  </si>
  <si>
    <t>Closing register for cleaning and refuse removal for Itsokolele</t>
  </si>
  <si>
    <t>https://www.matatiele.gov.za/job/closing-register-for-cleaning-and-refuse-removal-for-itsokolele/</t>
  </si>
  <si>
    <t>Closing register for SIX (06) Civil Engineering projects of 3 years</t>
  </si>
  <si>
    <t>https://www.matatiele.gov.za/job/closing-register-for-15-civil-engineering-projects-of-3-years/</t>
  </si>
  <si>
    <t>Closing register for 6 service providers for storm water of 36 months</t>
  </si>
  <si>
    <t>https://www.matatiele.gov.za/job/closing-register-for-6-service-providers-for-storm-water-of-36-months/</t>
  </si>
  <si>
    <t>INTENTION TO AWARD FOR MULTI FUNCTIONAL PRINTERS</t>
  </si>
  <si>
    <t>https://www.matatiele.gov.za/?post_type=job_listing&amp;p=24872</t>
  </si>
  <si>
    <t>Source</t>
  </si>
  <si>
    <t>Number of New Tenders</t>
  </si>
  <si>
    <t>ICT Tenders</t>
  </si>
  <si>
    <t>RFQs</t>
  </si>
  <si>
    <t>Report Date</t>
  </si>
  <si>
    <t>(M) 21/06/2026</t>
  </si>
  <si>
    <t>eTenders (All)</t>
  </si>
  <si>
    <t>Eskom</t>
  </si>
  <si>
    <t>SITA</t>
  </si>
  <si>
    <t>Transnet</t>
  </si>
  <si>
    <t>JPC</t>
  </si>
  <si>
    <t>Matatiele LM</t>
  </si>
  <si>
    <t>Ntabankulu LM</t>
  </si>
  <si>
    <t>Umzimvubu LM</t>
  </si>
  <si>
    <t>Winnie Mandela LM</t>
  </si>
  <si>
    <t>Mnquma LM</t>
  </si>
  <si>
    <t>Great Kei LM</t>
  </si>
  <si>
    <t>Amahlathi LM</t>
  </si>
  <si>
    <t>Raymond Mhlaba LM</t>
  </si>
  <si>
    <t>JOSHCO</t>
  </si>
  <si>
    <t>GPL</t>
  </si>
  <si>
    <t>RAF</t>
  </si>
  <si>
    <t>MM Trading Company</t>
  </si>
  <si>
    <t>Nelson Mandela Bay MM</t>
  </si>
  <si>
    <t>Buffalo City MM</t>
  </si>
  <si>
    <t>EC DPW</t>
  </si>
  <si>
    <t>DEL</t>
  </si>
  <si>
    <t>SIU</t>
  </si>
  <si>
    <t>GDoH</t>
  </si>
  <si>
    <t>DIRCO</t>
  </si>
  <si>
    <t>DOJ</t>
  </si>
  <si>
    <t>CP JHB</t>
  </si>
  <si>
    <t>W JHB</t>
  </si>
  <si>
    <t>Erratum for Supply and Implementation of Microsoft Office 365 for 36 Months</t>
  </si>
  <si>
    <t>https://www.winniemmlm.gov.za/wp-content/uploads/2025/10/Erratum-for-Supply-and-Implementation-of-Microsoft-Office-365-for-36-Months.pdf</t>
  </si>
  <si>
    <t>MNQ/SCM/94/25-26</t>
  </si>
  <si>
    <t>Training of Municipal Officials on Municipal Finance Management MNQ/SCM/94/25-26</t>
  </si>
  <si>
    <t>MNQUMA.GOV.ZA</t>
  </si>
  <si>
    <t>Mnquma Local Municipality</t>
  </si>
  <si>
    <t>https://www.mnquma.gov.za/wp-content/uploads/2026/05/BIDMFM.pdf</t>
  </si>
  <si>
    <t>SCM/MLM/83/25-26</t>
  </si>
  <si>
    <t>Training of EPWP beneficiaries on occupational health and safety SCM/MLM/83/25-26</t>
  </si>
  <si>
    <t>https://www.mnquma.gov.za/wp-content/uploads/2026/05/Bid-Notice-Training-of-EPWP-beneficiaries-on-occupational-health-and-safety.pdf</t>
  </si>
  <si>
    <t>MNQ/SCM/93/25-26</t>
  </si>
  <si>
    <t>Supply/ Development, Customization, Delivery and Implementation of an Expected Credit Loss (ECL) Model in Accordance with GRAP 104 (Revised) for a Period of One Year MNQ/SCM/93/25-26</t>
  </si>
  <si>
    <t>https://www.mnquma.gov.za/wp-content/uploads/2026/05/Bid-Notice-Supply-and-development-of-Expected-Credit-Loss-ECL-in-accodance-to-GRAP-104-Revised-for-a-period-of-one-year.pdf</t>
  </si>
  <si>
    <t>SCM/MLM/82/25-26</t>
  </si>
  <si>
    <t>SUPPLY AND DELIVERY OF GROCERIES FOR OPENING OF NEW OFFICES SCM/MLM/82/25-26</t>
  </si>
  <si>
    <t>https://www.mnquma.gov.za/wp-content/uploads/2026/04/ADVERT-GRORICERS-NEW-BUILDING.pdf</t>
  </si>
  <si>
    <t>MNQ/SCM/92/25-26</t>
  </si>
  <si>
    <t>HIRING OF FRAME TENTS, DÉCOR, PA SYSTEM, CATERING EQUIPMENT, VIP MOBILE TOILETS, MOBILE FRIDGE, TABLES AND CHAIRS FOR OPENING OF NEW OFFICES MNQ/SCM/92/25-26</t>
  </si>
  <si>
    <t>https://www.mnquma.gov.za/wp-content/uploads/2026/04/ADVERT-HIRING-FRAME-28.05.pdf</t>
  </si>
  <si>
    <t>MNQ/SCM/91/25-26</t>
  </si>
  <si>
    <t>Repairs and Maintenance of Mnquma LED Screen for a Period of Three (03) Years MNQ/SCM/91/25-26</t>
  </si>
  <si>
    <t>https://www.mnquma.gov.za/wp-content/uploads/2026/04/ADVERT-LED-REPAIRS-28.05.pdf</t>
  </si>
  <si>
    <t>MNQ/SCM/51/25-26</t>
  </si>
  <si>
    <t>ONLINE PROPERTY VERIFICATION PLATFORM FOR A PERIOD OF THREE YEARS MNQ/SCM/51/25-26</t>
  </si>
  <si>
    <t>https://www.mnquma.gov.za/wp-content/uploads/2026/04/Bid-Notice-Online-Property-Verification-Platform-for-a-Period-of-Three-Years.pdf</t>
  </si>
  <si>
    <t>MNQ/SCM/06/25-26</t>
  </si>
  <si>
    <t>Rehabilitation of Booi Farm to Khantolo Access Road (Ward 24) MNQ/SCM/06/25-26</t>
  </si>
  <si>
    <t>https://www.mnquma.gov.za/wp-content/uploads/2026/04/AD-BOOI-FARM-KHANTOLO-NOTICE-1.pdf</t>
  </si>
  <si>
    <t>MNQ/SCM/02/26-27</t>
  </si>
  <si>
    <t>Construction of Sirhosheni to Mahoti Access Road (Ward 22) MNQ/SCM/02/26-27</t>
  </si>
  <si>
    <t>https://www.mnquma.gov.za/wp-content/uploads/2026/04/AD-SIRHOSHENI-NOTICE.pdf</t>
  </si>
  <si>
    <t>MNQ/SCM/04/26-27</t>
  </si>
  <si>
    <t>Construction of Zixhotyeni Access Road (Ward 23) MNQ/SCM/04/26-27</t>
  </si>
  <si>
    <t>https://www.mnquma.gov.za/wp-content/uploads/2026/04/AD-ZIXHOTYENI.pdf</t>
  </si>
  <si>
    <t>MNQ/SCM/01/26-27</t>
  </si>
  <si>
    <t>Construction of Sikhefulana, Sikhedana to Kei farm Access Road (Ward 29) MNQ/SCM/01/26-27</t>
  </si>
  <si>
    <t>https://www.mnquma.gov.za/wp-content/uploads/2026/04/AD-SIKHEFULANA-NOTICE.pdf</t>
  </si>
  <si>
    <t>MNQ/SCM/84/25-26</t>
  </si>
  <si>
    <t>Appointment of a Professional Service Provider for the Development of a storm water management master plan MNQ/SCM/84/25-26</t>
  </si>
  <si>
    <t>https://www.mnquma.gov.za/wp-content/uploads/2026/04/AD-STORM-WATER-MASTERPLAN.pdf</t>
  </si>
  <si>
    <t>MNQ/SCM/07/26-27</t>
  </si>
  <si>
    <t>Construction of Ezigadini-Ntlambonkulu Access Road MNQ/SCM/07/26-27</t>
  </si>
  <si>
    <t>https://www.mnquma.gov.za/wp-content/uploads/2026/04/AD-EZIGADINI-NOTICE.pdf</t>
  </si>
  <si>
    <t>MNQ/SCM/03/26-27</t>
  </si>
  <si>
    <t>Rehabilitation of Mzantsi to Mission Access Road (Ward 09) MNQ/SCM/03/26-27</t>
  </si>
  <si>
    <t>https://www.mnquma.gov.za/wp-content/uploads/2026/04/AD-MZANTSI-MISSION-NOTICE.pdf</t>
  </si>
  <si>
    <t>MNQ/SCM/08/26-27</t>
  </si>
  <si>
    <t>Construction of Ngcinisinde-Gedwood Access Road (Low-Level Bridge)-Phase 2 MNQ/SCM/08/26-27</t>
  </si>
  <si>
    <t>https://www.mnquma.gov.za/wp-content/uploads/2026/04/AD-NGCISININDE-GEDWOOD-NOTICE.pdf</t>
  </si>
  <si>
    <t>MNQ/SCM/14/26-27</t>
  </si>
  <si>
    <t>Erection of Street Lights in Butterworth CBD (Downtown) MNQ/SCM/14/26-27</t>
  </si>
  <si>
    <t>https://www.mnquma.gov.za/wp-content/uploads/2026/04/AD-ERECTION-STREET-LIGHTS-NOTICE.pdf</t>
  </si>
  <si>
    <t>MNQ/SCM/15/26-27</t>
  </si>
  <si>
    <t>Retrofitting of High Mast Lights and Street lights within Mnquma Municipal Area (EEDSM 2026-27)       MNQ/SCM/15/26-27</t>
  </si>
  <si>
    <t>https://www.mnquma.gov.za/wp-content/uploads/2026/04/AD-RETROFITTING-HIGH-MASTS.pdf</t>
  </si>
  <si>
    <t>MNQ/SCM/13/26-27</t>
  </si>
  <si>
    <t>Electrification of Rural Households (INEP 2026-2027)     MNQ/SCM/13/26-27</t>
  </si>
  <si>
    <t>https://www.mnquma.gov.za/wp-content/uploads/2026/04/AD-INEP-NOTICE.pdf</t>
  </si>
  <si>
    <t>MNQ/SCM/11/26-27</t>
  </si>
  <si>
    <t>Paving of Side Parkings at Merriman Street MNQ/SCM/11/26-27</t>
  </si>
  <si>
    <t>https://www.mnquma.gov.za/wp-content/uploads/2026/04/PAVING-MERRIMAN-NOTICE.pdf</t>
  </si>
  <si>
    <t>MNQ/SCM/12/26-27</t>
  </si>
  <si>
    <t>Paving of Zizamele Internal Streets Phase 01 (Surfaced) MNQ/SCM/12/26-27</t>
  </si>
  <si>
    <t>https://www.mnquma.gov.za/wp-content/uploads/2026/04/PAVING-ZIZAMELE-NOTICE.pdf</t>
  </si>
  <si>
    <t>MNQ/SCM/17/26-27</t>
  </si>
  <si>
    <t>Upgrading of Centane  TRC Hall Phase 01 MNQ/SCM/17/26-27</t>
  </si>
  <si>
    <t>https://www.mnquma.gov.za/wp-content/uploads/2026/04/UPGRADING-OF-CENTANE-Bid-Notice.pdf</t>
  </si>
  <si>
    <t>MNQ/SCM/09/26-27</t>
  </si>
  <si>
    <t>Paving of Side Parkings at High Street MNQ/SCM/09/26-27</t>
  </si>
  <si>
    <t>https://www.mnquma.gov.za/wp-content/uploads/2026/04/PAVING-HIGH-STREET-NOTICE.pdf</t>
  </si>
  <si>
    <t>MNQ/SCM/16/26-27</t>
  </si>
  <si>
    <t>Refurbishment of Ngqamakhwe town Hall MNQ/SCM/16/26-27</t>
  </si>
  <si>
    <t>https://www.mnquma.gov.za/wp-content/uploads/2026/04/REFURBISHMENT-OF-NGQAMAKWE.pdf</t>
  </si>
  <si>
    <t>MNQ/SCM/10/26-27</t>
  </si>
  <si>
    <t>Paving of Side Parkings at Bell and High Street MNQ/SCM/10/26-27</t>
  </si>
  <si>
    <t>https://www.mnquma.gov.za/wp-content/uploads/2026/04/PAVING-BELL-HIGH-NOTICE.pdf</t>
  </si>
  <si>
    <t>MNQ/SCM/79/25-26</t>
  </si>
  <si>
    <t>Supply And Delivery of Inputs for Amanzi and Poultry Coop MNQ/SCM/79/25-26</t>
  </si>
  <si>
    <t>https://www.mnquma.gov.za/wp-content/uploads/2026/03/AD-ADVERT-INPUTS.pdf</t>
  </si>
  <si>
    <t>SCM/MLM/19/25-26</t>
  </si>
  <si>
    <t>Procurement of Repairs and Maintenance of  Air Conditioners for a Period of One Year  SCM/MLM/19/25-26</t>
  </si>
  <si>
    <t>https://www.mnquma.gov.za/wp-content/uploads/2026/03/BID-Notice-Procurement-of-Repairs-and-Maintenance-of-Air-Conditioners-for-a-Period-of-One-Year.pdf</t>
  </si>
  <si>
    <t>SCM/MLM/80/25-26</t>
  </si>
  <si>
    <t>Supply, Delivery, Design and Printing of Branding Material    SCM/MLM/80/25-26</t>
  </si>
  <si>
    <t>https://www.mnquma.gov.za/wp-content/uploads/2026/03/AD-BRANDING.pdf</t>
  </si>
  <si>
    <t>MNQ/SCM/80/25-26</t>
  </si>
  <si>
    <t>Rehabilitation of Emntla Kotana Access road storm water facilities MNQ/SCM/80/25-26</t>
  </si>
  <si>
    <t>https://www.mnquma.gov.za/wp-content/uploads/2026/03/RE-_ADD-EMNTLA.pdf</t>
  </si>
  <si>
    <t>MNQ/SCM/88/25-26</t>
  </si>
  <si>
    <t>Rehabilitation of Nduveni Xhaxhashimba Access Road and Storm Water facilities MNQ/SCM/88/25-26</t>
  </si>
  <si>
    <t>https://www.mnquma.gov.za/wp-content/uploads/2026/03/ads-NDUVENI.pdf</t>
  </si>
  <si>
    <t>MNQ/SCM/90/25-26</t>
  </si>
  <si>
    <t>Rehabiliatation of Mthintsilana to Magogogo Access Road Storm Water facilities MNQ/SCM/90/25-26</t>
  </si>
  <si>
    <t>https://www.mnquma.gov.za/wp-content/uploads/2026/03/ads-MTHITSILANA.pdf</t>
  </si>
  <si>
    <t>MNQ/SCM/87/25-26</t>
  </si>
  <si>
    <t>Rehabilitation of Tyinirha Access road storm water facilities MNQ/SCM/87/25-26</t>
  </si>
  <si>
    <t>https://www.mnquma.gov.za/wp-content/uploads/2026/03/TYINIRHA-ACCESS.pdf</t>
  </si>
  <si>
    <t>MNQ/SCM/83/25-26</t>
  </si>
  <si>
    <t>Rehabilitation of Nxilinxa Access road storm water facilities MNQ/SCM/83/25-26</t>
  </si>
  <si>
    <t>https://www.mnquma.gov.za/wp-content/uploads/2026/03/XILINXA-ACCESS.pdf</t>
  </si>
  <si>
    <t>MNQ/SCM/86/25-26</t>
  </si>
  <si>
    <t>Rehabilitation of Thoboyi kunene access road storm water facilities MNQ/SCM/86/25-26</t>
  </si>
  <si>
    <t>https://www.mnquma.gov.za/wp-content/uploads/2026/03/THOBOYI-KUNENE-ACCESS-ROAD.pdf</t>
  </si>
  <si>
    <t>MNQ/SCM/85/25-26</t>
  </si>
  <si>
    <t>Rehabiltation of Qeqe to Khumalo Access Road storm water facilities MNQ/SCM/85/25-26</t>
  </si>
  <si>
    <t>https://www.mnquma.gov.za/wp-content/uploads/2026/03/ads-QEQE.pdf</t>
  </si>
  <si>
    <t>MNQ/SCM/82/25-26</t>
  </si>
  <si>
    <t>Rehabiltation of Mjo Access Road Storm Water facilities MNQ/SCM/82/25-26</t>
  </si>
  <si>
    <t>https://www.mnquma.gov.za/wp-content/uploads/2026/03/ads-MJO.pdf</t>
  </si>
  <si>
    <t>MNQ/SCM/81/25-26</t>
  </si>
  <si>
    <t>Rehabilitation of Busila Zwelandile Access Road Storm Water MNQ/SCM/81/25-26</t>
  </si>
  <si>
    <t>https://www.mnquma.gov.za/wp-content/uploads/2026/03/ads-BUSILA.pdf</t>
  </si>
  <si>
    <t>MNQ/SCM/89/25-26</t>
  </si>
  <si>
    <t>Rehabilitation of Sidutyini Access Road storm water facilities MNQ/SCM/89/25-26</t>
  </si>
  <si>
    <t>https://www.mnquma.gov.za/wp-content/uploads/2026/03/SIDUTYINI-AD-1.pdf</t>
  </si>
  <si>
    <t>MNQ/SCM/89/24-25</t>
  </si>
  <si>
    <t>Sub-Construction of Electrical Works for the Upgrading of Msobomvu Sports Ground – Phase           MNQ/SCM/89/24-25</t>
  </si>
  <si>
    <t>https://www.mnquma.gov.za/wp-content/uploads/2026/03/Bid-Notice-Sub-Construction-of-Electrical-Works-for-the-Upgrading-of-Msobomvu-Sports-Ground-Phase-2.pdf</t>
  </si>
  <si>
    <t>MNQ/SCM/75/25-26</t>
  </si>
  <si>
    <t>Appointment of a professional service provider for design and project management for the refurbishment of Butterworth swimming pool          MNQ/SCM/75/25-26</t>
  </si>
  <si>
    <t>https://www.mnquma.gov.za/wp-content/uploads/2026/03/Swiming-pool-1.pdf</t>
  </si>
  <si>
    <t>MNQ/SCM/76/25-26</t>
  </si>
  <si>
    <t>Repairs and Maintenance of Mnquma LED Screen for a Period of Three (03) Years MNQ/SCM/76/25-26</t>
  </si>
  <si>
    <t>https://www.mnquma.gov.za/wp-content/uploads/2026/02/AD-LED-SCREEN.pdf</t>
  </si>
  <si>
    <t>MNQ/SCM/63/25-26</t>
  </si>
  <si>
    <t>PROVISION OF AUCTION SERVICES FOR A PERIOD OF THREE YEARS MNQ/SCM/63/25-26</t>
  </si>
  <si>
    <t>https://www.mnquma.gov.za/wp-content/uploads/2026/02/BID-NOTICE-PROVISION-OF-AUCTION-SERVICES-FOR-A-PERIOD-OF-THREE-YEARS.pdf</t>
  </si>
  <si>
    <t>SCM/MLM/81/25-26</t>
  </si>
  <si>
    <t>Edit, Design, Layout, Formatting, Printing and Binding Plus cover of the 2026/2027 IDP SCM/MLM/81/25-26</t>
  </si>
  <si>
    <t>https://www.mnquma.gov.za/wp-content/uploads/2026/02/IDP-PRINTING-AD.pdf</t>
  </si>
  <si>
    <t>SCM/MLM/13/25-26</t>
  </si>
  <si>
    <t>TRAINING OF MUNICIPAL OFFICIALS ON PERFORMANCE MANAGEMENT SCM/MLM/13/25-26</t>
  </si>
  <si>
    <t>https://www.mnquma.gov.za/wp-content/uploads/2026/02/BID-NOTICE-TRAINING-OF-MUNICIPAL-OFFICIALS-ON-PERFORMANCE-MANAGEMENT-7.pdf</t>
  </si>
  <si>
    <t>SCM/MLM/15/25-26</t>
  </si>
  <si>
    <t>Supply and Delivery of Screen Monitors SCM/MLM/15/25-26</t>
  </si>
  <si>
    <t>https://www.mnquma.gov.za/wp-content/uploads/2026/02/BID-NOTICE-SUPPLY-AND-DELIVERY-SREEN-MONITORS.pdf</t>
  </si>
  <si>
    <t>MNQ/SCM/77/25-26</t>
  </si>
  <si>
    <t>Maintenance of Butterworth library MNQ/SCM/77/25-26</t>
  </si>
  <si>
    <t>https://www.mnquma.gov.za/wp-content/uploads/2026/02/AD-LIBRARY.pdf</t>
  </si>
  <si>
    <t>MNQ/SCM/78/25-26</t>
  </si>
  <si>
    <t>Supply and Installation of alarm System at the Butterworth library for Period of three Years MNQ/SCM/78/25-26</t>
  </si>
  <si>
    <t>https://www.mnquma.gov.za/wp-content/uploads/2026/02/AD-ALARMS.pdf</t>
  </si>
  <si>
    <t>MNQ/SCM/73/25-26</t>
  </si>
  <si>
    <t>TRAVELLING AND ACCOMMODATION AGENCY SERVICES FOR A PERIOD OF THREE YEARS MNQ/SCM/73/25-26</t>
  </si>
  <si>
    <t>https://www.mnquma.gov.za/wp-content/uploads/2026/02/ADVERT-ACCOMODATION.pdf</t>
  </si>
  <si>
    <t>MNQ/SCM/71/25-26</t>
  </si>
  <si>
    <t>APPOINTMENT OF SERVICE PROVIDER FOR THE MAINTENANCE, SERVICING AND REPAIRS OF STANDBY GENERATORS ON ALL MNQUMA LOCAL MUNICIPALITY PREMISES FOR A PERIOD OF TWO YEARS MNQ/SCM/71/25-26</t>
  </si>
  <si>
    <t>https://www.mnquma.gov.za/wp-content/uploads/2026/02/AD-GENERATOR.pdf</t>
  </si>
  <si>
    <t>SCM/MLM/26/25-26</t>
  </si>
  <si>
    <t>Supply and Delivery of office furniture for Butterworth library SCM/MLM/26/25-26</t>
  </si>
  <si>
    <t>https://www.mnquma.gov.za/wp-content/uploads/2026/01/FURNITURE-LIBRARY-AD.pdf</t>
  </si>
  <si>
    <t>SCM/MLM/72/25-26</t>
  </si>
  <si>
    <t>Hiring of tents , chairs and generators for roadshows SCM/MLM/72/25-26</t>
  </si>
  <si>
    <t>https://www.mnquma.gov.za/wp-content/uploads/2026/01/HIRING-TENTS-AD.pdf</t>
  </si>
  <si>
    <t>10:30am</t>
  </si>
  <si>
    <t>JOHANNESBURGWATER.CO.ZA</t>
  </si>
  <si>
    <t>Johannesburg Water SOC Ltd</t>
  </si>
  <si>
    <t>Turbine Hall, 65 Ntemi Piliso Street, Newtown, Auditorium, 7 July  2026 AT 13H00</t>
  </si>
  <si>
    <t>/wp-content/uploads/2026/06/19-JUNE-2026.pdf</t>
  </si>
  <si>
    <t>Turbine Hall, 65 Ntemi Piliso Street, Newtown, Auditorium, 7 July at 11H00</t>
  </si>
  <si>
    <t>UPGRADING AND REPLACEMENT OF WATER AND SEWER PIPELINES IN DE VILLIERS STREET INNERCITY</t>
  </si>
  <si>
    <t>Turbine Hall, 65 Ntemi Piliso Street, Newtown, Johannesburg, 2001, Auditorium, 2 JULY AT 11H00</t>
  </si>
  <si>
    <t>GREATER ORANGE FARM PHASE 3A WATER INFRASTRUCTURE UPGRADE AND RENEWAL</t>
  </si>
  <si>
    <t>2 James street, Ennerdale, Johannesburg Water Ennerdale Depot, 30 JUNE  AT 13H00</t>
  </si>
  <si>
    <t>RFP 05/12/2025/CL</t>
  </si>
  <si>
    <t>11h00</t>
  </si>
  <si>
    <t>Appointment of a Panel of Attorneys/Law Firms to provide the SIU with the Civil Litigation and other legal support services on amongst others, Administrative, Labour and Constitutional Law to all Special Investigating Unit (SIU) Offices, on an “as-and-when required” basis for a period of five (5) years with an option to renew for further 3 years</t>
  </si>
  <si>
    <t>SIU.ORG.ZA</t>
  </si>
  <si>
    <t>Special Investigating Unit</t>
  </si>
  <si>
    <t>https://www.siu.org.za/wp-content/uploads/2025/12/Bid-Document-Panel-of-Legal-Service.pdf</t>
  </si>
  <si>
    <t>RFP: 04/12/2025/ERM</t>
  </si>
  <si>
    <t>11:00am</t>
  </si>
  <si>
    <t>Appointment of a panel of close armed protection (“CPO”) services on an “as-and-when required” basis for a period from the date of the award to 3 June 2027.</t>
  </si>
  <si>
    <t>https://www.siu.org.za/wp-content/uploads/2025/12/RFP-Bid-Document-for-Close-Armed-Protection-services-v2.docx</t>
  </si>
  <si>
    <t>RFP: 03/11/2025/ERM</t>
  </si>
  <si>
    <t>Appointment of a service provider for the provision of polygraph examiner training and supply of required polygraph instrument, software and support for a period of three (3) years</t>
  </si>
  <si>
    <t>https://www.siu.org.za/wp-content/uploads/2025/11/RFP03-11-2025-ERM-Polygraph-Tender.docx</t>
  </si>
  <si>
    <t>RFP: 02/09/2025/BP &amp; OD</t>
  </si>
  <si>
    <t>Provision of Employee Wellness Programme (“EWP”) for a period of three (3) years with an option to extend the contract, at the SIU’s sole discretion, and subject to acceptable performance levels of the appointed service provider, by a period of two (2) years</t>
  </si>
  <si>
    <t>https://www.siu.org.za/wp-content/uploads/2025/09/RFP-DOCUMENT-FOR-EMPLOYEE-WELLNESS-PROGRAMME.pdf</t>
  </si>
  <si>
    <t>RFP: 05/12/2024/ICT</t>
  </si>
  <si>
    <t>Appointment of Service Provider to develop Data Warehouse with Data Analytics functionality to meet the data and information storage, processing, management, and governance needs of the Special Investigating Unit (SIU)</t>
  </si>
  <si>
    <t>https://www.siu.org.za/wp-content/uploads/2024/12/BID-DOCUMENT-_DATA-WAREHOUSE-SPEC.pdf</t>
  </si>
  <si>
    <t>RFP: 04/12/2024/NI</t>
  </si>
  <si>
    <t>Appointment of panel of experts: POE.12 – Forensic Accountants Services on an “as-and-when-required” basis for a period of 36 months with an option to renew for a further two years.</t>
  </si>
  <si>
    <t>https://www.siu.org.za/wp-content/uploads/2024/12/Panel-of-Experts-Forensic-Accountant.docx</t>
  </si>
  <si>
    <t>RFQ 208A 2024/25</t>
  </si>
  <si>
    <t>Appointment of a panel of service providers for provision of maintenance services of general building, plumbing, electrical and minor new works on an “as and when” required basis for the SIU for a period of three (3) years</t>
  </si>
  <si>
    <t>https://www.siu.org.za/wp-content/uploads/2024/12/RE-ISSUE-REQUEST-FOR-QUOTATION-FOR-THE-PANEL-OF-SERVICE-PROVIDERS-FOR-PLUMBING-ELECTRICAL-AND-GENERAL-BUILDING.pdf</t>
  </si>
  <si>
    <t>RFP: 03/12/2024/IA</t>
  </si>
  <si>
    <t>Provision of internal audit services to the Special Investigating Unit (“SIU”) in a co-sourced capacity for a period of three (3) years with an option to renew for another three (3) years</t>
  </si>
  <si>
    <t>https://www.siu.org.za/wp-content/uploads/2024/12/BID-DOCUMENT-INTERNAL-AUDIT-SERVICES.pdf</t>
  </si>
  <si>
    <t>RFQ279 2024/2025</t>
  </si>
  <si>
    <t>Production work for a video for the unit titled the rise of the nation</t>
  </si>
  <si>
    <t>https://teams.microsoft.com/l/meetup-join/19%3ameeting_NmY5NzA5NDktZjU2Ni00MjgzLTg1NWUtNTIwYmJjOGUxODlk%40thread.v2/0?context=%7b%22Tid%22%3a%22c1f6dd2f-18af-43dd-b300-4055be8b2ea8%22%2c%22Oid%22%3a%226f73458a-72b0-420f-b6cb-96437f1c3ddb%22%7d</t>
  </si>
  <si>
    <t>RFQ: 208 2024/25</t>
  </si>
  <si>
    <t>https://www.siu.org.za/wp-content/uploads/2024/11/REQUEST-FOR-QUOTATION-FOR-THE-PANEL-OF-SERVICE-PROVIDERS-FOR-PLUMBING-ELECTRICAL-AND-GENERAL-BUILDING.pdf</t>
  </si>
  <si>
    <t>RFP: 03/10/2024/ICT</t>
  </si>
  <si>
    <t>Appointment of a service provider of a wide area network, data and telephone service including maintenance of network, data and telephony connectivity for a period of 5 years with an option to renew with further 2 years at the discretion of the SIU</t>
  </si>
  <si>
    <t>https://www.siu.org.za/wp-content/uploads/2024/10/BID-DOCUMENT-PROVISION-OF-A-WIDE-AREA-NETWORK-DATA-TELEPHONE-SEVICES-WITH-MAINTENANCE-SUPPORT.pdf</t>
  </si>
  <si>
    <t>RFP 740-2020 (SITA Tranversal Contract)</t>
  </si>
  <si>
    <t>Appointment of a service provider for supply, support, maintenance and delivery of laptops.</t>
  </si>
  <si>
    <t>https://teams.microsoft.com/l/meetup-join/19%3ameeting_NzczZDBmMDctNDZkNy00YWZjLTlkYTYtY2I3ODlkM2Y1OGRh%40thread.v2/0?context=%7b%22Tid%22%3a%22c1f6dd2f-18af-43dd-b300-4055be8b2ea8%22%2c%22Oid%22%3a%2281a895ae-8317-4708-b5ff-20711a0073c4%22%7d</t>
  </si>
  <si>
    <t>RFI: SIU001-2024</t>
  </si>
  <si>
    <t>Request for information (RFI) regarding technical specifications for the provision, installation and commissioning of a comprehensive, integrated life safety and security solution for the Special Investigating Unit (SIU)</t>
  </si>
  <si>
    <t>https://www.siu.org.za/wp-content/uploads/2024/09/RFI-Document-RFI-SIU001-2024-INTEGRATED-LIFE-SAFETY-AND-SECURITY-SOLUTION.pdf</t>
  </si>
  <si>
    <t>RFP:02/06/2024/FIN</t>
  </si>
  <si>
    <t>11:00AM</t>
  </si>
  <si>
    <t>Appointment of service provider for the provision of office accommodation (within Western Cape and/or surrounding areas with acceptable radius outside Cape Town not exceeding 25Km)</t>
  </si>
  <si>
    <t>https://www.siu.org.za/wp-content/uploads/2024/08/BID-DOCUMENT-OFFICE-ACCOMMODATION-WESTERN-CAPE-.pdf</t>
  </si>
  <si>
    <t>RFP: 11/03/2024 IIU</t>
  </si>
  <si>
    <t>Provision of physical security guarding for SIU offices nationwide for a period of three (03) years with the option to extend for two (02) years</t>
  </si>
  <si>
    <t>https://www.siu.org.za/wp-content/uploads/2024/05/BID-DOCUMENT-Security-Services-.pdf</t>
  </si>
  <si>
    <t>RFP: 017/02/2024/ICT</t>
  </si>
  <si>
    <t>Appointment of Service Provider to establish a Business Intelligence (BI), Market Data Analytics (MDA) and Data Warehouse (DW) Platforms to meet the data and information storage, processing, management, and governance needs of the Special Investigating Unit (SIU)</t>
  </si>
  <si>
    <t>https://www.siu.org.za/wp-content/uploads/2024/02/FINAL-BID-DOCUMENT-Market-Data-Analytics-MDA-and-Data-Warehouse-DW-Date-Change.pdf</t>
  </si>
  <si>
    <t>RFP: 018/02/2024/IA</t>
  </si>
  <si>
    <t>Appointment of a service provider for provision of an internal audit management software solution with maintenance and support contract for a period of three years with an option to extend for a further three years</t>
  </si>
  <si>
    <t>https://www.siu.org.za/wp-content/uploads/2024/02/BID-DOCUMENT-INTERNAL-AUDIT-SOFTWARE-SOLUTION-0022.pdf</t>
  </si>
  <si>
    <t>RFP: 019/02/2024/GRC</t>
  </si>
  <si>
    <t>Appointment of a service provider for provision of risk management and compliance software with maintenance and support contract for a period of three years with an option to extend for a further three years</t>
  </si>
  <si>
    <t>https://www.siu.org.za/wp-content/uploads/2024/02/BID-DOCUMENT-GRC-SOFTWARE-SOLUTION-002.pdf</t>
  </si>
  <si>
    <t>RFP: 015/11/2023/IIU</t>
  </si>
  <si>
    <t>The Special Investigating Unit (SIU) hereby invites experienced and suitable service provider/s for the provision of physical security guarding for SIU offices Nationwide for a period of three (03) years with an option to extend for two years</t>
  </si>
  <si>
    <t>https://www.siu.org.za/wp-content/uploads/2023/11/BID-DOCUMENT-PROVISION-FOR-SECURITY-SERVICES-TO-THE-SIU.pdf</t>
  </si>
  <si>
    <t>RFP: 016/11/2023 ERM</t>
  </si>
  <si>
    <t>Appointment of a panel of close armed protection services on an “as-and-when required” basis for a period of 36 months</t>
  </si>
  <si>
    <t>https://www.siu.org.za/wp-content/uploads/2023/11/BID-DOCUMENT-CLOSE-ARMED-PROTECTION-SERVICES-21-Nov-2023.pdf</t>
  </si>
  <si>
    <t>RFP: 014/10/2023/FIN</t>
  </si>
  <si>
    <t>Appointment of a service provider for the provision of short-term insurance and/or brokerage service for the Special Investigating Unit (SIU)</t>
  </si>
  <si>
    <t>https://www.siu.org.za/wp-content/uploads/2023/11/BID-DOCUMENT-APPOINTMENT-OF-SERVICE-PROVIDERS-FOR-THE-PROVISION-OF-INSURANCE-SERVICES.pdf</t>
  </si>
  <si>
    <t>RFP: 013/09/2023 FIN</t>
  </si>
  <si>
    <t>Appointment of a service provider for the provision of Travel Management Services for the Special Investigating Unit (SIU) for a period of five (5) years</t>
  </si>
  <si>
    <t>https://www.siu.org.za/wp-content/uploads/2023/10/BID-DOCUMENT-TRAVEL-MANAGEMENT-SERVICES-RFP-013-09-2023-FIN-SIU.pdf</t>
  </si>
  <si>
    <t>RFP: 03/05/2023/FM</t>
  </si>
  <si>
    <t>Provision of Office Accommodation – Mahikeng (Within Mahikeng and/or surrounding areas with acceptable radius outside Mahikeng not exceeding 20km)</t>
  </si>
  <si>
    <t>https://www.siu.org.za/wp-content/uploads/2023/05/BID-DOCUMENT-FOR-PROVISION-OF-OFFICE-ACCOMMODATION-IN-MAHIKENG.pdf</t>
  </si>
  <si>
    <t>RFP: 010/01/2023/GRC</t>
  </si>
  <si>
    <t>Appointment of a service provider for the provision of an integrated risk management, internal audit and compliance software solution with maintenance and support for a period of 36 months</t>
  </si>
  <si>
    <t>https://www.siu.org.za/wp-content/uploads/2023/01/APPOINTMENT-OF-A-SERVICE-PROVIDER-FOR-PROVISION-OF-AN-INTERGRATED-RISK-MANAGEMENT-INTERNAL-AUDIT-AND-COMPLIANCE-SOFTWARE-SOLUTION-WITH-MAINTANANCE-SUPPORT-FOR-A-PERIOD-OF-36-MONTHS.pdf</t>
  </si>
  <si>
    <t>RFP: 09/11/2022/ERM</t>
  </si>
  <si>
    <t>Appointment of a panel of close armed protection and static guarding services “as-and-when required” basis for a period of 36 months</t>
  </si>
  <si>
    <t>https://www.siu.org.za/wp-content/uploads/2022/11/Panel-of-CloseArmedProtection-and-StaticGuardingServices.pdf</t>
  </si>
  <si>
    <t>RFP: 08/09/2022FM</t>
  </si>
  <si>
    <t>Appointment of a service provider for the provision of office accommodation – Nelspruit</t>
  </si>
  <si>
    <t>https://www.siu.org.za/wp-content/uploads/2022/10/RFP-for-the-Office-accommodation-Nelspruit-final.pdf</t>
  </si>
  <si>
    <t>RFP: 07/09/2022/NI</t>
  </si>
  <si>
    <t>Appointment of Panel of Experts – Professional Architects – POE.05</t>
  </si>
  <si>
    <t>https://www.siu.org.za/wp-content/uploads/2022/09/PANEL-OF-EXPERTS-5-ARCHITECTS.docx.pdf</t>
  </si>
  <si>
    <t>RFP: 04/08/2022/NI</t>
  </si>
  <si>
    <t>Appointment of Panel of Experts – Quantity Surveyor – POE.01</t>
  </si>
  <si>
    <t>https://www.siu.org.za/wp-content/uploads/2022/09/APPOINTMENT-OF-PANEL-OF-EXPERTS-QUANTITY-SURVEYOR-POE.1.pdf</t>
  </si>
  <si>
    <t>RFP: 05/08/2022NI</t>
  </si>
  <si>
    <t>Request for Panel of Experts – Procurement Investigations Specialist – POE.14</t>
  </si>
  <si>
    <t>https://www.siu.org.za/wp-content/uploads/2022/09/APPOINTMENT-OF-PANEL-OF-EXPERTS-PROCUREMENT-INVESTIGATION-SPECIALIST-POE.14.pdf</t>
  </si>
  <si>
    <t>RFP: 06/08/2022NI</t>
  </si>
  <si>
    <t>Appointment of Panel of Experts – Governance Risk and Compliance Specialist – POE.15</t>
  </si>
  <si>
    <t>https://www.siu.org.za/wp-content/uploads/2022/09/Appointment-of-Panel-Experts-Governance-Risk-and-Compliance-and-Specialist-POE.15.pdf</t>
  </si>
  <si>
    <t>RFP: 01/06/2022/HC</t>
  </si>
  <si>
    <t>Appointment of a service provider to develop and implement a new organizational culture for the SIU for a period not exceeding nine (9) months</t>
  </si>
  <si>
    <t>https://www.siu.org.za/wp-content/uploads/2022/07/Bid-document-Organizational-Culture-Tender.pdf</t>
  </si>
  <si>
    <t>RFP: 02/06/2022/CL</t>
  </si>
  <si>
    <t>Appointment of a panel of Attorneys/Law Firms/Legal Practitioners for general assistance, administrative law and civil litigation on an “as-and-when-required” basis for a period of 36 months</t>
  </si>
  <si>
    <t>https://www.siu.org.za/wp-content/uploads/2022/07/Panel-of-attorneys-law-firms-legal-practitioners..docx.pdf</t>
  </si>
  <si>
    <t>RFP: 03/06/2022/FD</t>
  </si>
  <si>
    <t>Appointment of a service provider for the provision of office accommodation for SIU Northern Cape, Kimberly (within Kimberly and/or surrounding areas)</t>
  </si>
  <si>
    <t>https://www.siu.org.za/wp-content/uploads/2022/07/Tender-Document-and-TOR-Provision-of-Office-Accommodation-for-SIU-Office-in-Kimberly2.pdf</t>
  </si>
  <si>
    <t>RFQ-MS-UPS BATTERIES-01/04/2022</t>
  </si>
  <si>
    <t>13:00 PM</t>
  </si>
  <si>
    <t>PROVISION OF SUPPLY, DELIVERY AND INSTALLATION OF 18 X UPS BATTERIES FOR SIU PRETORIA OFFICE</t>
  </si>
  <si>
    <t>https://www.siu.org.za/wp-content/uploads/2022/07/RFQ-ProvisionSupplyDeliveryInstallationOf18xUPS-BatteriesForTheSIU-PretoriaOffice.pdf</t>
  </si>
  <si>
    <t>SCM-MATL-DBN AUCTION –23 FEB 2022</t>
  </si>
  <si>
    <t>Asset Disposal – Auctioning Of Obsolete Assets (Furniture)</t>
  </si>
  <si>
    <t>https://www.siu.org.za/wp-content/uploads/2022/02/RFQ-for-SCM-Diposal-Durban-Office.pdf</t>
  </si>
  <si>
    <t>RFP: 003/11/2021</t>
  </si>
  <si>
    <t>Appointment of Panel of Close Armed Protection Services</t>
  </si>
  <si>
    <t>https://www.siu.org.za/wp-content/uploads/2021/11/PANEL-OF-CLOSE-ARMED-PROTECTION-SERVICE-RFP003-11-2021.pdf</t>
  </si>
  <si>
    <t>RFP: 002/07/2021</t>
  </si>
  <si>
    <t>Appointment of a Panel of Legal Experts for General Assistance, Administrative Law and Civil Litigation for a period of 36 months.</t>
  </si>
  <si>
    <t>https://www.siu.org.za/wp-content/uploads/2021/07/Bid-Document-for-the-Panel-of-Legal-Experts.pdf</t>
  </si>
  <si>
    <t>RFP: 001/07/2021</t>
  </si>
  <si>
    <t>Appointment of a Service Provider to develop and implement a new organizational culture for SIU for a period not exceeding nine (09) months</t>
  </si>
  <si>
    <t>https://www.siu.org.za/wp-content/uploads/2021/07/Bid-document-Organizational-Culture.pdf</t>
  </si>
  <si>
    <t>RFP: 005/03/2021</t>
  </si>
  <si>
    <t>APPOINTMENT OF SERVICE PROVIDER FOR THE PROVISION OF OFFICE ACCOMMODATION- MAHIKENG</t>
  </si>
  <si>
    <t>https://www.siu.org.za/wp-content/uploads/2021/03/RFP-for-the-Office-Accommodation-MAHIKENG.pdf</t>
  </si>
  <si>
    <t>RFP: 004/03/2021</t>
  </si>
  <si>
    <t>APPOINTMENT OF SERVICE PROVIDER FOR THE PROVISION OF OFFICE ACCOMMODATION- NELSPRUIT</t>
  </si>
  <si>
    <t>https://www.siu.org.za/wp-content/uploads/2021/03/RFP-for-the-Office-accommodation-Nelspruit.pdf</t>
  </si>
  <si>
    <t>RFP: 002/01/2021</t>
  </si>
  <si>
    <t>Appointment of a Service Provider for the Provision of Employee Wellness Programme (“EWP”) Services.</t>
  </si>
  <si>
    <t>https://www.siu.org.za/wp-content/uploads/2021/01/Tender-document-Provision-of-Employee-Wellness-Programme.pdf</t>
  </si>
  <si>
    <t>RFP: 003/01/2021</t>
  </si>
  <si>
    <t>Appointment of a Service Provider to conduct anti- corruption survey in Local Government for 97 Municipalities.</t>
  </si>
  <si>
    <t>https://www.siu.org.za/wp-content/uploads/2021/01/Tender-document-Local-Goverment-Survey-TOR.pdf</t>
  </si>
  <si>
    <t>RFP: 001/08/2020</t>
  </si>
  <si>
    <t>11h00 am</t>
  </si>
  <si>
    <t>Provision of Internal Audit Service in Co-sourced Capacity</t>
  </si>
  <si>
    <t>https://www.siu.org.za/wp-content/uploads/2020/08/Tender-Advert-Internal-Audit-Service-in-Co-sourced-Capacity.pdf</t>
  </si>
  <si>
    <t>RFP: 001/07/2018</t>
  </si>
  <si>
    <t>APPOINTMENT OF A SERVICE PROVIDER FOR THE PROVISION OF OFFICE ACCOMMODATION IN POLOKWANE</t>
  </si>
  <si>
    <t>https://www.siu.org.za/wp-content/uploads/2018/10/Tender-Advert-oFFICE-PACE-plK-Reissue_2.pdf</t>
  </si>
  <si>
    <t>RFP: 030/08/2018</t>
  </si>
  <si>
    <t>Travel Management Services (Bid document details, please refer to link on the far right)</t>
  </si>
  <si>
    <t>https://www.siu.org.za/travel-management-services/</t>
  </si>
  <si>
    <t>11h00 pm</t>
  </si>
  <si>
    <t>Provision of office Accommodation in Polokwane</t>
  </si>
  <si>
    <t>https://www.siu.org.za/wp-content/uploads/2018/07/Tender-Advert-OFFICE-PACE-PLK-DBN_Final_1.pdf</t>
  </si>
  <si>
    <t>RFP: 002/07/2018</t>
  </si>
  <si>
    <t>Provision of office Accommodation in Durban</t>
  </si>
  <si>
    <t>RFP: 010/10/2017</t>
  </si>
  <si>
    <t>Panel of Experts for a Period of Thirty Six (36) months (For details, please refer to link for detailed list)</t>
  </si>
  <si>
    <t>https://www.siu.org.za/wp-content/uploads/2018/06/RFP019-12-2017_010-10-2017.pdf</t>
  </si>
  <si>
    <t>RFP: 019/12/2017</t>
  </si>
  <si>
    <t>Panel of Recruitment Agencies for a Period of Thirty Six (36) months (For details, please refer to link for detailed list)</t>
  </si>
  <si>
    <t>SCM-MPH-MAF</t>
  </si>
  <si>
    <t>12h00</t>
  </si>
  <si>
    <t>Supply and installation of CCTV Cameras and Finger Enrollment Machines</t>
  </si>
  <si>
    <t>https://www.siu.org.za/wp-content/uploads/2018/03/CCTV_Mahikeng.zip</t>
  </si>
  <si>
    <t>SCM-MPH-EL 14/02/2018</t>
  </si>
  <si>
    <t>Appointment of a service provider for the provision of cleaning and hygiene services in SIU East London office for a period of 13 Months</t>
  </si>
  <si>
    <t>https://www.siu.org.za/wp-content/uploads/2018/02/Tender_Advert-RFQ_Cleaning_East_London.zip</t>
  </si>
  <si>
    <t>SCM-MPH-EL 15/02/2018</t>
  </si>
  <si>
    <t>Appointment of a service provider for the provision of fumigation and pest control for SIU East London for twelf (12) months period, per quater.</t>
  </si>
  <si>
    <t>https://www.siu.org.za/wp-content/uploads/2018/02/Tender_Advert-RFQ_Fumigation_East_London.zip</t>
  </si>
  <si>
    <t>RFP: 060/08/2017</t>
  </si>
  <si>
    <t>Travel Management Services</t>
  </si>
  <si>
    <t>https://www.siu.org.za/wp-content/uploads/2017/11/Travel_management.zip</t>
  </si>
  <si>
    <t>RFP: 43/04/2016</t>
  </si>
  <si>
    <t>Review of Organisational Structure:                                           Briefing Session Information:</t>
  </si>
  <si>
    <t>https://www.siu.org.za/wp-content/uploads/2017/11/RFP43.04.2016_Org_R.pdf</t>
  </si>
  <si>
    <t>Tender notice: Groceries for the 2026/2027 Budget Community outreach</t>
  </si>
  <si>
    <t>https://www.matatiele.gov.za/?post_type=job_listing&amp;p=24577</t>
  </si>
  <si>
    <t>Tender notice: Supply and delivery of brush cutters and full PPE</t>
  </si>
  <si>
    <t>https://www.matatiele.gov.za/?post_type=job_listing&amp;p=24575</t>
  </si>
  <si>
    <t>Tender notice: Printing and mailing of consumer debtor’s statements</t>
  </si>
  <si>
    <t>https://www.matatiele.gov.za/?post_type=job_listing&amp;p=24283</t>
  </si>
  <si>
    <t>Tender notice: Supply, Design and installation of billboards</t>
  </si>
  <si>
    <t>https://www.matatiele.gov.za/?post_type=job_listing&amp;p=24279</t>
  </si>
  <si>
    <t>Tender notice: Provision of Environmental and Waste audit for landfill site of Matatiele Local Municipality</t>
  </si>
  <si>
    <t>https://www.matatiele.gov.za/?post_type=job_listing&amp;p=24277</t>
  </si>
  <si>
    <t>Tender notice: Supply and deliver of Protective clothing/uniform for admin and council support unit staff (GA’s) for Forty-Nine (49) staff</t>
  </si>
  <si>
    <t>https://www.matatiele.gov.za/?post_type=job_listing&amp;p=24274</t>
  </si>
  <si>
    <t>BIDS AWARDED IN THE SECOND QUARTER 31 DECEMBER 2025</t>
  </si>
  <si>
    <t>https://www.matatiele.gov.za/?post_type=job_listing&amp;p=24240</t>
  </si>
  <si>
    <t>AWARDED TENDERS IN THE FIRST QUARTER ENDED 30 SEPTEMBER 2025</t>
  </si>
  <si>
    <t>https://www.matatiele.gov.za/?post_type=job_listing&amp;p=24059</t>
  </si>
  <si>
    <t>Concrete pipes closing tender</t>
  </si>
  <si>
    <t>https://www.matatiele.gov.za/?post_type=job_listing&amp;p=23766</t>
  </si>
  <si>
    <t>Bid Document: Groceries for the 2026/2027 Budget Community outreach</t>
  </si>
  <si>
    <t>https://www.matatiele.gov.za/?post_type=job_listing&amp;p=24599</t>
  </si>
  <si>
    <t>Bid document: Supply and delivery of brush cutters and full PPE</t>
  </si>
  <si>
    <t>https://www.matatiele.gov.za/?post_type=job_listing&amp;p=24596</t>
  </si>
  <si>
    <t>Tender notice: Supply and delivery of protective clothing for Operations and maintenance staff</t>
  </si>
  <si>
    <t>https://www.matatiele.gov.za/?post_type=job_listing&amp;p=16830</t>
  </si>
  <si>
    <t>OPENING AND CLOSING REGISTER FOR ACQUISITION OF BRAND NEW POOL VEHICLES FOR FLEET UNIT1 DOUBLE CAB AND 2 SEDANS VEHICLES</t>
  </si>
  <si>
    <t>https://www.matatiele.gov.za/?post_type=job_listing&amp;p=24744</t>
  </si>
  <si>
    <t>Opening and closing register: Supply, delivery, and installation of nature reserve fence</t>
  </si>
  <si>
    <t>https://www.matatiele.gov.za/?post_type=job_listing&amp;p=18026</t>
  </si>
  <si>
    <t>Opening and closing register: Renovations of Harry Gwala Community hall</t>
  </si>
  <si>
    <t>https://www.matatiele.gov.za/?post_type=job_listing&amp;p=18023</t>
  </si>
  <si>
    <t>Opening and closing register: Renovations of Nokhwezi Community hall</t>
  </si>
  <si>
    <t>https://www.matatiele.gov.za/?post_type=job_listing&amp;p=18021</t>
  </si>
  <si>
    <t>Opening and closing register: Repairs and maintenance of air conditioners at LED, BTO, Maggie – Tsiu Resha, Traffic and electricity offices</t>
  </si>
  <si>
    <t>https://www.matatiele.gov.za/?post_type=job_listing&amp;p=18019</t>
  </si>
  <si>
    <t>Opening and closing register: Supply and delivery of building control working tools</t>
  </si>
  <si>
    <t>https://www.matatiele.gov.za/?post_type=job_listing&amp;p=18017</t>
  </si>
  <si>
    <t>Opening and closing register: Appointment of (03) service providers for supply and delivery of toilet paper in Municipal stores for a period of 12 months</t>
  </si>
  <si>
    <t>https://www.matatiele.gov.za/?post_type=job_listing&amp;p=18014</t>
  </si>
  <si>
    <t>Opening and closing register: Appointment of (03) service providers for supply and delivery of photocopy paper in Municipal stores for a period of 12 months</t>
  </si>
  <si>
    <t>https://www.matatiele.gov.za/?post_type=job_listing&amp;p=18012</t>
  </si>
  <si>
    <t>Opening and closing register: Supply and delivery of protective clothing for LED unit</t>
  </si>
  <si>
    <t>https://www.matatiele.gov.za/?post_type=job_listing&amp;p=18010</t>
  </si>
  <si>
    <t>Opening and closing register: Supply and delivery of 6000 bags of tar fix</t>
  </si>
  <si>
    <t>https://www.matatiele.gov.za/?post_type=job_listing&amp;p=18008</t>
  </si>
  <si>
    <t>Intention to Award for EPMS and RISK</t>
  </si>
  <si>
    <t>https://www.matatiele.gov.za/?post_type=job_listing&amp;p=24772</t>
  </si>
  <si>
    <t>Intention letter</t>
  </si>
  <si>
    <t>https://www.matatiele.gov.za/?post_type=job_listing&amp;p=24237</t>
  </si>
  <si>
    <t>INTENSION TO AWARD LETTER</t>
  </si>
  <si>
    <t>https://www.matatiele.gov.za/?post_type=job_listing&amp;p=24155</t>
  </si>
  <si>
    <t>Intention to award</t>
  </si>
  <si>
    <t>https://www.matatiele.gov.za/?post_type=job_listing&amp;p=24049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</si>
</sst>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tenders.gov.za/home/Download/?blobName=e4571d1e-0761-487a-8683-26b14bf80afc.pdf&amp;downloadedFileName=ADVERT%20SETLOPO%20WATER%20SUPPLY%20PHASE%202%20WARD%2022%20AND%2031%20JUNE%202026.pdf" TargetMode="External"/><Relationship Id="rId299" Type="http://schemas.openxmlformats.org/officeDocument/2006/relationships/hyperlink" Target="https://www.etenders.gov.za/home/Download/?blobName=96d822e8-a1a5-4da8-82ed-4408caf89e3e.pdf&amp;downloadedFileName=Request%20for%20Business%20Process%20Mapping%20Services.pdf" TargetMode="External"/><Relationship Id="rId21" Type="http://schemas.openxmlformats.org/officeDocument/2006/relationships/hyperlink" Target="https://www.etenders.gov.za/home/Download/?blobName=e02d4e44-a83c-47fd-908f-9afbfaa75dbd.pdf&amp;downloadedFileName=Giyani%20Water%20Reticulation%20to%20Villages%20Phase%202A%20-%20Final%20advert%20.pdf" TargetMode="External"/><Relationship Id="rId63" Type="http://schemas.openxmlformats.org/officeDocument/2006/relationships/hyperlink" Target="https://www.etenders.gov.za/home/Download/?blobName=fc277663-1c61-4ad7-98cd-1b49cf211de2.pdf&amp;downloadedFileName=3.%20KKDM%2013-25%20UPDATE%20THE%20ASSET%20REGISTER.pdf" TargetMode="External"/><Relationship Id="rId159" Type="http://schemas.openxmlformats.org/officeDocument/2006/relationships/hyperlink" Target="https://www.etenders.gov.za/home/Download/?blobName=d7af7f4f-a95a-4ec0-91a3-fa8b18892529.pdf&amp;downloadedFileName=DARD08.2026.pdf" TargetMode="External"/><Relationship Id="rId324" Type="http://schemas.openxmlformats.org/officeDocument/2006/relationships/hyperlink" Target="https://www.etenders.gov.za/home/Download/?blobName=f63a482a-fc55-40cc-ae44-8c4a36574d6d.pdf&amp;downloadedFileName=RFQ0001228.pdf" TargetMode="External"/><Relationship Id="rId366" Type="http://schemas.openxmlformats.org/officeDocument/2006/relationships/hyperlink" Target="https://www.umzimvubu.gov.za/wp-content/uploads/2025/02/Tender-Document-Provision-of-Vetting-and-Screening-Services-1.pdf" TargetMode="External"/><Relationship Id="rId170" Type="http://schemas.openxmlformats.org/officeDocument/2006/relationships/hyperlink" Target="https://www.etenders.gov.za/home/Download/?blobName=463d671c-91f7-4cf7-b46e-f2d3a33f0f72.pdf&amp;downloadedFileName=TNPA%202026%2006%200006%20114507%20RFP.pdf" TargetMode="External"/><Relationship Id="rId226" Type="http://schemas.openxmlformats.org/officeDocument/2006/relationships/hyperlink" Target="https://www.etenders.gov.za/home/Download/?blobName=dafa4c23-9b03-48f9-bc98-7f3a31cf47c2.pdf&amp;downloadedFileName=TMT-ECDoE-2627-SAN60-CL57%20NJONGOZABANTU%20SSS.pdf" TargetMode="External"/><Relationship Id="rId433" Type="http://schemas.openxmlformats.org/officeDocument/2006/relationships/hyperlink" Target="https://www.winniemmlm.gov.za/wp-content/uploads/2023/02/WMM-LM-MBD-FORMS-2023.pdf.pdf" TargetMode="External"/><Relationship Id="rId268" Type="http://schemas.openxmlformats.org/officeDocument/2006/relationships/hyperlink" Target="https://www.etenders.gov.za/home/Download/?blobName=f2bfed2e-868c-477a-a04e-61ddf5f0fd78.pdf&amp;downloadedFileName=RFQJW45ZZ26%20-Unit%205%20Screw%20Pump%20Cable.pdf" TargetMode="External"/><Relationship Id="rId475" Type="http://schemas.openxmlformats.org/officeDocument/2006/relationships/hyperlink" Target="https://www.matatiele.gov.za/job/bids-awarded-in-the-third-quarter-ended-31-march-2026/" TargetMode="External"/><Relationship Id="rId32" Type="http://schemas.openxmlformats.org/officeDocument/2006/relationships/hyperlink" Target="https://www.etenders.gov.za/home/Download/?blobName=58e29ae4-0579-40a9-a704-ceecbd68167d.pdf&amp;downloadedFileName=Giyani%20Water%20Reticulation%20to%20Villages%20Phase%202A%20-%20Final%20advert%20.pdf" TargetMode="External"/><Relationship Id="rId74" Type="http://schemas.openxmlformats.org/officeDocument/2006/relationships/hyperlink" Target="https://www.etenders.gov.za/home/Download/?blobName=5046b531-1f31-441e-844d-09c117de9fae.pdf&amp;downloadedFileName=240-12248652%20(Rev%207)_List%20of%20Tender%20Returnables-ESupply%20and%20Delivery%20of%20electrical%20heater%20elements%20For%20Kendal%20Power%20Station.pdf" TargetMode="External"/><Relationship Id="rId128" Type="http://schemas.openxmlformats.org/officeDocument/2006/relationships/hyperlink" Target="https://www.etenders.gov.za/home/Download/?blobName=8d247aa2-1e67-408f-8b1f-334fd0a6e169.pdf&amp;downloadedFileName=ZNB%207000-2026-H%20BID%20DOCUMENT.pdf" TargetMode="External"/><Relationship Id="rId335" Type="http://schemas.openxmlformats.org/officeDocument/2006/relationships/hyperlink" Target="https://www.etenders.gov.za/home/Download/?blobName=e2574f92-317b-44a3-8fb8-7d11c0ff099d.pdf&amp;downloadedFileName=ANNEXURE%20H%20-%20BRIBERY%20AND%20CORRUPTION%20DECLARATION.pdf" TargetMode="External"/><Relationship Id="rId377" Type="http://schemas.openxmlformats.org/officeDocument/2006/relationships/hyperlink" Target="https://www.umzimvubu.gov.za/wp-content/uploads/2025/02/Ndindindi-Contract-Section-2.pdf" TargetMode="External"/><Relationship Id="rId5" Type="http://schemas.openxmlformats.org/officeDocument/2006/relationships/hyperlink" Target="https://www.etenders.gov.za/home/Download/?blobName=aa42ef56-627e-43ee-8472-b8b52e5ca98b.pdf&amp;downloadedFileName=Advert%20for%20Provision%20of%20internet%20services%20-%20End%20Point-%203%20Tier.pdf" TargetMode="External"/><Relationship Id="rId181" Type="http://schemas.openxmlformats.org/officeDocument/2006/relationships/hyperlink" Target="https://www.etenders.gov.za/home/Download/?blobName=a1018d44-6ec2-4416-9561-be2f6337ea5e.pdf&amp;downloadedFileName=TNPA%202026%2006%200003%20114504%20RFP.pdf" TargetMode="External"/><Relationship Id="rId237" Type="http://schemas.openxmlformats.org/officeDocument/2006/relationships/hyperlink" Target="https://www.etenders.gov.za/home/Download/?blobName=a2d6cffb-4cb4-44a8-8ccf-c427ca8391f9.pdf&amp;downloadedFileName=TMT-ECDoE-2627-SAN60-CL44%20TSOLOMNQA%20HS.pdf" TargetMode="External"/><Relationship Id="rId402" Type="http://schemas.openxmlformats.org/officeDocument/2006/relationships/hyperlink" Target="https://www.umzimvubu.gov.za/wp-content/uploads/2025/02/Gravel-headwall-detail2.pdf" TargetMode="External"/><Relationship Id="rId279" Type="http://schemas.openxmlformats.org/officeDocument/2006/relationships/hyperlink" Target="https://www.etenders.gov.za/home/Download/?blobName=b37ca738-916e-4623-8ea1-febcb0e7674c.pdf&amp;downloadedFileName=02%20QBD_REQ0994_1606.pdf" TargetMode="External"/><Relationship Id="rId444" Type="http://schemas.openxmlformats.org/officeDocument/2006/relationships/hyperlink" Target="https://greatkeilm.gov.za/web/2026/04/29/rfq-bto-10-2025-26-request-for-supply-and-delivery-of-laptops-and-laptop-bags/" TargetMode="External"/><Relationship Id="rId43" Type="http://schemas.openxmlformats.org/officeDocument/2006/relationships/hyperlink" Target="https://www.etenders.gov.za/home/Download/?blobName=f29ad1c3-f684-4769-a5c3-23d736c29bca.pdf&amp;downloadedFileName=Annexure%20B%20%20Local%20Content%20and%20Local%20Production%20%20Declaration.pdf" TargetMode="External"/><Relationship Id="rId139" Type="http://schemas.openxmlformats.org/officeDocument/2006/relationships/hyperlink" Target="https://www.etenders.gov.za/home/Download/?blobName=98f7ab78-53c0-425b-8882-3119028bb53c.pdf&amp;downloadedFileName=Bid%20Document%20-%20Western%20Cape%20Lease.pdf" TargetMode="External"/><Relationship Id="rId290" Type="http://schemas.openxmlformats.org/officeDocument/2006/relationships/hyperlink" Target="https://www.etenders.gov.za/home/Download/?blobName=7532eccf-8ff1-4c59-a26b-6c3bba646369.pdf&amp;downloadedFileName=ADDENDUM%20BREIFING%20FOR%20PANEL%20OF%20CONSULTANTS%20(002).pdf" TargetMode="External"/><Relationship Id="rId304" Type="http://schemas.openxmlformats.org/officeDocument/2006/relationships/hyperlink" Target="https://www.etenders.gov.za/home/Download/?blobName=22a500ca-0aab-4b1b-977c-4e081a313b8d.pdf&amp;downloadedFileName=Q2026%20036%20DOC.pdf" TargetMode="External"/><Relationship Id="rId346" Type="http://schemas.openxmlformats.org/officeDocument/2006/relationships/hyperlink" Target="https://www.ecdpw.gov.za/wp-content/tender-uploads/bcm5-26-27-0012-quotation-for-supply-delivery-and-decanting-of-diesel-at---amalinda-offices-as-per-specification-from-department-of-public-works-and-infrastructure-.pdf" TargetMode="External"/><Relationship Id="rId388" Type="http://schemas.openxmlformats.org/officeDocument/2006/relationships/hyperlink" Target="https://www.umzimvubu.gov.za/wp-content/uploads/2025/02/Gravel-Road-S-W-Pipe-Backfill-shallow-detail3.pdf" TargetMode="External"/><Relationship Id="rId85" Type="http://schemas.openxmlformats.org/officeDocument/2006/relationships/hyperlink" Target="https://www.etenders.gov.za/home/Download/?blobName=d2a969c7-b262-4e78-870c-1bdbfd7a5817.pdf&amp;downloadedFileName=Publication%20of%20Names%20of%20Biders%20iro%20advertised%20Competitive%20Bids.pdf" TargetMode="External"/><Relationship Id="rId150" Type="http://schemas.openxmlformats.org/officeDocument/2006/relationships/hyperlink" Target="https://www.etenders.gov.za/home/Download/?blobName=4f5554ec-e57c-4606-8732-1e4673006365.pdf&amp;downloadedFileName=278G-2025-26%20-%20FINAL%20TENDER%20DOC.pdf" TargetMode="External"/><Relationship Id="rId192" Type="http://schemas.openxmlformats.org/officeDocument/2006/relationships/hyperlink" Target="https://www.etenders.gov.za/home/Download/?blobName=346d3297-cac1-4656-8af2-46cb51c0989b.pdf&amp;downloadedFileName=E3-2026-2027%20PART%201%20OF%20BID%20DOCUMENT%2019June2026.pdf" TargetMode="External"/><Relationship Id="rId206" Type="http://schemas.openxmlformats.org/officeDocument/2006/relationships/hyperlink" Target="https://www.etenders.gov.za/home/Download/?blobName=944e4c88-e025-4bfc-bbe0-4caebf9484d8.pdf&amp;downloadedFileName=RFB004.2026%20-%20ROUND%20LOG%20TRANSPORT%20BID%20DOCUMENT.pdf" TargetMode="External"/><Relationship Id="rId413" Type="http://schemas.openxmlformats.org/officeDocument/2006/relationships/hyperlink" Target="https://www.umzimvubu.gov.za/wp-content/uploads/2025/02/Cross-section_Concrete24.pdf" TargetMode="External"/><Relationship Id="rId248" Type="http://schemas.openxmlformats.org/officeDocument/2006/relationships/hyperlink" Target="https://www.etenders.gov.za/home/Download/?blobName=0b12355a-82b0-448d-aa3d-7909a3759eb3.pdf&amp;downloadedFileName=INVITATION%20TO%20BID%20DHA09-2026.pdf" TargetMode="External"/><Relationship Id="rId455" Type="http://schemas.openxmlformats.org/officeDocument/2006/relationships/hyperlink" Target="https://www.labour.gov.za/Tenders/Available-Tenders/Lists/Open%20Tenders/Attachments/539/DAY%20TO%20DAY%20CLEANING%20%20AND%20PEST%20CONTROL%20SERVICES%20SPECIFICATION%2009%20JUNE%202026.pdf" TargetMode="External"/><Relationship Id="rId12" Type="http://schemas.openxmlformats.org/officeDocument/2006/relationships/hyperlink" Target="https://www.etenders.gov.za/home/Download/?blobName=6259c7a5-5913-45da-ac0a-0c6715b34390.pdf&amp;downloadedFileName=Giyani%20Water%20Reticulation%20to%20Villages%20Phase%202A%20-%20Final%20advert%20.pdf" TargetMode="External"/><Relationship Id="rId108" Type="http://schemas.openxmlformats.org/officeDocument/2006/relationships/hyperlink" Target="https://www.etenders.gov.za/home/Download/?blobName=34c8d000-d4c3-45f4-9b09-21aa8ef5dc0d.pdf&amp;downloadedFileName=RFQ%2003-06-2026%20Appointment%20of%20a%20service%20provider%20to%20provide%20engine%20software%20licenses%20renewal%20for%20IT%20Infrastructure%20monitoing,%20auditing%20and%20reporting.pdf" TargetMode="External"/><Relationship Id="rId315" Type="http://schemas.openxmlformats.org/officeDocument/2006/relationships/hyperlink" Target="https://www.etenders.gov.za/home/Download/?blobName=8b7cc0b4-7117-4c6a-a841-c446f8e592b3.pdf&amp;downloadedFileName=Annexure%20A-%20ToR%20Response%20handling%20(SP).pdf" TargetMode="External"/><Relationship Id="rId357" Type="http://schemas.openxmlformats.org/officeDocument/2006/relationships/hyperlink" Target="https://www.ntabankulu.gov.za/2026/05/29/supply-and-delivery-of-kids-learning-gadgets-2/" TargetMode="External"/><Relationship Id="rId54" Type="http://schemas.openxmlformats.org/officeDocument/2006/relationships/hyperlink" Target="https://www.etenders.gov.za/home/Download/?blobName=04790b81-1e70-4755-8393-050f5004f797.xlsx&amp;downloadedFileName=Annexure%20A-%20Service%20Level%20Agreement.xlsx" TargetMode="External"/><Relationship Id="rId96" Type="http://schemas.openxmlformats.org/officeDocument/2006/relationships/hyperlink" Target="https://www.etenders.gov.za/home/Download/?blobName=f7698570-b5d0-4e22-b23b-f4ceed27177c.pdf&amp;downloadedFileName=CLEANING%20DOC..pdf" TargetMode="External"/><Relationship Id="rId161" Type="http://schemas.openxmlformats.org/officeDocument/2006/relationships/hyperlink" Target="https://www.etenders.gov.za/home/Download/?blobName=5b6a56ba-ea5d-4fc0-8d28-a254f22126c4.pdf&amp;downloadedFileName=TNPA%202026%2006%200026%20114527%20RFP.pdf" TargetMode="External"/><Relationship Id="rId217" Type="http://schemas.openxmlformats.org/officeDocument/2006/relationships/hyperlink" Target="https://www.etenders.gov.za/home/Download/?blobName=86a9705a-fe5a-482e-8912-0a79f35ce603.pdf&amp;downloadedFileName=CPSC-B-069-2026_260617_130850.pdf" TargetMode="External"/><Relationship Id="rId399" Type="http://schemas.openxmlformats.org/officeDocument/2006/relationships/hyperlink" Target="https://www.umzimvubu.gov.za/wp-content/uploads/2025/02/Gravel-headwall-detail5.pdf" TargetMode="External"/><Relationship Id="rId259" Type="http://schemas.openxmlformats.org/officeDocument/2006/relationships/hyperlink" Target="https://www.etenders.gov.za/home/Download/?blobName=822fc972-a73d-47dd-93e1-cf466bf529e9.pdf&amp;downloadedFileName=Tender%20Document%20-%20g%20FleeT%2013%2010%202025.pdf" TargetMode="External"/><Relationship Id="rId424" Type="http://schemas.openxmlformats.org/officeDocument/2006/relationships/hyperlink" Target="https://www.umzimvubu.gov.za/wp-content/uploads/2025/02/Capture3.jpg" TargetMode="External"/><Relationship Id="rId466" Type="http://schemas.openxmlformats.org/officeDocument/2006/relationships/hyperlink" Target="https://www.matatiele.gov.za/job/opening-and-closing-register-provision-of-active-direction-audit-software/" TargetMode="External"/><Relationship Id="rId23" Type="http://schemas.openxmlformats.org/officeDocument/2006/relationships/hyperlink" Target="https://www.etenders.gov.za/home/Download/?blobName=8dff74dc-a66b-4a7a-9d9b-2eb0c5c82aa9.pdf&amp;downloadedFileName=Giyani%20Water%20Reticulation%20to%20Villages%20Phase%202A%20-%20Final%20advert%20.pdf" TargetMode="External"/><Relationship Id="rId119" Type="http://schemas.openxmlformats.org/officeDocument/2006/relationships/hyperlink" Target="https://www.etenders.gov.za/home/Download/?blobName=9dc16a51-d7ac-448a-be60-ac4104c4a16d.pdf&amp;downloadedFileName=RFB%20RAF%202026%2000038%20Cleaning%20Services.pdf" TargetMode="External"/><Relationship Id="rId270" Type="http://schemas.openxmlformats.org/officeDocument/2006/relationships/hyperlink" Target="https://www.etenders.gov.za/home/Download/?blobName=4ad360fb-7857-4770-8935-e03e54b9052c.pdf&amp;downloadedFileName=RFQJW115NS26-RESTORE%20VANDALIZED%20SAFETY%20SIGNAGE%20AND%20CARPORT%20(19%20JUNE%20-06%20JULY).pdf" TargetMode="External"/><Relationship Id="rId326" Type="http://schemas.openxmlformats.org/officeDocument/2006/relationships/hyperlink" Target="https://www.etenders.gov.za/home/Download/?blobName=f97269d4-b01d-4b71-8dda-a70595499343.pdf&amp;downloadedFileName=RFQJW113TN26%20-%20TRAVEL%20AND%20ACCOMMODATION.pdf" TargetMode="External"/><Relationship Id="rId65" Type="http://schemas.openxmlformats.org/officeDocument/2006/relationships/hyperlink" Target="https://www.etenders.gov.za/home/Download/?blobName=e3b9bbb8-3ccb-4e5d-80e1-cc34fbe485db.pdf&amp;downloadedFileName=Hex%20Armed%20Responses.pdf" TargetMode="External"/><Relationship Id="rId130" Type="http://schemas.openxmlformats.org/officeDocument/2006/relationships/hyperlink" Target="https://www.etenders.gov.za/home/Download/?blobName=a706b196-78a7-412e-917e-696f94b10851.PDF&amp;downloadedFileName=SASSA-03-26-GA-WC.PDF" TargetMode="External"/><Relationship Id="rId368" Type="http://schemas.openxmlformats.org/officeDocument/2006/relationships/hyperlink" Target="https://www.umzimvubu.gov.za/wp-content/uploads/2025/02/Tender-Document-COMPLETION-OF-ELECTRIFICATION-IN-VARIOUS-WARDS-THROUGH-TURNKEY-APPROACH.pdf" TargetMode="External"/><Relationship Id="rId172" Type="http://schemas.openxmlformats.org/officeDocument/2006/relationships/hyperlink" Target="https://www.etenders.gov.za/home/Download/?blobName=761d6681-21d9-4fbc-b881-24e61492c110.pdf&amp;downloadedFileName=TNPA%202026%2006%200007%20114508%20RFP.pdf" TargetMode="External"/><Relationship Id="rId228" Type="http://schemas.openxmlformats.org/officeDocument/2006/relationships/hyperlink" Target="https://www.etenders.gov.za/home/Download/?blobName=f631acae-2fc2-4c4e-bb77-2d4f3557dc98.pdf&amp;downloadedFileName=NTABENKONYANA%20SSS%20UNPRICED%20BOQ.pdf" TargetMode="External"/><Relationship Id="rId435" Type="http://schemas.openxmlformats.org/officeDocument/2006/relationships/hyperlink" Target="https://greatkeilm.gov.za/web/2026/06/09/invitation-to-a-tender-briefing/" TargetMode="External"/><Relationship Id="rId477" Type="http://schemas.openxmlformats.org/officeDocument/2006/relationships/hyperlink" Target="https://www.matatiele.gov.za/job/closing-register-for-15-civil-engineering-projects-of-3-years/" TargetMode="External"/><Relationship Id="rId281" Type="http://schemas.openxmlformats.org/officeDocument/2006/relationships/hyperlink" Target="https://www.etenders.gov.za/home/Download/?blobName=10e0d5ca-17b5-458e-a16d-579c6b199a02.pdf&amp;downloadedFileName=Q1-2026-27%20SUPPLY%20AND%20DELIVER%20OF%20DISASTER%20RELIEF%20MATERIALS%20FOR%20A%20PERIOD%20OF%2012%20MONTHS%20-%20TENDER%20DOCUMENT.pdf" TargetMode="External"/><Relationship Id="rId337" Type="http://schemas.openxmlformats.org/officeDocument/2006/relationships/hyperlink" Target="https://www.ecdpw.gov.za/wp-content/tender-uploads/bcm5-2627-0013.pdf" TargetMode="External"/><Relationship Id="rId34" Type="http://schemas.openxmlformats.org/officeDocument/2006/relationships/hyperlink" Target="https://www.etenders.gov.za/home/Download/?blobName=998a10fb-8fd2-46ab-8144-8566c62ec760.pdf&amp;downloadedFileName=Giyani%20Water%20Reticulation%20to%20Villages%20Phase%202A%20-%20Final%20advert%20.pdf" TargetMode="External"/><Relationship Id="rId76" Type="http://schemas.openxmlformats.org/officeDocument/2006/relationships/hyperlink" Target="https://www.etenders.gov.za/home/Download/?blobName=c60e8a36-3706-4016-b2b9-0905a2cd221b.pdf&amp;downloadedFileName=API01REQ007375.pdf" TargetMode="External"/><Relationship Id="rId141" Type="http://schemas.openxmlformats.org/officeDocument/2006/relationships/hyperlink" Target="https://www.etenders.gov.za/home/Download/?blobName=12ea6ff4-d5ee-4115-bd97-57cdca32ab0b.pdf&amp;downloadedFileName=WIRING%20OF%20VEHICLES,TRUCKS,TRACTORS,HEAVY%20MACHINERY%20AND%20REPAIRS%20OF%20STOBE%20LIGHTS..pdf" TargetMode="External"/><Relationship Id="rId379" Type="http://schemas.openxmlformats.org/officeDocument/2006/relationships/hyperlink" Target="https://www.umzimvubu.gov.za/wp-content/uploads/2025/02/Mnaxiweni-Tender-Document.pdf" TargetMode="External"/><Relationship Id="rId7" Type="http://schemas.openxmlformats.org/officeDocument/2006/relationships/hyperlink" Target="https://www.etenders.gov.za/home/Download/?blobName=3de493a7-77b0-4082-93f7-5392f24917ed.pdf&amp;downloadedFileName=Giyani%20Water%20Reticulation%20to%20Villages%20Phase%202A%20-%20Final%20advert%20.pdf" TargetMode="External"/><Relationship Id="rId183" Type="http://schemas.openxmlformats.org/officeDocument/2006/relationships/hyperlink" Target="https://www.etenders.gov.za/home/Download/?blobName=c7d8e374-d8c3-49d8-9cd6-e87000b4051d.pdf&amp;downloadedFileName=TNPA%202026%2006%200017%20114518%20RFP.pdf" TargetMode="External"/><Relationship Id="rId239" Type="http://schemas.openxmlformats.org/officeDocument/2006/relationships/hyperlink" Target="https://www.etenders.gov.za/home/Download/?blobName=56f9caa4-1479-4a70-a8ad-93303fa7e09d.pdf&amp;downloadedFileName=TMT-ECDoE-2627-SAN60-CL48%20SIBONILE%20SSS.pdf" TargetMode="External"/><Relationship Id="rId390" Type="http://schemas.openxmlformats.org/officeDocument/2006/relationships/hyperlink" Target="https://www.umzimvubu.gov.za/wp-content/uploads/2025/02/Gravel-Road-S-W-Pipe-Backfill-shallow-detail2.pdf" TargetMode="External"/><Relationship Id="rId404" Type="http://schemas.openxmlformats.org/officeDocument/2006/relationships/hyperlink" Target="https://www.umzimvubu.gov.za/wp-content/uploads/2025/02/Gravel-headwall-detail.pdf" TargetMode="External"/><Relationship Id="rId446" Type="http://schemas.openxmlformats.org/officeDocument/2006/relationships/hyperlink" Target="https://greatkeilm.gov.za/web/2026/04/22/rfq-stra-02-2025-26-request-for-supply-and-delivery-of-cropping-projects/" TargetMode="External"/><Relationship Id="rId250" Type="http://schemas.openxmlformats.org/officeDocument/2006/relationships/hyperlink" Target="https://www.etenders.gov.za/home/Download/?blobName=a3cfa0ec-4b66-442d-b807-4821ea9ea363.pdf&amp;downloadedFileName=ST%20MARGARET%20SSS%20UNPRICED%20BOQ.pdf" TargetMode="External"/><Relationship Id="rId292" Type="http://schemas.openxmlformats.org/officeDocument/2006/relationships/hyperlink" Target="https://www.etenders.gov.za/home/Download/?blobName=95aaa9cd-a821-4198-94dc-7b2a3fd698a8.PDF&amp;downloadedFileName=ATNSRF~1.PDF" TargetMode="External"/><Relationship Id="rId306" Type="http://schemas.openxmlformats.org/officeDocument/2006/relationships/hyperlink" Target="https://www.etenders.gov.za/home/Download/?blobName=db2a8296-d195-470d-91c7-38482b1d5557.pdf&amp;downloadedFileName=Q2026%20045%20DOC.pdf" TargetMode="External"/><Relationship Id="rId45" Type="http://schemas.openxmlformats.org/officeDocument/2006/relationships/hyperlink" Target="https://www.etenders.gov.za/home/Download/?blobName=7e33e6d8-8bbf-4ae6-abe8-42751452cdbb.pdf&amp;downloadedFileName=Tender%20document%20Valves%2011.06.26%20Final.pdf" TargetMode="External"/><Relationship Id="rId87" Type="http://schemas.openxmlformats.org/officeDocument/2006/relationships/hyperlink" Target="https://www.etenders.gov.za/home/Download/?blobName=20e302d8-db08-411e-8208-e0e1653955c6.docx&amp;downloadedFileName=ADVERT%20FOR%20Waste%20Audit%20Landfill%20Site-44.docx" TargetMode="External"/><Relationship Id="rId110" Type="http://schemas.openxmlformats.org/officeDocument/2006/relationships/hyperlink" Target="https://www.etenders.gov.za/home/Download/?blobName=da1871de-fa95-46f3-86be-1f28f5159c05.docx&amp;downloadedFileName=SBD%206.1%20IN%20TERMS%20OF%20PPR2022.docx" TargetMode="External"/><Relationship Id="rId348" Type="http://schemas.openxmlformats.org/officeDocument/2006/relationships/hyperlink" Target="https://www.ecdpw.gov.za/wp-content/tender-uploads/alf5-26-27-0003-term-contract-plumbing.pdf" TargetMode="External"/><Relationship Id="rId152" Type="http://schemas.openxmlformats.org/officeDocument/2006/relationships/hyperlink" Target="https://www.etenders.gov.za/home/Download/?blobName=470b078e-526a-4790-8b2b-bf8676f3ad8d.pdf&amp;downloadedFileName=Final%20Tender%20Document%20282S.2025.26.pdf" TargetMode="External"/><Relationship Id="rId194" Type="http://schemas.openxmlformats.org/officeDocument/2006/relationships/hyperlink" Target="https://www.etenders.gov.za/home/Download/?blobName=0714e589-74e5-4556-8f57-c311befd7b42.pdf&amp;downloadedFileName=SIGNED%20INVITATION%20TO%20TENDER%20AS%20AT%2010%20JUNE%202026.pdf" TargetMode="External"/><Relationship Id="rId208" Type="http://schemas.openxmlformats.org/officeDocument/2006/relationships/hyperlink" Target="https://www.etenders.gov.za/home/Download/?blobName=414efeea-4d6d-4cab-8511-3c5107443391.pdf&amp;downloadedFileName=BID%20DOCUMENT_%20NERSA-2627-ICT-MSH-BID009.pdf" TargetMode="External"/><Relationship Id="rId415" Type="http://schemas.openxmlformats.org/officeDocument/2006/relationships/hyperlink" Target="https://www.umzimvubu.gov.za/wp-content/uploads/2025/02/Cross-section_Concrete22.pdf" TargetMode="External"/><Relationship Id="rId457" Type="http://schemas.openxmlformats.org/officeDocument/2006/relationships/hyperlink" Target="https://amahlathi.gov.za/event/rfq-appointment-of-a-suitable-service-provider-for-the-delivery-facilitation-assessment-moderation-and-learner-support-for-the-certificate-municipal-finance-management-nqf-level-6/" TargetMode="External"/><Relationship Id="rId261" Type="http://schemas.openxmlformats.org/officeDocument/2006/relationships/hyperlink" Target="https://www.etenders.gov.za/home/Download/?blobName=a73a264f-ab5f-4d11-827b-3513de4f398b.pdf&amp;downloadedFileName=Bid%20Invitation%20for%20Construction%20of%20Tsweleni%20AR%20and%20Gxwaleni%20Concrete%20Slab.pdf" TargetMode="External"/><Relationship Id="rId14" Type="http://schemas.openxmlformats.org/officeDocument/2006/relationships/hyperlink" Target="https://www.etenders.gov.za/home/Download/?blobName=ea55d4dc-c299-4b8a-a395-ac144ade790d.pdf&amp;downloadedFileName=Giyani%20Water%20Reticulation%20to%20Villages%20Phase%202A%20-%20Final%20advert%20.pdf" TargetMode="External"/><Relationship Id="rId56" Type="http://schemas.openxmlformats.org/officeDocument/2006/relationships/hyperlink" Target="https://www.etenders.gov.za/home/Download/?blobName=9fc63584-b150-432a-90a0-02a6e311d68a.docx&amp;downloadedFileName=TENDER%20DOCUMENT%20FOR%20TURNKEY%20PROPOSAL.docx" TargetMode="External"/><Relationship Id="rId317" Type="http://schemas.openxmlformats.org/officeDocument/2006/relationships/hyperlink" Target="https://www.etenders.gov.za/home/Download/?blobName=503d95db-109f-4a04-8eef-5216689040a9.pdf&amp;downloadedFileName=RFP%20%2010-06-2026%20Appointment%20of%20a%20service%20provider%20for%20media%20monitoring.pdf" TargetMode="External"/><Relationship Id="rId359" Type="http://schemas.openxmlformats.org/officeDocument/2006/relationships/hyperlink" Target="https://www.ntabankulu.gov.za/2026/05/21/supply-and-delivery-of-diesel-for-12-months/" TargetMode="External"/><Relationship Id="rId98" Type="http://schemas.openxmlformats.org/officeDocument/2006/relationships/hyperlink" Target="https://www.etenders.gov.za/home/Download/?blobName=3ad48c91-b171-49c6-a9dc-34332766cf81.pdf&amp;downloadedFileName=BBBEE%20-EME-QME%20REPORTING%20%20LETTER.pdf" TargetMode="External"/><Relationship Id="rId121" Type="http://schemas.openxmlformats.org/officeDocument/2006/relationships/hyperlink" Target="https://www.etenders.gov.za/home/Download/?blobName=68103135-cfef-4b24-84c0-41a63891c6d7.pdf&amp;downloadedFileName=BID%20NOTICE%20BV1174.pdf" TargetMode="External"/><Relationship Id="rId163" Type="http://schemas.openxmlformats.org/officeDocument/2006/relationships/hyperlink" Target="https://www.etenders.gov.za/home/Download/?blobName=2aab30e3-500e-44f1-a272-caed059b06ab.pdf&amp;downloadedFileName=TNPA%202026%2006%200027%20114528%20RFP.pdf" TargetMode="External"/><Relationship Id="rId219" Type="http://schemas.openxmlformats.org/officeDocument/2006/relationships/hyperlink" Target="https://www.etenders.gov.za/home/Download/?blobName=4e499bd7-f211-4371-bacc-c71513ab4690.pdf&amp;downloadedFileName=RW10410343%20final%20document%20-%2019%20June%202026.pdf" TargetMode="External"/><Relationship Id="rId370" Type="http://schemas.openxmlformats.org/officeDocument/2006/relationships/hyperlink" Target="https://www.umzimvubu.gov.za/wp-content/uploads/2025/02/Sodladla-Tender-Document-1.pdf" TargetMode="External"/><Relationship Id="rId426" Type="http://schemas.openxmlformats.org/officeDocument/2006/relationships/hyperlink" Target="https://www.umzimvubu.gov.za/wp-content/uploads/2025/02/Capture1.jpg" TargetMode="External"/><Relationship Id="rId230" Type="http://schemas.openxmlformats.org/officeDocument/2006/relationships/hyperlink" Target="https://www.etenders.gov.za/home/Download/?blobName=6d74152e-ef76-4744-81e5-09400c62073f.pdf&amp;downloadedFileName=TMT-ECDoE-2627-SAN60-CL37%20MBASA%20JSS.pdf" TargetMode="External"/><Relationship Id="rId468" Type="http://schemas.openxmlformats.org/officeDocument/2006/relationships/hyperlink" Target="https://www.matatiele.gov.za/job/closing-register-for-printing-and-mailing-statements-78/" TargetMode="External"/><Relationship Id="rId25" Type="http://schemas.openxmlformats.org/officeDocument/2006/relationships/hyperlink" Target="https://www.etenders.gov.za/home/Download/?blobName=760a600c-c0c4-4820-8614-2cd1e84b88a5.pdf&amp;downloadedFileName=Tender%204%202026%20-%20PROVISION%20OF%20INTERNAL%20AUDIT%20SERVICES%20FOR%20UMEDA%20FOR%20A%20PERIOD%20OF%20THREE%20YEARS.pdf" TargetMode="External"/><Relationship Id="rId67" Type="http://schemas.openxmlformats.org/officeDocument/2006/relationships/hyperlink" Target="https://www.etenders.gov.za/home/Download/?blobName=e4068a26-d908-4b5a-bebe-b73e78a266b0.pdf&amp;downloadedFileName=Grabouw%20Armed%20Responses.pdf" TargetMode="External"/><Relationship Id="rId272" Type="http://schemas.openxmlformats.org/officeDocument/2006/relationships/hyperlink" Target="https://www.etenders.gov.za/home/Download/?blobName=6521683b-9f92-4949-bb6a-82642a8d21a8.pdf&amp;downloadedFileName=advert%20BS05-06-2026%20Newtown%20Creche%20and%20Church.pdf" TargetMode="External"/><Relationship Id="rId328" Type="http://schemas.openxmlformats.org/officeDocument/2006/relationships/hyperlink" Target="https://www.etenders.gov.za/home/Download/?blobName=da0a2e32-b151-4669-95ff-7ca668cd3701.pdf&amp;downloadedFileName=RFQJW0073SM2026%20-%20REVENUE%20MANAGEMENT%20LEAD%20EXPERTS.pdf" TargetMode="External"/><Relationship Id="rId132" Type="http://schemas.openxmlformats.org/officeDocument/2006/relationships/hyperlink" Target="https://www.etenders.gov.za/home/Download/?blobName=003f9f85-c7d7-406f-8b62-4fb92e9dc3a5.pdf&amp;downloadedFileName=287S_2025_26_Rev%206%20HVAC%20FINAL%20Tender%20Doc%20287S.pdf" TargetMode="External"/><Relationship Id="rId174" Type="http://schemas.openxmlformats.org/officeDocument/2006/relationships/hyperlink" Target="https://www.etenders.gov.za/home/Download/?blobName=1c4756b4-3baf-4f2b-8dbe-091b2776385b.pdf&amp;downloadedFileName=TNPA%202026%2006%200008%20114509%20RFP.pdf" TargetMode="External"/><Relationship Id="rId381" Type="http://schemas.openxmlformats.org/officeDocument/2006/relationships/hyperlink" Target="https://www.umzimvubu.gov.za/wp-content/uploads/2025/02/Maphakama-Contract-Section-2.pdf" TargetMode="External"/><Relationship Id="rId241" Type="http://schemas.openxmlformats.org/officeDocument/2006/relationships/hyperlink" Target="https://www.etenders.gov.za/home/Download/?blobName=0f8f2654-4e50-421e-b6a6-75684bc0ebc1.pdf&amp;downloadedFileName=QADU%20SSS%20UNPRICED%20BOQ.pdf" TargetMode="External"/><Relationship Id="rId437" Type="http://schemas.openxmlformats.org/officeDocument/2006/relationships/hyperlink" Target="https://greatkeilm.gov.za/web/2026/06/01/rfq-comm-08-2025-26-request-for-fencing-of-kei-mouth-transfer-station/" TargetMode="External"/><Relationship Id="rId479" Type="http://schemas.openxmlformats.org/officeDocument/2006/relationships/hyperlink" Target="https://www.matatiele.gov.za/?post_type=job_listing&amp;p=24872" TargetMode="External"/><Relationship Id="rId36" Type="http://schemas.openxmlformats.org/officeDocument/2006/relationships/hyperlink" Target="https://www.etenders.gov.za/home/Download/?blobName=88506d9a-9457-4762-903c-b4c506abe2c1.pdf&amp;downloadedFileName=Advert%20for%20Welding%20Machines%20and%20Simulators.pdf" TargetMode="External"/><Relationship Id="rId283" Type="http://schemas.openxmlformats.org/officeDocument/2006/relationships/hyperlink" Target="https://www.etenders.gov.za/home/Download/?blobName=5ef45f60-3395-4cff-afbb-25081db8659c.pdf&amp;downloadedFileName=Q3-2026-27%20SUPPLY%20&amp;%20DELIVERY%20CASE%20580SUPER%20R%20SERIES%203%20PARTS%20-%20TENDER%20DOCUMENT.pdf" TargetMode="External"/><Relationship Id="rId339" Type="http://schemas.openxmlformats.org/officeDocument/2006/relationships/hyperlink" Target="https://www.ecdpw.gov.za/wp-content/tender-uploads/department-of-social-development-district-office--mthatha-cbd--final-0034.pdf" TargetMode="External"/><Relationship Id="rId78" Type="http://schemas.openxmlformats.org/officeDocument/2006/relationships/hyperlink" Target="https://www.etenders.gov.za/home/Download/?blobName=ad92281d-d470-4ec3-9777-6d8656c6e81e.pdf&amp;downloadedFileName=HO%20-%20RFQ%20Document%20for%20SHE%20Induction%20Video.pdf" TargetMode="External"/><Relationship Id="rId101" Type="http://schemas.openxmlformats.org/officeDocument/2006/relationships/hyperlink" Target="https://www.etenders.gov.za/home/Download/?blobName=489a23a7-db4a-4851-a3d9-0317b6d016ab.pdf&amp;downloadedFileName=SBD%201-KDP-88.pdf" TargetMode="External"/><Relationship Id="rId143" Type="http://schemas.openxmlformats.org/officeDocument/2006/relationships/hyperlink" Target="https://www.etenders.gov.za/home/Download/?blobName=dd95fb1c-0b58-4a3f-9a5a-56f9fb3d1277.pdf&amp;downloadedFileName=REPAIR%20OF%20LIGHT%20VEHICLES%20AND%20TRUCKS..pdf" TargetMode="External"/><Relationship Id="rId185" Type="http://schemas.openxmlformats.org/officeDocument/2006/relationships/hyperlink" Target="https://www.etenders.gov.za/home/Download/?blobName=86dd6558-b5b5-4c75-a749-b85f9778651d.pdf&amp;downloadedFileName=TNPA%202026%2006%200018%20114519%20RFP.pdf" TargetMode="External"/><Relationship Id="rId350" Type="http://schemas.openxmlformats.org/officeDocument/2006/relationships/hyperlink" Target="https://www.ntabankulu.gov.za/2026/06/19/training-on-people-300-skills-development-and-emplyment-equity-for-5-employees/" TargetMode="External"/><Relationship Id="rId406" Type="http://schemas.openxmlformats.org/officeDocument/2006/relationships/hyperlink" Target="https://www.umzimvubu.gov.za/wp-content/uploads/2025/02/Cross-section_gravel5.pdf" TargetMode="External"/><Relationship Id="rId9" Type="http://schemas.openxmlformats.org/officeDocument/2006/relationships/hyperlink" Target="https://www.etenders.gov.za/home/Download/?blobName=6c20d68c-60b4-4bd6-bec6-d223d4334480.pdf&amp;downloadedFileName=Giyani%20Water%20Reticulation%20to%20Villages%20Phase%202A%20-%20Final%20advert%20.pdf" TargetMode="External"/><Relationship Id="rId210" Type="http://schemas.openxmlformats.org/officeDocument/2006/relationships/hyperlink" Target="https://www.etenders.gov.za/home/Download/?blobName=e9319805-6dd3-4127-8c77-fcb61ca1ea20.pdf&amp;downloadedFileName=Office%20Accommodation-%20Eastern%20Region%20Tender%20Document.pdf" TargetMode="External"/><Relationship Id="rId392" Type="http://schemas.openxmlformats.org/officeDocument/2006/relationships/hyperlink" Target="https://www.umzimvubu.gov.za/wp-content/uploads/2025/02/Gravel-Road-S-W-Pipe-Backfill-shallow-detail.pdf" TargetMode="External"/><Relationship Id="rId448" Type="http://schemas.openxmlformats.org/officeDocument/2006/relationships/hyperlink" Target="https://greatkeilm.gov.za/web/2026/03/09/invitation-tender-tech-civ01-2025-26-provision-for-a-panel-of-ten-10-professional-civil-engineering-consultants-for-a-period-of-three-3-years/" TargetMode="External"/><Relationship Id="rId252" Type="http://schemas.openxmlformats.org/officeDocument/2006/relationships/hyperlink" Target="https://www.etenders.gov.za/home/Download/?blobName=e8ce73d8-8b8a-43c9-a60a-388b44b32892.pdf&amp;downloadedFileName=BID%20DOCUMENT%20ID-3275611.pdf" TargetMode="External"/><Relationship Id="rId294" Type="http://schemas.openxmlformats.org/officeDocument/2006/relationships/hyperlink" Target="https://www.etenders.gov.za/home/Download/?blobName=991d089c-56ed-4e8e-8cbc-5b554c0c9997.xlsx&amp;downloadedFileName=RT284%20Technical%20%20Specification%20(RFI).xlsx" TargetMode="External"/><Relationship Id="rId308" Type="http://schemas.openxmlformats.org/officeDocument/2006/relationships/hyperlink" Target="https://www.etenders.gov.za/home/Download/?blobName=1b47381a-4864-40e0-9f8c-6c4d2c1598c5.pdf&amp;downloadedFileName=Risk%20Assessment%20RFQ.pdf" TargetMode="External"/><Relationship Id="rId47" Type="http://schemas.openxmlformats.org/officeDocument/2006/relationships/hyperlink" Target="https://www.etenders.gov.za/home/Download/?blobName=4304f790-10c2-435b-bc70-be9afd49b00c.pdf&amp;downloadedFileName=RFI%20-%20MOBILE%20APP%20DEVELOPMENT.pdf" TargetMode="External"/><Relationship Id="rId89" Type="http://schemas.openxmlformats.org/officeDocument/2006/relationships/hyperlink" Target="https://www.etenders.gov.za/home/Download/?blobName=63e9f68c-bbb8-4a34-9678-0e85e3487aca.pdf&amp;downloadedFileName=RFQ%20for%20VIP%20Catering%20Services-%2030%20June%202026.pdf" TargetMode="External"/><Relationship Id="rId112" Type="http://schemas.openxmlformats.org/officeDocument/2006/relationships/hyperlink" Target="https://www.etenders.gov.za/home/Download/?blobName=beeda97e-b5fe-4eb8-a4eb-8ad378dec09b.pdf&amp;downloadedFileName=RFQ%20202001%20-%20Waste%20Service%20Provider.pdf" TargetMode="External"/><Relationship Id="rId154" Type="http://schemas.openxmlformats.org/officeDocument/2006/relationships/hyperlink" Target="https://www.etenders.gov.za/home/Download/?blobName=81f78589-d0c6-43be-926b-22dba4afc22b.pdf&amp;downloadedFileName=TOP%2010%20Risk.pdf" TargetMode="External"/><Relationship Id="rId361" Type="http://schemas.openxmlformats.org/officeDocument/2006/relationships/hyperlink" Target="https://www.umzimvubu.gov.za/wp-content/uploads/2025/02/Umndini-Tender-Document-1.pdf" TargetMode="External"/><Relationship Id="rId196" Type="http://schemas.openxmlformats.org/officeDocument/2006/relationships/hyperlink" Target="https://www.etenders.gov.za/home/Download/?blobName=f78d22af-255d-40c5-ab56-7bd6aa3d286f.pdf&amp;downloadedFileName=SIGNED%20INVITATION%20TO%20TENDER%20AS%20AT%2010%20JUNE%202026.pdf" TargetMode="External"/><Relationship Id="rId417" Type="http://schemas.openxmlformats.org/officeDocument/2006/relationships/hyperlink" Target="https://www.umzimvubu.gov.za/wp-content/uploads/2025/02/Cross-section_Concrete21-1.pdf" TargetMode="External"/><Relationship Id="rId459" Type="http://schemas.openxmlformats.org/officeDocument/2006/relationships/hyperlink" Target="https://www.matatiele.gov.za/job/advert-for-bakkies-accessories-installation-128/" TargetMode="External"/><Relationship Id="rId16" Type="http://schemas.openxmlformats.org/officeDocument/2006/relationships/hyperlink" Target="https://www.etenders.gov.za/home/Download/?blobName=259f500b-dce3-4b07-9197-7579b7c865d3.pdf&amp;downloadedFileName=Giyani%20Water%20Reticulation%20to%20Villages%20Phase%202A%20-%20Final%20advert%20.pdf" TargetMode="External"/><Relationship Id="rId221" Type="http://schemas.openxmlformats.org/officeDocument/2006/relationships/hyperlink" Target="https://www.etenders.gov.za/home/Download/?blobName=773c5147-240d-4266-a884-961079afd87b.pdf&amp;downloadedFileName=SANDI%20SSS%20UNPRICED%20BOQ.pdf" TargetMode="External"/><Relationship Id="rId263" Type="http://schemas.openxmlformats.org/officeDocument/2006/relationships/hyperlink" Target="https://www.etenders.gov.za/home/Download/?blobName=726bb005-644b-413e-9125-78e5824f8c4a.pdf&amp;downloadedFileName=ADVERT-TD-02-06-2026-VARIOUS-SERVICES.pdf" TargetMode="External"/><Relationship Id="rId319" Type="http://schemas.openxmlformats.org/officeDocument/2006/relationships/hyperlink" Target="https://www.etenders.gov.za/home/Download/?blobName=820c96e2-8bfa-45c4-b20c-89902b630038.pdf&amp;downloadedFileName=ORTHOTISTS%20PROSTHETISTS%2019.06.2026%20(1)%20TN%20Edited.pdf" TargetMode="External"/><Relationship Id="rId470" Type="http://schemas.openxmlformats.org/officeDocument/2006/relationships/hyperlink" Target="https://www.matatiele.gov.za/job/closing-register-bakkies/" TargetMode="External"/><Relationship Id="rId58" Type="http://schemas.openxmlformats.org/officeDocument/2006/relationships/hyperlink" Target="https://www.etenders.gov.za/home/Download/?blobName=2271d3e5-9dfc-4cf1-bb1b-92d1c6bd674a.pdf&amp;downloadedFileName=CIA%20RFQ%2074389%20GENERATOR%20ASSESSEMENT%20AND%20REPAIR.pdf" TargetMode="External"/><Relationship Id="rId123" Type="http://schemas.openxmlformats.org/officeDocument/2006/relationships/hyperlink" Target="https://www.etenders.gov.za/home/Download/?blobName=7eed253e-8ebf-4836-9eb7-23a52ff57318.docx&amp;downloadedFileName=TENDER%20NO.%20MN%2022-2026-SUPPLY%20AND%20DELIVERY%20OF%20PROTECTIVE%20CLOTHING%20FOR%20TRAFFIC%20OFFICERS.docx" TargetMode="External"/><Relationship Id="rId330" Type="http://schemas.openxmlformats.org/officeDocument/2006/relationships/hyperlink" Target="https://www.etenders.gov.za/home/Download/?blobName=c71de4c8-2e6d-444d-b94b-10451f496058.pdf&amp;downloadedFileName=SHEQ%20Requirements.pdf" TargetMode="External"/><Relationship Id="rId165" Type="http://schemas.openxmlformats.org/officeDocument/2006/relationships/hyperlink" Target="https://www.etenders.gov.za/home/Download/?blobName=47397677-65d0-4203-b152-6334e33eaaf2.pdf&amp;downloadedFileName=TNPA%202026%2006%200028%20114529%20RFP.pdf" TargetMode="External"/><Relationship Id="rId372" Type="http://schemas.openxmlformats.org/officeDocument/2006/relationships/hyperlink" Target="https://www.umzimvubu.gov.za/wp-content/uploads/2025/02/SODLADLA-BOQ.pdf" TargetMode="External"/><Relationship Id="rId428" Type="http://schemas.openxmlformats.org/officeDocument/2006/relationships/hyperlink" Target="https://www.umzimvubu.gov.za/wp-content/uploads/2025/02/BOQ-SOLANI-SLAB.pdf" TargetMode="External"/><Relationship Id="rId232" Type="http://schemas.openxmlformats.org/officeDocument/2006/relationships/hyperlink" Target="https://www.etenders.gov.za/home/Download/?blobName=042f0da0-36aa-4fd4-b506-2c6933a9a08d.pdf&amp;downloadedFileName=TMT-ECDoE-2627-SAN60-CL39%20KANYISA%20PS.pdf" TargetMode="External"/><Relationship Id="rId274" Type="http://schemas.openxmlformats.org/officeDocument/2006/relationships/hyperlink" Target="https://www.etenders.gov.za/home/Download/?blobName=31a6ea9b-629d-4473-99b1-da711bdef873.pdf&amp;downloadedFileName=RFQJW44ZZ26_PSTs%20Electrical%20Repairs.pdf" TargetMode="External"/><Relationship Id="rId27" Type="http://schemas.openxmlformats.org/officeDocument/2006/relationships/hyperlink" Target="https://www.etenders.gov.za/home/Download/?blobName=b88a88a9-fe8b-49ef-a54b-23c90ab44502.pdf&amp;downloadedFileName=advert%20for%20electricities.pdf" TargetMode="External"/><Relationship Id="rId69" Type="http://schemas.openxmlformats.org/officeDocument/2006/relationships/hyperlink" Target="https://www.etenders.gov.za/home/Download/?blobName=d30b217d-f44b-4179-9d41-98cf7a85dc24.pdf&amp;downloadedFileName=Bid%20document%20%20%20NEC%20Maintenance%20of%20travelators%20for%208%20months%20June.pdf" TargetMode="External"/><Relationship Id="rId134" Type="http://schemas.openxmlformats.org/officeDocument/2006/relationships/hyperlink" Target="https://www.etenders.gov.za/home/Download/?blobName=cf637edf-d795-479f-a716-0bec230b158f.pdf&amp;downloadedFileName=2026-089.pdf" TargetMode="External"/><Relationship Id="rId80" Type="http://schemas.openxmlformats.org/officeDocument/2006/relationships/hyperlink" Target="https://www.etenders.gov.za/home/Download/?blobName=2f401607-5df4-4961-b96d-1cfc6c2987e3.pdf&amp;downloadedFileName=TENDER%20DOCUMENT%20FOR%20DEVELOPMENT%20OF%20ARCHITECTURAL%20DESIGNS%20AND%20BOQ%20FOR%20CONTAINER%20MALL.pdf" TargetMode="External"/><Relationship Id="rId176" Type="http://schemas.openxmlformats.org/officeDocument/2006/relationships/hyperlink" Target="https://www.etenders.gov.za/home/Download/?blobName=c85aa95e-e6fd-489c-8aea-c5185c1316ce.pdf&amp;downloadedFileName=TNPA%202026%2006%200024%20114525%20RFP.pdf" TargetMode="External"/><Relationship Id="rId341" Type="http://schemas.openxmlformats.org/officeDocument/2006/relationships/hyperlink" Target="https://www.ecdpw.gov.za/wp-content/tender-uploads/department-of-transport--mthatha-cbd--final-0033.pdf" TargetMode="External"/><Relationship Id="rId383" Type="http://schemas.openxmlformats.org/officeDocument/2006/relationships/hyperlink" Target="https://www.umzimvubu.gov.za/wp-content/uploads/2025/02/Manxiweni-Contract-Section.pdf" TargetMode="External"/><Relationship Id="rId439" Type="http://schemas.openxmlformats.org/officeDocument/2006/relationships/hyperlink" Target="https://greatkeilm.gov.za/web/2026/05/13/tender-corp-01-2025-26-panel-of-four-service-providers-for-the-provision-of-travel-accommodation-services-for-a-period-of-two-2-years/" TargetMode="External"/><Relationship Id="rId201" Type="http://schemas.openxmlformats.org/officeDocument/2006/relationships/hyperlink" Target="https://www.etenders.gov.za/home/Download/?blobName=849949a7-05b5-477c-aa3f-e9d870e5a551.pdf&amp;downloadedFileName=FUEL%20TANKS.pdf" TargetMode="External"/><Relationship Id="rId243" Type="http://schemas.openxmlformats.org/officeDocument/2006/relationships/hyperlink" Target="https://www.etenders.gov.za/home/Download/?blobName=3facf396-ac45-4efb-9213-568873004e79.pdf&amp;downloadedFileName=TMT-ECDoE-2627-SAN60-CL31%20BUFFALO%20NEK%20HS.pdf" TargetMode="External"/><Relationship Id="rId285" Type="http://schemas.openxmlformats.org/officeDocument/2006/relationships/hyperlink" Target="https://www.etenders.gov.za/home/Download/?blobName=58e48661-b0df-4b84-aac5-036d83e7ae2d.pdf&amp;downloadedFileName=Advert%2019%20June%202026.pdf" TargetMode="External"/><Relationship Id="rId450" Type="http://schemas.openxmlformats.org/officeDocument/2006/relationships/hyperlink" Target="https://greatkeilm.gov.za/web/2026/03/05/rfq-may02-2025-26-request-for-supply-and-delivery-of-banners/" TargetMode="External"/><Relationship Id="rId38" Type="http://schemas.openxmlformats.org/officeDocument/2006/relationships/hyperlink" Target="https://www.etenders.gov.za/home/Download/?blobName=bb7164bf-7e49-4032-abcd-d2a28a536e20.pdf&amp;downloadedFileName=GSDM%2070-2025%20Panel%20for%20the%20provision%20of%20executive%20security%20services%20(002).pdf" TargetMode="External"/><Relationship Id="rId103" Type="http://schemas.openxmlformats.org/officeDocument/2006/relationships/hyperlink" Target="https://www.etenders.gov.za/home/Download/?blobName=5a2d0c3e-8dd0-4faa-96c2-10b858691dca.pdf&amp;downloadedFileName=SBD%206.1%20IN%20TERMS%20OF%20PPR2022%20(80-20).pdf" TargetMode="External"/><Relationship Id="rId310" Type="http://schemas.openxmlformats.org/officeDocument/2006/relationships/hyperlink" Target="https://www.etenders.gov.za/home/Download/?blobName=65c0aa02-6c87-41ba-9aac-888b86b6cd79.pdf&amp;downloadedFileName=ECL%20Advert.pdf" TargetMode="External"/><Relationship Id="rId91" Type="http://schemas.openxmlformats.org/officeDocument/2006/relationships/hyperlink" Target="https://www.etenders.gov.za/home/Download/?blobName=9d51f6cd-8aeb-440a-9eaf-b6253aa313e9.pdf&amp;downloadedFileName=SMQ78-25-26_Advert.pdf" TargetMode="External"/><Relationship Id="rId145" Type="http://schemas.openxmlformats.org/officeDocument/2006/relationships/hyperlink" Target="https://www.etenders.gov.za/home/Download/?blobName=939a82d3-a3e3-4e35-bfc0-4404f6505b33.pdf&amp;downloadedFileName=WELDING%20OF%20LIGHT%20VEHICLES,TRUCKS,HEAVY%20MACHINERY%20AND%20TRACTORS..pdf" TargetMode="External"/><Relationship Id="rId187" Type="http://schemas.openxmlformats.org/officeDocument/2006/relationships/hyperlink" Target="https://www.etenders.gov.za/home/Download/?blobName=c0882541-9ce9-45e5-9b84-b71650f27ecd.pdf&amp;downloadedFileName=Bid%20Document%20-%20DOH(FS)05-2026-2027.pdf" TargetMode="External"/><Relationship Id="rId352" Type="http://schemas.openxmlformats.org/officeDocument/2006/relationships/hyperlink" Target="https://www.ntabankulu.gov.za/2026/06/17/closing-register-for-supply-and-delivery-of-diesel/" TargetMode="External"/><Relationship Id="rId394" Type="http://schemas.openxmlformats.org/officeDocument/2006/relationships/hyperlink" Target="https://www.umzimvubu.gov.za/wp-content/uploads/2025/02/Gravel-Road-S-W-Inlet-detail4.pdf" TargetMode="External"/><Relationship Id="rId408" Type="http://schemas.openxmlformats.org/officeDocument/2006/relationships/hyperlink" Target="https://www.umzimvubu.gov.za/wp-content/uploads/2025/02/Cross-section_gravel3.pdf" TargetMode="External"/><Relationship Id="rId212" Type="http://schemas.openxmlformats.org/officeDocument/2006/relationships/hyperlink" Target="https://www.etenders.gov.za/home/Download/?blobName=57229a28-58ea-46dd-8491-540006168651.pdf&amp;downloadedFileName=ADVERT-TD-03-06-2026.pdf" TargetMode="External"/><Relationship Id="rId254" Type="http://schemas.openxmlformats.org/officeDocument/2006/relationships/hyperlink" Target="https://www.etenders.gov.za/home/Download/?blobName=b8467710-8227-4f9e-bd9a-2ce9c23f62f9.pdf&amp;downloadedFileName=BID%20DOCUMENT%20PF25.2026.pdf" TargetMode="External"/><Relationship Id="rId49" Type="http://schemas.openxmlformats.org/officeDocument/2006/relationships/hyperlink" Target="https://www.etenders.gov.za/home/Download/?blobName=c51e9910-bf02-42f9-9e62-3950a523eb65.pdf&amp;downloadedFileName=ADVERT-LEASE%20OF%20MANAGED%20OFFICE%20SPACE.pdf" TargetMode="External"/><Relationship Id="rId114" Type="http://schemas.openxmlformats.org/officeDocument/2006/relationships/hyperlink" Target="https://www.etenders.gov.za/home/Download/?blobName=9e0c74b8-af67-4a8e-ab52-345689eeee47.pdf&amp;downloadedFileName=SCM3-2026-27%20SUPPLY%20AND%20DELIVER%20OF%20EMERGENCY%20KITS%20FOR%20FIRE%20VICTIMS%20FOR%20A%20PERIOD%20OF%2024%20MONTHS%20-%20TENDER%20DOCUMENT.pdf" TargetMode="External"/><Relationship Id="rId296" Type="http://schemas.openxmlformats.org/officeDocument/2006/relationships/hyperlink" Target="https://www.etenders.gov.za/home/Download/?blobName=0c519a0b-fea6-498f-bf98-6063cedc7127.pdf&amp;downloadedFileName=Request%20for%20Quotation%20-%20Key%20Individual_final%20signed.pdf" TargetMode="External"/><Relationship Id="rId461" Type="http://schemas.openxmlformats.org/officeDocument/2006/relationships/hyperlink" Target="https://www.matatiele.gov.za/job/advert-for-road-signs-127/" TargetMode="External"/><Relationship Id="rId60" Type="http://schemas.openxmlformats.org/officeDocument/2006/relationships/hyperlink" Target="https://www.etenders.gov.za/home/Download/?blobName=d4a54339-090e-407d-b9bf-4350b7845498.pdf&amp;downloadedFileName=SPSC-B-004-2026.pdf" TargetMode="External"/><Relationship Id="rId156" Type="http://schemas.openxmlformats.org/officeDocument/2006/relationships/hyperlink" Target="https://www.etenders.gov.za/home/Download/?blobName=5079471e-69c5-40c1-b1e3-33cd0404765e.pdf&amp;downloadedFileName=TENDER%20DOCUMENT%20OF%20RFP%202%20%20OF%202026.pdf" TargetMode="External"/><Relationship Id="rId198" Type="http://schemas.openxmlformats.org/officeDocument/2006/relationships/hyperlink" Target="https://www.etenders.gov.za/home/Download/?blobName=cbc775a6-74a0-40d3-ae55-7cb8ff24da88.pdf&amp;downloadedFileName=Regret%20Letter%20Template%20for%20Unsuccessful%20Suppliers%20-Transformer%20%20Filters.pdf" TargetMode="External"/><Relationship Id="rId321" Type="http://schemas.openxmlformats.org/officeDocument/2006/relationships/hyperlink" Target="https://www.etenders.gov.za/home/Download/?blobName=1f64e788-6c81-448b-892d-73cbf684416a.docx&amp;downloadedFileName=RFQ%20111.docx" TargetMode="External"/><Relationship Id="rId363" Type="http://schemas.openxmlformats.org/officeDocument/2006/relationships/hyperlink" Target="https://www.umzimvubu.gov.za/wp-content/uploads/2025/02/UMNDINI-BOQ.pdf" TargetMode="External"/><Relationship Id="rId419" Type="http://schemas.openxmlformats.org/officeDocument/2006/relationships/hyperlink" Target="https://www.umzimvubu.gov.za/wp-content/uploads/2025/02/Centule-Tender-Document-.pdf" TargetMode="External"/><Relationship Id="rId223" Type="http://schemas.openxmlformats.org/officeDocument/2006/relationships/hyperlink" Target="https://www.etenders.gov.za/home/Download/?blobName=a928ada4-e020-4ddd-9169-15062c94ad34.pdf&amp;downloadedFileName=NQWILISO%20SSS%20UNPRICED%20BOQ.pdf" TargetMode="External"/><Relationship Id="rId430" Type="http://schemas.openxmlformats.org/officeDocument/2006/relationships/hyperlink" Target="https://www.umzimvubu.gov.za/wp-content/uploads/2025/02/BOQ-FOR-COMPLETION-OF-ELECTRFICATION.pdf" TargetMode="External"/><Relationship Id="rId18" Type="http://schemas.openxmlformats.org/officeDocument/2006/relationships/hyperlink" Target="https://www.etenders.gov.za/home/Download/?blobName=459712b6-23b7-4e22-9994-a2b6fb6e57a8.pdf&amp;downloadedFileName=Giyani%20Water%20Reticulation%20to%20Villages%20Phase%202A%20-%20Final%20advert%20.pdf" TargetMode="External"/><Relationship Id="rId265" Type="http://schemas.openxmlformats.org/officeDocument/2006/relationships/hyperlink" Target="https://www.etenders.gov.za/home/Download/?blobName=28accc7c-bb3c-4ff1-9594-58de3bd9a449.pdf&amp;downloadedFileName=5-2-1-1-2026-2027-47.pdf" TargetMode="External"/><Relationship Id="rId472" Type="http://schemas.openxmlformats.org/officeDocument/2006/relationships/hyperlink" Target="https://www.matatiele.gov.za/job/closing-register-for-traffic-officer-motocycle-riding-ppe/" TargetMode="External"/><Relationship Id="rId125" Type="http://schemas.openxmlformats.org/officeDocument/2006/relationships/hyperlink" Target="https://www.etenders.gov.za/home/Download/?blobName=20d474a7-fe19-42d0-bd5c-000336c30932.pdf&amp;downloadedFileName=19%20JUNE%202026.pdf" TargetMode="External"/><Relationship Id="rId167" Type="http://schemas.openxmlformats.org/officeDocument/2006/relationships/hyperlink" Target="https://www.etenders.gov.za/home/Download/?blobName=9f30c5b7-5052-4ef3-a38c-2f0997570e75.pdf&amp;downloadedFileName=TNPA%202026%2006%200014%20114515%20RFP.pdf" TargetMode="External"/><Relationship Id="rId332" Type="http://schemas.openxmlformats.org/officeDocument/2006/relationships/hyperlink" Target="https://www.etenders.gov.za/home/Download/?blobName=85faab34-e7ed-4fec-a8b5-03cd0a4ae0ae.docx&amp;downloadedFileName=RFP%2026-27-04%20--%20Annexure%20BC%20%20Guarding%20Services%20for%20Eastern%20Cape%20Province.docx" TargetMode="External"/><Relationship Id="rId374" Type="http://schemas.openxmlformats.org/officeDocument/2006/relationships/hyperlink" Target="https://www.umzimvubu.gov.za/wp-content/uploads/2025/02/Nkungwini-Contract-Section-2.pdf" TargetMode="External"/><Relationship Id="rId71" Type="http://schemas.openxmlformats.org/officeDocument/2006/relationships/hyperlink" Target="https://www.etenders.gov.za/home/Download/?blobName=cdb5a2a3-6051-42f7-993d-1ad92d692ef0.pdf&amp;downloadedFileName=RFQ%203732-03-07-2026-.pdf" TargetMode="External"/><Relationship Id="rId234" Type="http://schemas.openxmlformats.org/officeDocument/2006/relationships/hyperlink" Target="https://www.etenders.gov.za/home/Download/?blobName=403f3af5-a24a-4c3f-8a52-bea6765cb8f6.pdf&amp;downloadedFileName=KANANA%20SSS%20UNPRICED%20BOQ.pdf" TargetMode="External"/><Relationship Id="rId2" Type="http://schemas.openxmlformats.org/officeDocument/2006/relationships/hyperlink" Target="https://www.etenders.gov.za/home/Download/?blobName=3e0a07c5-0aab-491e-8cd4-3b631e78b5b1.pdf&amp;downloadedFileName=Advert%20for%20Provision%20of%20internet%20services%20-%20End%20Point-%203%20Tier.pdf" TargetMode="External"/><Relationship Id="rId29" Type="http://schemas.openxmlformats.org/officeDocument/2006/relationships/hyperlink" Target="https://www.etenders.gov.za/home/Download/?blobName=76c4f987-934e-46dc-b938-dd53698a4ec8.pdf&amp;downloadedFileName=advert%20for%20electricities.pdf" TargetMode="External"/><Relationship Id="rId276" Type="http://schemas.openxmlformats.org/officeDocument/2006/relationships/hyperlink" Target="https://www.etenders.gov.za/home/Download/?blobName=64aff47e-0796-4db2-8a9a-1df2db90285a.doc&amp;downloadedFileName=Borehole%20Assessment_Specifications.doc" TargetMode="External"/><Relationship Id="rId441" Type="http://schemas.openxmlformats.org/officeDocument/2006/relationships/hyperlink" Target="https://greatkeilm.gov.za/web/2026/05/13/tender-corp-02-2025-26-provision-of-vetting-services-for-a-period-of-three-years/" TargetMode="External"/><Relationship Id="rId40" Type="http://schemas.openxmlformats.org/officeDocument/2006/relationships/hyperlink" Target="https://www.etenders.gov.za/home/Download/?blobName=e06ea878-6985-4a13-9085-11fd0a3ce812.pdf&amp;downloadedFileName=BID%20ADVERT%20ZNB153%20SECURITY%20PMB.pdf" TargetMode="External"/><Relationship Id="rId136" Type="http://schemas.openxmlformats.org/officeDocument/2006/relationships/hyperlink" Target="https://www.etenders.gov.za/home/Download/?blobName=1df4271f-2640-4d0e-ba43-0b0e524a4fd4.pdf&amp;downloadedFileName=19%20JUNE%202026.pdf" TargetMode="External"/><Relationship Id="rId178" Type="http://schemas.openxmlformats.org/officeDocument/2006/relationships/hyperlink" Target="https://www.etenders.gov.za/home/Download/?blobName=d60cd926-c56f-4392-b879-d10b7290de63.pdf&amp;downloadedFileName=TNPA%202026%2006%200024%20114525%20RFP.pdf" TargetMode="External"/><Relationship Id="rId301" Type="http://schemas.openxmlformats.org/officeDocument/2006/relationships/hyperlink" Target="https://www.etenders.gov.za/home/Download/?blobName=58cc0ae3-9a02-4b41-a1d9-79d19c3334cc.pdf&amp;downloadedFileName=ER-%20N%202509.pdf" TargetMode="External"/><Relationship Id="rId343" Type="http://schemas.openxmlformats.org/officeDocument/2006/relationships/hyperlink" Target="https://www.ecdpw.gov.za/wp-content/tender-uploads/erratum-scmu5-26-27-0009.pdf" TargetMode="External"/><Relationship Id="rId82" Type="http://schemas.openxmlformats.org/officeDocument/2006/relationships/hyperlink" Target="https://www.etenders.gov.za/home/Download/?blobName=53255c43-2b36-4370-925f-0c3459513ae9.pdf&amp;downloadedFileName=Eskom%20General%20Conditions%20of%20Purchase%20-%2031%20May%202024.pdf" TargetMode="External"/><Relationship Id="rId203" Type="http://schemas.openxmlformats.org/officeDocument/2006/relationships/hyperlink" Target="https://www.etenders.gov.za/home/Download/?blobName=44747c0d-a49f-40e8-ba10-865e3720d75f.zip&amp;downloadedFileName=FOSPHB_RFP_11_2627.zip" TargetMode="External"/><Relationship Id="rId385" Type="http://schemas.openxmlformats.org/officeDocument/2006/relationships/hyperlink" Target="https://www.umzimvubu.gov.za/wp-content/uploads/2025/02/Mamtwani-Contract-Section.pdf" TargetMode="External"/><Relationship Id="rId245" Type="http://schemas.openxmlformats.org/officeDocument/2006/relationships/hyperlink" Target="https://www.etenders.gov.za/home/Download/?blobName=d48e355c-cce9-44df-8226-093ba2abe54a.pdf&amp;downloadedFileName=TMT-ECDoE-2627-SAN60-CL34%20TYELIMHLOPHE%20AGRIC%20HS.pdf" TargetMode="External"/><Relationship Id="rId287" Type="http://schemas.openxmlformats.org/officeDocument/2006/relationships/hyperlink" Target="https://www.etenders.gov.za/home/Download/?blobName=3f4b7822-92da-4027-bd47-0ec5135a125f.pdf&amp;downloadedFileName=RFI%20OBP004.2026.2027%20-%20NKP%20SITE%20SECURITY%20SOLUTION%20FOR%20ONDERSTEPOORT%20BIOLOGICAL%20PRODUCTS%20(OBP)%20-%20addendum.pdf" TargetMode="External"/><Relationship Id="rId410" Type="http://schemas.openxmlformats.org/officeDocument/2006/relationships/hyperlink" Target="https://www.umzimvubu.gov.za/wp-content/uploads/2025/02/Cross-section_gravel1.pdf" TargetMode="External"/><Relationship Id="rId452" Type="http://schemas.openxmlformats.org/officeDocument/2006/relationships/hyperlink" Target="https://greatkeilm.gov.za/web/2026/02/04/rfq-corp-02-2025-26-request-for-supply-delivery-and-assembling-of-a-council-chamber-furniture/" TargetMode="External"/><Relationship Id="rId105" Type="http://schemas.openxmlformats.org/officeDocument/2006/relationships/hyperlink" Target="https://www.etenders.gov.za/home/Download/?blobName=756b6940-bdb9-4741-bfbe-2ed6351204da.pdf&amp;downloadedFileName=32%20GIG%20RAM%20%202026%20version%20tender%20document%20JUNE2026.pdf" TargetMode="External"/><Relationship Id="rId147" Type="http://schemas.openxmlformats.org/officeDocument/2006/relationships/hyperlink" Target="https://www.etenders.gov.za/home/Download/?blobName=1b5a7d79-39dd-41f1-83d1-bc672300e2c4.pdf&amp;downloadedFileName=SUPPLY%20AND%20DELIVERY%20OF%20BATTERIES%20AND%20TERMINALS..pdf" TargetMode="External"/><Relationship Id="rId312" Type="http://schemas.openxmlformats.org/officeDocument/2006/relationships/hyperlink" Target="https://www.etenders.gov.za/home/Download/?blobName=313c310a-d002-4696-8e54-0227a265cbf6.pdf&amp;downloadedFileName=Human%20resources%20online%20courses.pdf" TargetMode="External"/><Relationship Id="rId354" Type="http://schemas.openxmlformats.org/officeDocument/2006/relationships/hyperlink" Target="https://www.ntabankulu.gov.za/2026/06/10/tender-documentfor-3-year-framework-contract-of-05-road-maintenance-contractors/" TargetMode="External"/><Relationship Id="rId51" Type="http://schemas.openxmlformats.org/officeDocument/2006/relationships/hyperlink" Target="https://www.etenders.gov.za/home/Download/?blobName=72eea603-38af-4d21-981e-01888c7fc013.pdf&amp;downloadedFileName=RFB005.2026%20-%20SAWMILLING%20SERVICES%20AT%20TIMBADOLLA.pdf" TargetMode="External"/><Relationship Id="rId72" Type="http://schemas.openxmlformats.org/officeDocument/2006/relationships/hyperlink" Target="https://www.etenders.gov.za/home/Download/?blobName=311eefa2-9533-4285-ae41-3125d3314459.pdf&amp;downloadedFileName=Invitation%20-%20Zeerust%20Supplier%20Forum%20_02072026.pdf" TargetMode="External"/><Relationship Id="rId93" Type="http://schemas.openxmlformats.org/officeDocument/2006/relationships/hyperlink" Target="https://www.etenders.gov.za/home/Download/?blobName=12a86fb9-2c43-4387-b1df-c9839180653c.pdf&amp;downloadedFileName=Q2026%2004%20WATER%20STOCK%20COUNT%2030%20JUNE%202026.pdf" TargetMode="External"/><Relationship Id="rId189" Type="http://schemas.openxmlformats.org/officeDocument/2006/relationships/hyperlink" Target="https://www.etenders.gov.za/home/Download/?blobName=1c8b7061-fc75-4f63-9844-2733fb47fb66.pdf&amp;downloadedFileName=Bid%20document%20-%20WCGHSC0395.1.2026%20-%20close%2017%20July%202026.pdf" TargetMode="External"/><Relationship Id="rId375" Type="http://schemas.openxmlformats.org/officeDocument/2006/relationships/hyperlink" Target="https://www.umzimvubu.gov.za/wp-content/uploads/2025/02/NKUNGWINI-BOQ.pdf" TargetMode="External"/><Relationship Id="rId396" Type="http://schemas.openxmlformats.org/officeDocument/2006/relationships/hyperlink" Target="https://www.umzimvubu.gov.za/wp-content/uploads/2025/02/Gravel-Road-S-W-Inlet-detail2.pdf" TargetMode="External"/><Relationship Id="rId3" Type="http://schemas.openxmlformats.org/officeDocument/2006/relationships/hyperlink" Target="https://www.etenders.gov.za/home/Download/?blobName=822effce-63d3-4ef3-b75c-03cdcac572ce.pdf&amp;downloadedFileName=GMT061%20of%2025-26%20Tender%20document_18%20June%202026_%20Final.pdf" TargetMode="External"/><Relationship Id="rId214" Type="http://schemas.openxmlformats.org/officeDocument/2006/relationships/hyperlink" Target="https://www.etenders.gov.za/home/Download/?blobName=25354915-9a43-4034-a5db-68907253ff62.pdf&amp;downloadedFileName=SC2663.2026%20Advert.pdf" TargetMode="External"/><Relationship Id="rId235" Type="http://schemas.openxmlformats.org/officeDocument/2006/relationships/hyperlink" Target="https://www.etenders.gov.za/home/Download/?blobName=71fc472b-cd84-4244-8fd1-110247866bc3.pdf&amp;downloadedFileName=QHAYIYA%20SSS%20UNPRICED%20BOQ.pdf" TargetMode="External"/><Relationship Id="rId256" Type="http://schemas.openxmlformats.org/officeDocument/2006/relationships/hyperlink" Target="https://www.etenders.gov.za/home/Download/?blobName=0aa8ed72-df7d-4796-b28a-54f038714c74.pdf&amp;downloadedFileName=DTPRFP11ICT04202%20Hardware%20Spares.pdf" TargetMode="External"/><Relationship Id="rId277" Type="http://schemas.openxmlformats.org/officeDocument/2006/relationships/hyperlink" Target="https://www.etenders.gov.za/home/Download/?blobName=f4ddf7d5-13be-4af7-a52e-03cd227b7d65.pdf&amp;downloadedFileName=Appendix%20C%20-%20Cleaning%20Consumables.pdf" TargetMode="External"/><Relationship Id="rId298" Type="http://schemas.openxmlformats.org/officeDocument/2006/relationships/hyperlink" Target="https://www.etenders.gov.za/home/Download/?blobName=e2450024-744d-4e6c-ae3a-269efabd4e5a.pdf&amp;downloadedFileName=Solicitation%20ID%20RFI_OBP002_2026_27%20Request%20for%20Information%20Jun%2019%202026.pdf" TargetMode="External"/><Relationship Id="rId400" Type="http://schemas.openxmlformats.org/officeDocument/2006/relationships/hyperlink" Target="https://www.umzimvubu.gov.za/wp-content/uploads/2025/02/Gravel-headwall-detail4.pdf" TargetMode="External"/><Relationship Id="rId421" Type="http://schemas.openxmlformats.org/officeDocument/2006/relationships/hyperlink" Target="https://www.umzimvubu.gov.za/wp-content/uploads/2025/02/Centule-BOQ.pdf" TargetMode="External"/><Relationship Id="rId442" Type="http://schemas.openxmlformats.org/officeDocument/2006/relationships/hyperlink" Target="https://greatkeilm.gov.za/web/2026/05/13/tender-bto-22-2025-26-provision-of-insurance-for-municipal-assets-and-public-liability-for-a-period-of-three-3-years/" TargetMode="External"/><Relationship Id="rId463" Type="http://schemas.openxmlformats.org/officeDocument/2006/relationships/hyperlink" Target="https://www.matatiele.gov.za/job/bid-document-printing-and-mailing-of-consumer-debtors-statements-name-of-the-company/" TargetMode="External"/><Relationship Id="rId116" Type="http://schemas.openxmlformats.org/officeDocument/2006/relationships/hyperlink" Target="https://www.etenders.gov.za/home/Download/?blobName=3d808158-2e04-4b6b-82da-73911d09e5e1.pdf&amp;downloadedFileName=ADVERT%20SETLOPO%20WATER%20SUPPLY%20PHASE%202%20WARD%2035%20JUNE%202026.pdf" TargetMode="External"/><Relationship Id="rId137" Type="http://schemas.openxmlformats.org/officeDocument/2006/relationships/hyperlink" Target="https://www.etenders.gov.za/home/Download/?blobName=1d2c3e28-96dc-4c2c-aae1-a2e031682a82.pdf&amp;downloadedFileName=advert%20%20BS06-06-2026%20LEASING%20OF%20WASTE%20TRANSFER%20STATIONS%20FOR%20RECYCLING%20PURPOSE%20RE%20ADVERT.pdf" TargetMode="External"/><Relationship Id="rId158" Type="http://schemas.openxmlformats.org/officeDocument/2006/relationships/hyperlink" Target="https://www.etenders.gov.za/home/Download/?blobName=143617ec-e841-49fe-8bdb-a24645567e72.pdf&amp;downloadedFileName=Request%20for%20Proposal%20no%202026%2006%200016%20114517%20RFP.pdf" TargetMode="External"/><Relationship Id="rId302" Type="http://schemas.openxmlformats.org/officeDocument/2006/relationships/hyperlink" Target="https://www.etenders.gov.za/home/Download/?blobName=f86312f2-9f04-4a0e-86e3-0e8ef2dd0ff8.pdf&amp;downloadedFileName=RFQ%20TO%20APPOINT%20A%20PASTEL%20CONSULTANT%20FOR%205%20YEARS%2022%2006%202026.pdf" TargetMode="External"/><Relationship Id="rId323" Type="http://schemas.openxmlformats.org/officeDocument/2006/relationships/hyperlink" Target="https://www.etenders.gov.za/home/Download/?blobName=0f13992b-afbc-42c0-ba6a-65bc75407e87.pdf&amp;downloadedFileName=RFQJW076KM26-New%20-%20Copy.pdf" TargetMode="External"/><Relationship Id="rId344" Type="http://schemas.openxmlformats.org/officeDocument/2006/relationships/hyperlink" Target="https://www.ecdpw.gov.za/wp-content/tender-uploads/0002-9.pdf" TargetMode="External"/><Relationship Id="rId20" Type="http://schemas.openxmlformats.org/officeDocument/2006/relationships/hyperlink" Target="https://www.etenders.gov.za/home/Download/?blobName=3aa0f583-1640-4f32-bae2-80b7bb310e70.pdf&amp;downloadedFileName=Giyani%20Water%20Reticulation%20to%20Villages%20Phase%202A%20-%20Final%20advert%20.pdf" TargetMode="External"/><Relationship Id="rId41" Type="http://schemas.openxmlformats.org/officeDocument/2006/relationships/hyperlink" Target="https://www.etenders.gov.za/home/Download/?blobName=f71aafd7-a3a1-4540-a48c-d6325792fea7.pdf&amp;downloadedFileName=RFB%20RAF%202026%2000037%20RAF%20Website%20Enhancement.pdf" TargetMode="External"/><Relationship Id="rId62" Type="http://schemas.openxmlformats.org/officeDocument/2006/relationships/hyperlink" Target="https://www.etenders.gov.za/home/Download/?blobName=6f5ecbbf-daa6-4327-ac5f-16098e154cc9.pdf&amp;downloadedFileName=2.%20KKDM%2012-25%20Tender%20Document-THE%20APPOINTMENT%20OF%20THE%20TRAVEL%20AGENT%20FOR%20THE%20PROVISION%20OF%20TRAVEL%20AND%20ACCOMMODATION%20MANAGEMENT%20SERVICES%20FOR%20DR%20KKDM%20FOR%202%20YEARS.pdf" TargetMode="External"/><Relationship Id="rId83" Type="http://schemas.openxmlformats.org/officeDocument/2006/relationships/hyperlink" Target="https://www.etenders.gov.za/home/Download/?blobName=f7c1259b-f8c4-4650-91fd-5c7b49493f78.pdf&amp;downloadedFileName=DFFEQ%2064%20Latex%20Gloves%20PDF.pdf" TargetMode="External"/><Relationship Id="rId179" Type="http://schemas.openxmlformats.org/officeDocument/2006/relationships/hyperlink" Target="https://www.etenders.gov.za/home/Download/?blobName=1a4b8d61-031a-4adb-ae3a-9c0ee745f288.pdf&amp;downloadedFileName=TNPA%202026%2006%200010%20114511%20RFP.pdf" TargetMode="External"/><Relationship Id="rId365" Type="http://schemas.openxmlformats.org/officeDocument/2006/relationships/hyperlink" Target="https://www.umzimvubu.gov.za/wp-content/uploads/2025/02/Tender-Document-Provision-of-Vetting-and-Screening-Services.pdf" TargetMode="External"/><Relationship Id="rId386" Type="http://schemas.openxmlformats.org/officeDocument/2006/relationships/hyperlink" Target="https://www.umzimvubu.gov.za/wp-content/uploads/2025/02/Gravel-Road-S-W-Pipe-Backfill-shallow-detail5.pdf" TargetMode="External"/><Relationship Id="rId190" Type="http://schemas.openxmlformats.org/officeDocument/2006/relationships/hyperlink" Target="https://www.etenders.gov.za/home/Download/?blobName=82aa5bd9-4fe4-48ff-ab52-6afc72be18e9.pdf&amp;downloadedFileName=RFP060126%20-%20Tender%20Document.pdf" TargetMode="External"/><Relationship Id="rId204" Type="http://schemas.openxmlformats.org/officeDocument/2006/relationships/hyperlink" Target="https://www.etenders.gov.za/home/Download/?blobName=f5f5f9ee-6e9f-4c6c-8b2b-cacd27471648.zip&amp;downloadedFileName=FOSPHB_RFP_12_2627.zip" TargetMode="External"/><Relationship Id="rId225" Type="http://schemas.openxmlformats.org/officeDocument/2006/relationships/hyperlink" Target="https://www.etenders.gov.za/home/Download/?blobName=46aca8a2-b9b3-44c7-8376-0e4e1a1e4452.pdf&amp;downloadedFileName=MNDELA%20JSS%20UNPRICED%20BOQ.pdf" TargetMode="External"/><Relationship Id="rId246" Type="http://schemas.openxmlformats.org/officeDocument/2006/relationships/hyperlink" Target="https://www.etenders.gov.za/home/Download/?blobName=26824627-144f-48f3-b1c0-640d99aa9d30.pdf&amp;downloadedFileName=TMT-ECDoE-2627-SAN60-CL35%20ZWELAKHE%20SSS.pdf" TargetMode="External"/><Relationship Id="rId267" Type="http://schemas.openxmlformats.org/officeDocument/2006/relationships/hyperlink" Target="https://www.etenders.gov.za/home/Download/?blobName=2c4151c5-15c7-44e2-a892-2ccf81b95749.pdf&amp;downloadedFileName=CTS%20T022.2025.26_Advert_Provision%20of%20Stationery%20Office%20Equipment%20and%20Refreshments.pdf" TargetMode="External"/><Relationship Id="rId288" Type="http://schemas.openxmlformats.org/officeDocument/2006/relationships/hyperlink" Target="https://www.etenders.gov.za/home/Download/?blobName=455f650b-5a96-4bcb-8515-0a41b8959fb5.DOC&amp;downloadedFileName=SBD%204%20MUSEUM%20(1).DOC" TargetMode="External"/><Relationship Id="rId411" Type="http://schemas.openxmlformats.org/officeDocument/2006/relationships/hyperlink" Target="https://www.umzimvubu.gov.za/wp-content/uploads/2025/02/Cross-section_gravel.pdf" TargetMode="External"/><Relationship Id="rId432" Type="http://schemas.openxmlformats.org/officeDocument/2006/relationships/hyperlink" Target="https://www.umzimvubu.gov.za/wp-content/uploads/2025/02/AA-solani-Contract-Section.pdf" TargetMode="External"/><Relationship Id="rId453" Type="http://schemas.openxmlformats.org/officeDocument/2006/relationships/hyperlink" Target="https://www.gpl.gov.za/category/business/bids-tenders/advertised-tenders/" TargetMode="External"/><Relationship Id="rId474" Type="http://schemas.openxmlformats.org/officeDocument/2006/relationships/hyperlink" Target="https://www.matatiele.gov.za/job/closing-register-for-cleaning-and-refuse-removal-for-matat-cbd/" TargetMode="External"/><Relationship Id="rId106" Type="http://schemas.openxmlformats.org/officeDocument/2006/relationships/hyperlink" Target="https://www.etenders.gov.za/home/Download/?blobName=817ebc77-10e4-4054-85e2-d8264f89f88d.pdf&amp;downloadedFileName=Bid%20Document%20-%20Appointment%20of%20SP%20review%20of%20the%20MMSEZ%20Structure.pdf" TargetMode="External"/><Relationship Id="rId127" Type="http://schemas.openxmlformats.org/officeDocument/2006/relationships/hyperlink" Target="https://www.etenders.gov.za/home/Download/?blobName=51cc4151-6ecf-45ff-a383-83a7b2f5304a.pdf&amp;downloadedFileName=Bid%20Motice%20(BV1173_2026).pdf" TargetMode="External"/><Relationship Id="rId313" Type="http://schemas.openxmlformats.org/officeDocument/2006/relationships/hyperlink" Target="https://www.etenders.gov.za/home/Download/?blobName=6b2ddf1e-ec43-4993-93be-4b661942dcea.pdf&amp;downloadedFileName=220706%20-%20specifications.pdf" TargetMode="External"/><Relationship Id="rId10" Type="http://schemas.openxmlformats.org/officeDocument/2006/relationships/hyperlink" Target="https://www.etenders.gov.za/home/Download/?blobName=e0fd5d6a-ebc0-4d41-8d0b-e7da53144af0.pdf&amp;downloadedFileName=Giyani%20Water%20Reticulation%20to%20Villages%20Phase%202A%20-%20Final%20advert%20.pdf" TargetMode="External"/><Relationship Id="rId31" Type="http://schemas.openxmlformats.org/officeDocument/2006/relationships/hyperlink" Target="https://www.etenders.gov.za/home/Download/?blobName=c8ea5d9d-6b88-45d5-b059-01aa00f739c2.pdf&amp;downloadedFileName=ADVERT%20FOR%20TRAFFIC%20LAWS%20ENFORCEMENT.pdf" TargetMode="External"/><Relationship Id="rId52" Type="http://schemas.openxmlformats.org/officeDocument/2006/relationships/hyperlink" Target="https://www.etenders.gov.za/home/Download/?blobName=9ff9df8d-e534-410b-8341-1208592461c3.pdf&amp;downloadedFileName=E2752GXMPMATR%20Invitation%20to%20Tender%20(ITT)%20-%20upgrading%20of%20Parimeter%20Security%20fence%20at%20Matimba%20PS.pdf" TargetMode="External"/><Relationship Id="rId73" Type="http://schemas.openxmlformats.org/officeDocument/2006/relationships/hyperlink" Target="https://www.etenders.gov.za/home/Download/?blobName=846e8ff9-a024-478e-80a0-cf2f80c90023.pdf&amp;downloadedFileName=insulating%20rfq.pdf" TargetMode="External"/><Relationship Id="rId94" Type="http://schemas.openxmlformats.org/officeDocument/2006/relationships/hyperlink" Target="https://www.etenders.gov.za/home/Download/?blobName=ce6ea233-96b4-4e82-b64f-9a55e30a8fa0.pdf&amp;downloadedFileName=SUPPLY%20AND%20DELIVERY%20OF%20PROMOTIONAL%20ITEMS.pdf" TargetMode="External"/><Relationship Id="rId148" Type="http://schemas.openxmlformats.org/officeDocument/2006/relationships/hyperlink" Target="https://www.etenders.gov.za/home/Download/?blobName=fcda410f-e096-44a3-8be2-c44b13905e5d.pdf&amp;downloadedFileName=SUPPLY,FITTING%20AND%20REPAIRS%20OF%20TYRES.pdf" TargetMode="External"/><Relationship Id="rId169" Type="http://schemas.openxmlformats.org/officeDocument/2006/relationships/hyperlink" Target="https://www.etenders.gov.za/home/Download/?blobName=ae137245-50c4-4e37-a2da-8efd57451a9f.pdf&amp;downloadedFileName=TNPA%202026%2006%200015%20114516%20RFP.pdf" TargetMode="External"/><Relationship Id="rId334" Type="http://schemas.openxmlformats.org/officeDocument/2006/relationships/hyperlink" Target="https://www.etenders.gov.za/home/Download/?blobName=5f1f6ab5-4892-4b31-aa5e-10180685941a.pdf&amp;downloadedFileName=LDPWRI-P20654%20OFFICE%20ACCOMMODATION.pdf" TargetMode="External"/><Relationship Id="rId355" Type="http://schemas.openxmlformats.org/officeDocument/2006/relationships/hyperlink" Target="https://www.ntabankulu.gov.za/2026/06/03/closing-register-for-construction-of-fenced-mathole-pre-school-with-ablution-facilities/" TargetMode="External"/><Relationship Id="rId376" Type="http://schemas.openxmlformats.org/officeDocument/2006/relationships/hyperlink" Target="https://www.umzimvubu.gov.za/wp-content/uploads/2025/02/Ndindindi-Tender-Document-1.pdf" TargetMode="External"/><Relationship Id="rId397" Type="http://schemas.openxmlformats.org/officeDocument/2006/relationships/hyperlink" Target="https://www.umzimvubu.gov.za/wp-content/uploads/2025/02/Gravel-Road-S-W-Inlet-detail1.pdf" TargetMode="External"/><Relationship Id="rId4" Type="http://schemas.openxmlformats.org/officeDocument/2006/relationships/hyperlink" Target="https://www.etenders.gov.za/home/Download/?blobName=f2432ad0-77b3-4217-aace-6ab28d55ed7a.pdf&amp;downloadedFileName=NKO%2010%202026.pdf" TargetMode="External"/><Relationship Id="rId180" Type="http://schemas.openxmlformats.org/officeDocument/2006/relationships/hyperlink" Target="https://www.etenders.gov.za/home/Download/?blobName=f7b5d4bc-368e-4612-8823-4e28210b50ec.pdf&amp;downloadedFileName=TNPA%202026%2006%200002%20114503%20RFP.pdf" TargetMode="External"/><Relationship Id="rId215" Type="http://schemas.openxmlformats.org/officeDocument/2006/relationships/hyperlink" Target="https://www.etenders.gov.za/home/Download/?blobName=bd6c1a10-b489-4dca-b2c4-2953184ce6bb.pdf&amp;downloadedFileName=SC2662.2026%20Advert.pdf" TargetMode="External"/><Relationship Id="rId236" Type="http://schemas.openxmlformats.org/officeDocument/2006/relationships/hyperlink" Target="https://www.etenders.gov.za/home/Download/?blobName=fd75cec9-68e9-4879-8a93-393c909e2201.pdf&amp;downloadedFileName=TOISE%20SSS%20UNPRICED%20BOQ.pdf" TargetMode="External"/><Relationship Id="rId257" Type="http://schemas.openxmlformats.org/officeDocument/2006/relationships/hyperlink" Target="https://www.etenders.gov.za/home/Download/?blobName=f9ba2b27-e7d3-4d8e-8fb2-3d618f66ca38.pdf&amp;downloadedFileName=General%20Conditions%20of%20Contract.pdf" TargetMode="External"/><Relationship Id="rId278" Type="http://schemas.openxmlformats.org/officeDocument/2006/relationships/hyperlink" Target="https://www.etenders.gov.za/home/Download/?blobName=88454d72-fdaa-4b8f-9c62-5c0c834a04d7.pdf&amp;downloadedFileName=RFQJW114TN26%20-%20DECKING%20REPAIRS.pdf" TargetMode="External"/><Relationship Id="rId401" Type="http://schemas.openxmlformats.org/officeDocument/2006/relationships/hyperlink" Target="https://www.umzimvubu.gov.za/wp-content/uploads/2025/02/Gravel-headwall-detail3.pdf" TargetMode="External"/><Relationship Id="rId422" Type="http://schemas.openxmlformats.org/officeDocument/2006/relationships/hyperlink" Target="https://www.umzimvubu.gov.za/wp-content/uploads/2025/02/Capture5.jpg" TargetMode="External"/><Relationship Id="rId443" Type="http://schemas.openxmlformats.org/officeDocument/2006/relationships/hyperlink" Target="https://greatkeilm.gov.za/web/2026/04/30/invitation-to-tender-for-the-appointed-panel-for-the-implementation-of-turnkey-electrical-services/" TargetMode="External"/><Relationship Id="rId464" Type="http://schemas.openxmlformats.org/officeDocument/2006/relationships/hyperlink" Target="https://www.matatiele.gov.za/job/bid-document-supply-and-delivery-of-road-signs/" TargetMode="External"/><Relationship Id="rId303" Type="http://schemas.openxmlformats.org/officeDocument/2006/relationships/hyperlink" Target="https://www.etenders.gov.za/home/Download/?blobName=3d893252-e00f-4b54-9ad5-41c5d29f25da.pdf&amp;downloadedFileName=ERRATUM%20NOTICE%20-%20SCMU10-2526-0005.pdf" TargetMode="External"/><Relationship Id="rId42" Type="http://schemas.openxmlformats.org/officeDocument/2006/relationships/hyperlink" Target="https://www.etenders.gov.za/home/Download/?blobName=da7e71a0-65c0-4808-8760-ddd539ee53f5.pdf&amp;downloadedFileName=Invitation%20SDL%20Engagement%2021%20July%202026.pdf" TargetMode="External"/><Relationship Id="rId84" Type="http://schemas.openxmlformats.org/officeDocument/2006/relationships/hyperlink" Target="https://www.etenders.gov.za/home/Download/?blobName=07f97ba3-d25f-405f-ada7-680b910d5e34.zip&amp;downloadedFileName=Safety%20requirements.zip" TargetMode="External"/><Relationship Id="rId138" Type="http://schemas.openxmlformats.org/officeDocument/2006/relationships/hyperlink" Target="https://www.etenders.gov.za/home/Download/?blobName=82b101b7-fefb-4e6e-9663-7baefd2e96b6.docx&amp;downloadedFileName=TENDER%20DOCS.docx" TargetMode="External"/><Relationship Id="rId345" Type="http://schemas.openxmlformats.org/officeDocument/2006/relationships/hyperlink" Target="https://www.ecdpw.gov.za/wp-content/tender-uploads/scmu5-26-27-0022.pdf" TargetMode="External"/><Relationship Id="rId387" Type="http://schemas.openxmlformats.org/officeDocument/2006/relationships/hyperlink" Target="https://www.umzimvubu.gov.za/wp-content/uploads/2025/02/Gravel-Road-S-W-Pipe-Backfill-shallow-detail4.pdf" TargetMode="External"/><Relationship Id="rId191" Type="http://schemas.openxmlformats.org/officeDocument/2006/relationships/hyperlink" Target="https://www.etenders.gov.za/home/Download/?blobName=f5405e68-3880-413b-8125-00dff0a644f6.pdf&amp;downloadedFileName=Area%20Radio%20System%20Upgrade%20RFI.pdf" TargetMode="External"/><Relationship Id="rId205" Type="http://schemas.openxmlformats.org/officeDocument/2006/relationships/hyperlink" Target="https://www.etenders.gov.za/home/Download/?blobName=53ff6862-f3a0-412c-8e7f-a52d2a3a465c.pdf&amp;downloadedFileName=SASSA%2004-26-FAC-NW%20Leasing%20of%20office%20accomodation%20for%20SASSA%20North%20West%20Region%20for%20a%20%20period%20of%20five(5)%20yearas%20in%20Kgetleng(Koster)%20CBD.pdf" TargetMode="External"/><Relationship Id="rId247" Type="http://schemas.openxmlformats.org/officeDocument/2006/relationships/hyperlink" Target="https://www.etenders.gov.za/home/Download/?blobName=97e59ba5-3ab5-47d3-85f0-7e83dc8109b3.pdf&amp;downloadedFileName=ISOLOMZI%20SSS%20UNPRICED%20BOQ.pdf" TargetMode="External"/><Relationship Id="rId412" Type="http://schemas.openxmlformats.org/officeDocument/2006/relationships/hyperlink" Target="https://www.umzimvubu.gov.za/wp-content/uploads/2025/02/Cross-section_Concrete25.pdf" TargetMode="External"/><Relationship Id="rId107" Type="http://schemas.openxmlformats.org/officeDocument/2006/relationships/hyperlink" Target="https://www.etenders.gov.za/home/Download/?blobName=306767a3-5317-43e9-ba78-36683c69dc53.pdf&amp;downloadedFileName=Supplier%20Self%20Registration.pdf" TargetMode="External"/><Relationship Id="rId289" Type="http://schemas.openxmlformats.org/officeDocument/2006/relationships/hyperlink" Target="https://www.etenders.gov.za/home/Download/?blobName=d91c0fd4-3462-40f6-8697-00d2aee4a114.pdf&amp;downloadedFileName=Standard%20Bidding%20Document%20(SDB)%204_%20for%20PRE-FEASIBILITY%20STUDY.pdf" TargetMode="External"/><Relationship Id="rId454" Type="http://schemas.openxmlformats.org/officeDocument/2006/relationships/hyperlink" Target="https://www.labour.gov.za/Tenders/Available-Tenders/Lists/Open%20Tenders/Attachments/538/DAY%20TO%20DAY%20AND%20PEST%20CONTROL%20TENDER%20.pdf" TargetMode="External"/><Relationship Id="rId11" Type="http://schemas.openxmlformats.org/officeDocument/2006/relationships/hyperlink" Target="https://www.etenders.gov.za/home/Download/?blobName=0d05656e-3662-4857-adb5-1edf132c6906.pdf&amp;downloadedFileName=Giyani%20Water%20Reticulation%20to%20Villages%20Phase%202A%20-%20Final%20advert%20.pdf" TargetMode="External"/><Relationship Id="rId53" Type="http://schemas.openxmlformats.org/officeDocument/2006/relationships/hyperlink" Target="https://www.etenders.gov.za/home/Download/?blobName=df038c28-cbc5-42b4-87fd-0adacf19b521.xls&amp;downloadedFileName=Annexure%20C%20D%20and%20E%20for%20Local%20content%20and%20Local%20Production.xls" TargetMode="External"/><Relationship Id="rId149" Type="http://schemas.openxmlformats.org/officeDocument/2006/relationships/hyperlink" Target="https://www.etenders.gov.za/home/Download/?blobName=8e1174e3-9dcf-4856-af2d-0d0b7f71c929.pdf&amp;downloadedFileName=Quality%20Requirements%20(004).pdf" TargetMode="External"/><Relationship Id="rId314" Type="http://schemas.openxmlformats.org/officeDocument/2006/relationships/hyperlink" Target="https://www.etenders.gov.za/home/Download/?blobName=7f5794e8-db11-40a1-aced-d61ecbf3c854.pdf&amp;downloadedFileName=RFQ%20NHC-2026-27-008%20-%20Funding,%20Resource%20Mobilisation%20Strategy.pdf" TargetMode="External"/><Relationship Id="rId356" Type="http://schemas.openxmlformats.org/officeDocument/2006/relationships/hyperlink" Target="https://www.ntabankulu.gov.za/2026/05/29/bid-invitation-for-electrification-and-maintenance-contractors/" TargetMode="External"/><Relationship Id="rId398" Type="http://schemas.openxmlformats.org/officeDocument/2006/relationships/hyperlink" Target="https://www.umzimvubu.gov.za/wp-content/uploads/2025/02/Gravel-Road-S-W-Inlet-detail.pdf" TargetMode="External"/><Relationship Id="rId95" Type="http://schemas.openxmlformats.org/officeDocument/2006/relationships/hyperlink" Target="https://www.etenders.gov.za/home/Download/?blobName=38cbaa65-b049-4acd-a56b-d7d9f2ed7adb.pdf&amp;downloadedFileName=Community%20Catering%20Ehlanzeni%20-%2029%20June%202026.pdf" TargetMode="External"/><Relationship Id="rId160" Type="http://schemas.openxmlformats.org/officeDocument/2006/relationships/hyperlink" Target="https://www.etenders.gov.za/home/Download/?blobName=f57dc175-603c-4f14-a1ae-ea1e07e67078.pdf&amp;downloadedFileName=TNPA%202026%2006%200011%20114512%20RFP.pdf" TargetMode="External"/><Relationship Id="rId216" Type="http://schemas.openxmlformats.org/officeDocument/2006/relationships/hyperlink" Target="https://www.etenders.gov.za/home/Download/?blobName=211427a2-e116-4639-9700-05e77d733532.pdf&amp;downloadedFileName=240-106084675%20Annexure%20C3%20OHS%20Tender%20Evaluation%20Low%20risk.pdf" TargetMode="External"/><Relationship Id="rId423" Type="http://schemas.openxmlformats.org/officeDocument/2006/relationships/hyperlink" Target="https://www.umzimvubu.gov.za/wp-content/uploads/2025/02/Capture4.jpg" TargetMode="External"/><Relationship Id="rId258" Type="http://schemas.openxmlformats.org/officeDocument/2006/relationships/hyperlink" Target="https://www.etenders.gov.za/home/Download/?blobName=a4ed0256-8cb5-49ef-87b5-093042fbaf2c.pdf&amp;downloadedFileName=INVITATION%20TO%20BID%20DHA08-2026.pdf" TargetMode="External"/><Relationship Id="rId465" Type="http://schemas.openxmlformats.org/officeDocument/2006/relationships/hyperlink" Target="https://www.matatiele.gov.za/job/opening-and-closing-register-supply-and-delivery-of-fifty-three-53-protective-clothing-staff-uniform-for-admin-and-support-unit-for/" TargetMode="External"/><Relationship Id="rId22" Type="http://schemas.openxmlformats.org/officeDocument/2006/relationships/hyperlink" Target="https://www.etenders.gov.za/home/Download/?blobName=b4a76a56-942c-408b-88ed-4470d128e4e5.pdf&amp;downloadedFileName=Giyani%20Water%20Reticulation%20to%20Villages%20Phase%202A%20-%20Final%20advert%20.pdf" TargetMode="External"/><Relationship Id="rId64" Type="http://schemas.openxmlformats.org/officeDocument/2006/relationships/hyperlink" Target="https://www.etenders.gov.za/home/Download/?blobName=757808f9-d730-4964-bb64-005fe5bcfb7d.pdf&amp;downloadedFileName=Annexure%20E%20-%20Drawings%20Tower%20crane%20placement.pdf" TargetMode="External"/><Relationship Id="rId118" Type="http://schemas.openxmlformats.org/officeDocument/2006/relationships/hyperlink" Target="https://www.etenders.gov.za/home/Download/?blobName=164a5f6d-40e6-4303-86c8-94d05e6de6c5.pdf&amp;downloadedFileName=TENDER%20DOCUMENT%20WRC-004-2026-27%20-%20EDMS.pdf" TargetMode="External"/><Relationship Id="rId325" Type="http://schemas.openxmlformats.org/officeDocument/2006/relationships/hyperlink" Target="https://www.etenders.gov.za/home/Download/?blobName=a0cabd47-9767-4c92-a714-3027c37231be.pdf&amp;downloadedFileName=Security%20RFQ%20Kuruman19-06-2026-150338.pdf" TargetMode="External"/><Relationship Id="rId367" Type="http://schemas.openxmlformats.org/officeDocument/2006/relationships/hyperlink" Target="https://www.umzimvubu.gov.za/wp-content/uploads/2025/02/Tender-Document-Panel-of-Service-Providers-for-Training-Services.pdf" TargetMode="External"/><Relationship Id="rId171" Type="http://schemas.openxmlformats.org/officeDocument/2006/relationships/hyperlink" Target="https://www.etenders.gov.za/home/Download/?blobName=2a373576-f2ec-495c-9c9a-1be810a93a18.pdf&amp;downloadedFileName=TNPA%202026%2006%200021%20114522%20RFP.pdf" TargetMode="External"/><Relationship Id="rId227" Type="http://schemas.openxmlformats.org/officeDocument/2006/relationships/hyperlink" Target="https://www.etenders.gov.za/home/Download/?blobName=263903ed-f2e3-48b5-958a-c812f205456d.pdf&amp;downloadedFileName=TMT-ECDoE-2627-SAN60-CL58%20EMIZAMOYETHU%20SSS.pdf" TargetMode="External"/><Relationship Id="rId269" Type="http://schemas.openxmlformats.org/officeDocument/2006/relationships/hyperlink" Target="https://www.etenders.gov.za/home/Download/?blobName=72e3066c-56c2-4177-9244-ea6bdcb1b7a0.pdf&amp;downloadedFileName=ER%2012505%20&amp;%20ERUC%200175.pdf" TargetMode="External"/><Relationship Id="rId434" Type="http://schemas.openxmlformats.org/officeDocument/2006/relationships/hyperlink" Target="https://www.winniemmlm.gov.za/wp-content/uploads/2025/08/Erratum-Procurement-of-Mobile-Contracts-for-five-Years.pdf" TargetMode="External"/><Relationship Id="rId476" Type="http://schemas.openxmlformats.org/officeDocument/2006/relationships/hyperlink" Target="https://www.matatiele.gov.za/job/closing-register-for-cleaning-and-refuse-removal-for-itsokolele/" TargetMode="External"/><Relationship Id="rId33" Type="http://schemas.openxmlformats.org/officeDocument/2006/relationships/hyperlink" Target="https://www.etenders.gov.za/home/Download/?blobName=255c55d1-2cd4-4f6b-8e93-42d5aaf9f811.pdf&amp;downloadedFileName=Giyani%20Water%20Reticulation%20to%20Villages%20Phase%202A%20-%20Final%20advert%20.pdf" TargetMode="External"/><Relationship Id="rId129" Type="http://schemas.openxmlformats.org/officeDocument/2006/relationships/hyperlink" Target="https://www.etenders.gov.za/home/Download/?blobName=7d1b23dd-26b3-4839-beee-22354db8c24e.zip&amp;downloadedFileName=Financial%20analysis%20Returnables.zip" TargetMode="External"/><Relationship Id="rId280" Type="http://schemas.openxmlformats.org/officeDocument/2006/relationships/hyperlink" Target="https://www.etenders.gov.za/home/Download/?blobName=acb128b1-9815-42f2-b85e-537a71482358.pdf&amp;downloadedFileName=RFQ%2003%20OF%2006%20OF%202025%20%20ADVERT.pdf" TargetMode="External"/><Relationship Id="rId336" Type="http://schemas.openxmlformats.org/officeDocument/2006/relationships/hyperlink" Target="https://www.etenders.gov.za/home/Download/?blobName=f329ec1e-7fd4-4245-af1d-3b7843d6cfaf.docx&amp;downloadedFileName=RFQ%20number%20Tables%2001.docx" TargetMode="External"/><Relationship Id="rId75" Type="http://schemas.openxmlformats.org/officeDocument/2006/relationships/hyperlink" Target="https://www.etenders.gov.za/home/Download/?blobName=9cb059b9-6c2f-4953-992a-820524df485c.pdf&amp;downloadedFileName=18-06-2026%20QUOTATION%20%20ADVERT%20-%20SUPPLY%20AND%20DELIVER%20OF%20TOOLS%20AND%20EQUIPMENT.pdf" TargetMode="External"/><Relationship Id="rId140" Type="http://schemas.openxmlformats.org/officeDocument/2006/relationships/hyperlink" Target="https://www.etenders.gov.za/home/Download/?blobName=110a1fbe-e927-4f38-a424-1ba13778c446.pdf&amp;downloadedFileName=HAULING%20OF%20MACHINERY,TRACTORS,LIGHT%20VEHICLES%20AND%20TRUCKS.pdf" TargetMode="External"/><Relationship Id="rId182" Type="http://schemas.openxmlformats.org/officeDocument/2006/relationships/hyperlink" Target="https://www.etenders.gov.za/home/Download/?blobName=cff6f7e5-4255-4344-8aa9-ecdc5ad0fdbc.pdf&amp;downloadedFileName=TNPA%202026%2006%200004%20114505%20RFP.pdf" TargetMode="External"/><Relationship Id="rId378" Type="http://schemas.openxmlformats.org/officeDocument/2006/relationships/hyperlink" Target="https://www.umzimvubu.gov.za/wp-content/uploads/2025/02/Ndindindi-BOQ.pdf" TargetMode="External"/><Relationship Id="rId403" Type="http://schemas.openxmlformats.org/officeDocument/2006/relationships/hyperlink" Target="https://www.umzimvubu.gov.za/wp-content/uploads/2025/02/Gravel-headwall-detail1.pdf" TargetMode="External"/><Relationship Id="rId6" Type="http://schemas.openxmlformats.org/officeDocument/2006/relationships/hyperlink" Target="https://www.etenders.gov.za/home/Download/?blobName=ab8110d3-d32a-4e46-9514-4dade2be3b29.pdf&amp;downloadedFileName=Advert%20for%20Provision%20of%20internet%20services%20-%20End%20Point-%203%20Tier.pdf" TargetMode="External"/><Relationship Id="rId238" Type="http://schemas.openxmlformats.org/officeDocument/2006/relationships/hyperlink" Target="https://www.etenders.gov.za/home/Download/?blobName=b257de9e-75ea-4ca3-8563-689105441a7f.pdf&amp;downloadedFileName=PHUMLANI%20SSS%20UNPRICED%20BOQ.pdf" TargetMode="External"/><Relationship Id="rId445" Type="http://schemas.openxmlformats.org/officeDocument/2006/relationships/hyperlink" Target="https://greatkeilm.gov.za/web/2026/04/29/rfq-bto-11-2025-26-request-for-supply-and-installation-of-microsoft-exchange-online-licenses/" TargetMode="External"/><Relationship Id="rId291" Type="http://schemas.openxmlformats.org/officeDocument/2006/relationships/hyperlink" Target="https://www.etenders.gov.za/home/Download/?blobName=52e37a82-120e-4efb-9478-380bee1dc6d4.pdf&amp;downloadedFileName=TermsOfReference_V2%20-%20Photography.docx.pdf" TargetMode="External"/><Relationship Id="rId305" Type="http://schemas.openxmlformats.org/officeDocument/2006/relationships/hyperlink" Target="https://www.etenders.gov.za/home/Download/?blobName=d8c4c347-b3d9-4653-af4f-b0ca55fce05d.pdf&amp;downloadedFileName=Q2026%20043%20DOC%20.pdf" TargetMode="External"/><Relationship Id="rId347" Type="http://schemas.openxmlformats.org/officeDocument/2006/relationships/hyperlink" Target="https://www.ecdpw.gov.za/wp-content/tender-uploads/alf5-26-27-0004-term-contract-gaeneral-building.pdf" TargetMode="External"/><Relationship Id="rId44" Type="http://schemas.openxmlformats.org/officeDocument/2006/relationships/hyperlink" Target="https://www.etenders.gov.za/home/Download/?blobName=db78cc9e-5b30-4db1-8fc8-20825ca45efc.pdf&amp;downloadedFileName=ADVERT%20SCM%2037-2026%20LEGAL%20SERVICES.pdf" TargetMode="External"/><Relationship Id="rId86" Type="http://schemas.openxmlformats.org/officeDocument/2006/relationships/hyperlink" Target="https://www.etenders.gov.za/home/Download/?blobName=174e48b4-df7a-4bdf-a3ba-2138da0911ba.docx&amp;downloadedFileName=ADVERT%20FOR%20Grass%20Cutting%20Equipment-43.docx" TargetMode="External"/><Relationship Id="rId151" Type="http://schemas.openxmlformats.org/officeDocument/2006/relationships/hyperlink" Target="https://www.etenders.gov.za/home/Download/?blobName=be55df79-ec5a-4444-b756-bcc731e90357.pdf&amp;downloadedFileName=277Q-2025-26%20-%20Final%20tender%20document%20advert%201-7.pdf" TargetMode="External"/><Relationship Id="rId389" Type="http://schemas.openxmlformats.org/officeDocument/2006/relationships/hyperlink" Target="https://www.umzimvubu.gov.za/wp-content/uploads/2025/02/Gravel-Road-S-W-Pipe-Backfill-shallow-detail3-1.pdf" TargetMode="External"/><Relationship Id="rId193" Type="http://schemas.openxmlformats.org/officeDocument/2006/relationships/hyperlink" Target="https://www.etenders.gov.za/home/Download/?blobName=42a99c7a-a1eb-4a64-ba73-1e86ae918216.pdf&amp;downloadedFileName=TNPA%202026%2006%200020%20114521%20RFP.pdf" TargetMode="External"/><Relationship Id="rId207" Type="http://schemas.openxmlformats.org/officeDocument/2006/relationships/hyperlink" Target="https://www.etenders.gov.za/home/Download/?blobName=50733591-7ebc-414f-8163-43cb07aea2c5.xlsx&amp;downloadedFileName=Annexure-A1-%20Pricing%20and%20Rates_v1.xlsx" TargetMode="External"/><Relationship Id="rId249" Type="http://schemas.openxmlformats.org/officeDocument/2006/relationships/hyperlink" Target="https://www.etenders.gov.za/home/Download/?blobName=4df7ff04-d187-4d4d-96f4-46058139eaaa.pdf&amp;downloadedFileName=RFP.pdf" TargetMode="External"/><Relationship Id="rId414" Type="http://schemas.openxmlformats.org/officeDocument/2006/relationships/hyperlink" Target="https://www.umzimvubu.gov.za/wp-content/uploads/2025/02/Cross-section_Concrete23.pdf" TargetMode="External"/><Relationship Id="rId456" Type="http://schemas.openxmlformats.org/officeDocument/2006/relationships/hyperlink" Target="https://www.labour.gov.za/Tenders/Available-Tenders/Lists/Open%20Tenders/Attachments/537/Approved%20Deep%20cleaning%20tender%20specification%20advert%20date%2005%20June%202026.pdf" TargetMode="External"/><Relationship Id="rId13" Type="http://schemas.openxmlformats.org/officeDocument/2006/relationships/hyperlink" Target="https://www.etenders.gov.za/home/Download/?blobName=eccdba60-fcf4-4351-a07e-a80a18be2676.pdf&amp;downloadedFileName=Giyani%20Water%20Reticulation%20to%20Villages%20Phase%202A%20-%20Final%20advert%20.pdf" TargetMode="External"/><Relationship Id="rId109" Type="http://schemas.openxmlformats.org/officeDocument/2006/relationships/hyperlink" Target="https://www.etenders.gov.za/home/Download/?blobName=8a81b351-e5c5-462c-8e2d-3ecde05a4117.pdf&amp;downloadedFileName=RFQ%20BB%2039%20SUPPLY%20AND%20DELIVERY%20OF%20RAM%20MODULES%20TO%20THE%20OUDTSHOORN%20CAMPUS%20(1).pdf" TargetMode="External"/><Relationship Id="rId260" Type="http://schemas.openxmlformats.org/officeDocument/2006/relationships/hyperlink" Target="https://www.etenders.gov.za/home/Download/?blobName=e11367d1-9f17-42d8-a14d-1c1435c067ca.doc&amp;downloadedFileName=NEC3%20-Supply%20and%20delivery%20of%20low%20voltage%20motors.doc" TargetMode="External"/><Relationship Id="rId316" Type="http://schemas.openxmlformats.org/officeDocument/2006/relationships/hyperlink" Target="https://www.etenders.gov.za/home/Download/?blobName=2a32a3d0-03f5-4212-b6c1-7c270928c703.pdf&amp;downloadedFileName=MSI61-2026%20-%20Provision%20of%20borehole%20Drilling%20and%20Construction.pdf" TargetMode="External"/><Relationship Id="rId55" Type="http://schemas.openxmlformats.org/officeDocument/2006/relationships/hyperlink" Target="https://www.etenders.gov.za/home/Download/?blobName=af53453d-9e8c-4948-84a6-03ff6c3d576d.pdf&amp;downloadedFileName=AW2025.26.14%20-%20Tender%20document%20%20HV%20Electrical.pdf" TargetMode="External"/><Relationship Id="rId97" Type="http://schemas.openxmlformats.org/officeDocument/2006/relationships/hyperlink" Target="https://www.etenders.gov.za/home/Download/?blobName=b908ff9b-3719-43cb-b62f-65066fca4bf0.pdf&amp;downloadedFileName=SBD%206.1%20IN%20TERMS%20OF%20PPR2022%20(80-20).pdf" TargetMode="External"/><Relationship Id="rId120" Type="http://schemas.openxmlformats.org/officeDocument/2006/relationships/hyperlink" Target="https://www.etenders.gov.za/home/Download/?blobName=67ccaf1c-06fe-43f9-bfb8-63d6b0bfcde3.pdf&amp;downloadedFileName=Tender_292S%20-%20Notice%201.pdf" TargetMode="External"/><Relationship Id="rId358" Type="http://schemas.openxmlformats.org/officeDocument/2006/relationships/hyperlink" Target="https://www.ntabankulu.gov.za/2026/05/26/closing-register-for-construction-of-rwantsana-community-hall/" TargetMode="External"/><Relationship Id="rId162" Type="http://schemas.openxmlformats.org/officeDocument/2006/relationships/hyperlink" Target="https://www.etenders.gov.za/home/Download/?blobName=4527621c-4a88-47c0-90bb-9e5484a06a6e.pdf&amp;downloadedFileName=TNPA%202026%2006%200012%20114513%20RFP.pdf" TargetMode="External"/><Relationship Id="rId218" Type="http://schemas.openxmlformats.org/officeDocument/2006/relationships/hyperlink" Target="https://www.etenders.gov.za/home/Download/?blobName=c32069a3-75a1-46e7-ac02-ed77835d66d5.pdf&amp;downloadedFileName=DFFE-RFQ002(26-27)%20IT%20HELPDESK.pdf" TargetMode="External"/><Relationship Id="rId425" Type="http://schemas.openxmlformats.org/officeDocument/2006/relationships/hyperlink" Target="https://www.umzimvubu.gov.za/wp-content/uploads/2025/02/Capture2.jpg" TargetMode="External"/><Relationship Id="rId467" Type="http://schemas.openxmlformats.org/officeDocument/2006/relationships/hyperlink" Target="https://www.matatiele.gov.za/job/opening-and-closing-register-suppy-and-deliver-traffic-officers-motorcycle-ppe/" TargetMode="External"/><Relationship Id="rId271" Type="http://schemas.openxmlformats.org/officeDocument/2006/relationships/hyperlink" Target="https://www.etenders.gov.za/home/Download/?blobName=fcb4e6d0-09ff-472a-81a8-61b6f511f23e.pdf&amp;downloadedFileName=RQ-019892.pdf" TargetMode="External"/><Relationship Id="rId24" Type="http://schemas.openxmlformats.org/officeDocument/2006/relationships/hyperlink" Target="https://www.etenders.gov.za/home/Download/?blobName=f0baf79d-6859-49c7-8e23-850f12c7901b.pdf&amp;downloadedFileName=Giyani%20Water%20Reticulation%20to%20Villages%20Phase%202A%20-%20Final%20advert%20.pdf" TargetMode="External"/><Relationship Id="rId66" Type="http://schemas.openxmlformats.org/officeDocument/2006/relationships/hyperlink" Target="https://www.etenders.gov.za/home/Download/?blobName=c3afb3ca-1e61-4596-bb1f-03cb54bbca4c.pdf&amp;downloadedFileName=Tender%2005%202026%20-%20ACQUISITION%20OF%20OFFICE%20BUILDINGS%20FOR%20UMEDA.pdf" TargetMode="External"/><Relationship Id="rId131" Type="http://schemas.openxmlformats.org/officeDocument/2006/relationships/hyperlink" Target="https://www.etenders.gov.za/home/Download/?blobName=8eb594db-090d-4fdc-9656-48584e299e15.pdf&amp;downloadedFileName=TENDER%20DOCUMENT%20FOR%20PANEL%20OF%20BUILDING%20CONTRACTORS%20FOR%20A%20PERIOD%20OF%20THREE%20(3)%20YEARS.pdf" TargetMode="External"/><Relationship Id="rId327" Type="http://schemas.openxmlformats.org/officeDocument/2006/relationships/hyperlink" Target="https://www.etenders.gov.za/home/Download/?blobName=c23ef098-c79f-4792-aa66-2e1a658429e6.pdf&amp;downloadedFileName=RFQJW117TN26%20-%20SERVICING%20OF%20FIRE%20EXTINGUISHERS%20AND%20HOSE%20REELS.pdf" TargetMode="External"/><Relationship Id="rId369" Type="http://schemas.openxmlformats.org/officeDocument/2006/relationships/hyperlink" Target="https://www.umzimvubu.gov.za/wp-content/uploads/2025/02/Tender-Document.pdf" TargetMode="External"/><Relationship Id="rId173" Type="http://schemas.openxmlformats.org/officeDocument/2006/relationships/hyperlink" Target="https://www.etenders.gov.za/home/Download/?blobName=6ca363c3-34f1-46ae-9501-18dd1daefd32.pdf&amp;downloadedFileName=TNPA%202026%2006%200022%20114523%20RFP.pdf" TargetMode="External"/><Relationship Id="rId229" Type="http://schemas.openxmlformats.org/officeDocument/2006/relationships/hyperlink" Target="https://www.etenders.gov.za/home/Download/?blobName=981149f9-2748-4823-82e7-dacb86affe05.pdf&amp;downloadedFileName=ECLB%20BID%20NO.%20006-206026-27%20-LEASE%20OF%20OFFICE%20ACCOMMODATION%20FOR%20THE%20HEAD%20OFFICE%20IN%20EAST%20LONDON%20-FINAL.pdf" TargetMode="External"/><Relationship Id="rId380" Type="http://schemas.openxmlformats.org/officeDocument/2006/relationships/hyperlink" Target="https://www.umzimvubu.gov.za/wp-content/uploads/2025/02/maphakama-Tender-Document-1.pdf" TargetMode="External"/><Relationship Id="rId436" Type="http://schemas.openxmlformats.org/officeDocument/2006/relationships/hyperlink" Target="https://greatkeilm.gov.za/web/2026/06/05/rfq-bto-09-2025-26-request-for-re-advertisement-for-supply-and-delivery-of-alternative-energy/" TargetMode="External"/><Relationship Id="rId240" Type="http://schemas.openxmlformats.org/officeDocument/2006/relationships/hyperlink" Target="https://www.etenders.gov.za/home/Download/?blobName=e8429d94-c04b-4560-aefd-a1bf95254c83.pdf&amp;downloadedFileName=TMT-ECDoE-2526-Flush-CL6R2-MAQOMA%20PS.pdf" TargetMode="External"/><Relationship Id="rId478" Type="http://schemas.openxmlformats.org/officeDocument/2006/relationships/hyperlink" Target="https://www.matatiele.gov.za/job/closing-register-for-6-service-providers-for-storm-water-of-36-months/" TargetMode="External"/><Relationship Id="rId35" Type="http://schemas.openxmlformats.org/officeDocument/2006/relationships/hyperlink" Target="https://www.etenders.gov.za/home/Download/?blobName=da172950-080c-490d-93d1-fb68d9e3618f.pdf&amp;downloadedFileName=Advert%20for%20Welding%20Machines%20and%20Simulators.pdf" TargetMode="External"/><Relationship Id="rId77" Type="http://schemas.openxmlformats.org/officeDocument/2006/relationships/hyperlink" Target="https://www.etenders.gov.za/home/Download/?blobName=21f5f796-d784-4e3b-94d5-0894247ba9e0.pdf&amp;downloadedFileName=1.%20A%20Invitation%20to%20Bidders_RFQ%20002-2026.pdf" TargetMode="External"/><Relationship Id="rId100" Type="http://schemas.openxmlformats.org/officeDocument/2006/relationships/hyperlink" Target="https://www.etenders.gov.za/home/Download/?blobName=c229d966-88a3-420f-82ee-9d610447b368.pdf&amp;downloadedFileName=RFP%20VoIP%20Solution%20-%20MRCC%20-%20RFI-003-2026-27.pdf" TargetMode="External"/><Relationship Id="rId282" Type="http://schemas.openxmlformats.org/officeDocument/2006/relationships/hyperlink" Target="https://www.etenders.gov.za/home/Download/?blobName=7b9c5e84-d85b-4f35-a7c3-f62a7edf58e1.pdf&amp;downloadedFileName=Q2-2026-27%20APPOINTMENT%20OF%20SERVICE%20PROVIDER%20FOR%20ARCGIS%20PRO%20STANDARD%20&amp;%20ADVANCE%20TRAINING%20-%20TENDER%20DOCUMENT.pdf" TargetMode="External"/><Relationship Id="rId338" Type="http://schemas.openxmlformats.org/officeDocument/2006/relationships/hyperlink" Target="https://www.ecdpw.gov.za/wp-content/tender-uploads/department-of-agriculture--mthatha-cbd--final-0035.pdf" TargetMode="External"/><Relationship Id="rId8" Type="http://schemas.openxmlformats.org/officeDocument/2006/relationships/hyperlink" Target="https://www.etenders.gov.za/home/Download/?blobName=ff75eedc-33dd-4422-ad80-c8b5c3edd20d.pdf&amp;downloadedFileName=Giyani%20Water%20Reticulation%20to%20Villages%20Phase%202A%20-%20Final%20advert%20.pdf" TargetMode="External"/><Relationship Id="rId142" Type="http://schemas.openxmlformats.org/officeDocument/2006/relationships/hyperlink" Target="https://www.etenders.gov.za/home/Download/?blobName=85d3d1ba-e15f-4f0c-b36c-f4b8ebe8d641.pdf&amp;downloadedFileName=REPAIR%20OF%20HEAVY%20MACHINERY%20AND%20TRACTORS.pdf" TargetMode="External"/><Relationship Id="rId184" Type="http://schemas.openxmlformats.org/officeDocument/2006/relationships/hyperlink" Target="https://www.etenders.gov.za/home/Download/?blobName=eff89df7-eee8-47c4-a3e9-8a42ac04e889.pdf&amp;downloadedFileName=TNPA%202026%2006%200005%20114506%20RFP.pdf" TargetMode="External"/><Relationship Id="rId391" Type="http://schemas.openxmlformats.org/officeDocument/2006/relationships/hyperlink" Target="https://www.umzimvubu.gov.za/wp-content/uploads/2025/02/Gravel-Road-S-W-Pipe-Backfill-shallow-detail1.pdf" TargetMode="External"/><Relationship Id="rId405" Type="http://schemas.openxmlformats.org/officeDocument/2006/relationships/hyperlink" Target="https://www.umzimvubu.gov.za/wp-content/uploads/2025/02/FINAL-BOQ-MANXIWENI-AR.pdf" TargetMode="External"/><Relationship Id="rId447" Type="http://schemas.openxmlformats.org/officeDocument/2006/relationships/hyperlink" Target="https://greatkeilm.gov.za/web/2026/04/10/rfq-comm-04-2025-26-request-for-re-advertisement-for-supply-and-delivery-of-protective-clothing-for-community-services-staff/" TargetMode="External"/><Relationship Id="rId251" Type="http://schemas.openxmlformats.org/officeDocument/2006/relationships/hyperlink" Target="https://www.etenders.gov.za/home/Download/?blobName=e3c62324-ee82-4161-9e37-dab88f4251ed.pdf&amp;downloadedFileName=1.%20Tender%20Doc%20-%20dtic%2002.26-27%20Maintenance%20of%20HPE%20Servers.pdf" TargetMode="External"/><Relationship Id="rId46" Type="http://schemas.openxmlformats.org/officeDocument/2006/relationships/hyperlink" Target="https://www.etenders.gov.za/home/Download/?blobName=28add253-6f63-4c27-b220-669bbc8570b7.zip&amp;downloadedFileName=BID%20DOCUMENT.zip" TargetMode="External"/><Relationship Id="rId293" Type="http://schemas.openxmlformats.org/officeDocument/2006/relationships/hyperlink" Target="https://www.etenders.gov.za/home/Download/?blobName=0bc3b41c-4a2a-4bf0-a939-292487566897.pdf&amp;downloadedFileName=Specification%20to%20appoint%20OHS%20External%20Audit%20(2026).pdf" TargetMode="External"/><Relationship Id="rId307" Type="http://schemas.openxmlformats.org/officeDocument/2006/relationships/hyperlink" Target="https://www.etenders.gov.za/home/Download/?blobName=43b0e267-6805-41f3-90f8-99502717860a.pdf&amp;downloadedFileName=Q2026%20047%20DOC.pdf" TargetMode="External"/><Relationship Id="rId349" Type="http://schemas.openxmlformats.org/officeDocument/2006/relationships/hyperlink" Target="https://www.ecdpw.gov.za/wp-content/tender-uploads/alf5-26-27-0002-term-contract-electical.pdf" TargetMode="External"/><Relationship Id="rId88" Type="http://schemas.openxmlformats.org/officeDocument/2006/relationships/hyperlink" Target="https://www.etenders.gov.za/home/Download/?blobName=7892b448-fb2c-4aa3-8b98-ea628da5ab07.pdf&amp;downloadedFileName=RFQ%20Proceedings%20Kruger%202026%20v01.pdf" TargetMode="External"/><Relationship Id="rId111" Type="http://schemas.openxmlformats.org/officeDocument/2006/relationships/hyperlink" Target="https://www.etenders.gov.za/home/Download/?blobName=166ee697-f684-41df-bc5f-5a0f27590462.pdf&amp;downloadedFileName=RFQ%20%20Appointment%20of%20Service%20Provider%20for%20Accredited%20Training%20to%20Landcare%20Contractors.pdf" TargetMode="External"/><Relationship Id="rId153" Type="http://schemas.openxmlformats.org/officeDocument/2006/relationships/hyperlink" Target="https://www.etenders.gov.za/home/Download/?blobName=bcc1af99-3318-4a14-a7f8-0acd92a0447c.pdf&amp;downloadedFileName=Annexure%203%20APPENDICES%20-%20PRASA%20TENDER%20RETURNABLE%20FORMS%20(SCM%20Circular%20Number%2002%20of%20202526)%20Corridor%201C%20(003).pdf" TargetMode="External"/><Relationship Id="rId195" Type="http://schemas.openxmlformats.org/officeDocument/2006/relationships/hyperlink" Target="https://www.etenders.gov.za/home/Download/?blobName=ed507b41-40af-4dc0-9442-4e2da337501e.pdf&amp;downloadedFileName=SIGNED%20INVITATION%20TO%20TENDER%20AS%20AT%2010%20JUNE%202026.pdf" TargetMode="External"/><Relationship Id="rId209" Type="http://schemas.openxmlformats.org/officeDocument/2006/relationships/hyperlink" Target="https://www.etenders.gov.za/home/Download/?blobName=3d24287f-a769-4679-a9e5-469c0471a080.pdf&amp;downloadedFileName=NDoH%2011%202026-2027.pdf" TargetMode="External"/><Relationship Id="rId360" Type="http://schemas.openxmlformats.org/officeDocument/2006/relationships/hyperlink" Target="https://www.umzimvubu.gov.za/wp-content/uploads/2025/02/WEBSITE-HOSTING-AND-MAINTENANCE-SERVICES-FOR-UMZIMVUBU-LOCAL-MUNICIPALITY-FOR-A-PERIOD-OF-3-YEARS-1.pdf" TargetMode="External"/><Relationship Id="rId416" Type="http://schemas.openxmlformats.org/officeDocument/2006/relationships/hyperlink" Target="https://www.umzimvubu.gov.za/wp-content/uploads/2025/02/Cross-section_Concrete21.pdf" TargetMode="External"/><Relationship Id="rId220" Type="http://schemas.openxmlformats.org/officeDocument/2006/relationships/hyperlink" Target="https://www.etenders.gov.za/home/Download/?blobName=bb5065f9-98c9-40e6-ae54-ac1eb0eb9cb8.pdf&amp;downloadedFileName=TMT-ECDoE-2627-SAN60-CL49%20FAIRVIEW%20JSS.pdf" TargetMode="External"/><Relationship Id="rId458" Type="http://schemas.openxmlformats.org/officeDocument/2006/relationships/hyperlink" Target="https://www.matatiele.gov.za/job/addendam-appointment-of-a-panel-of-six-6-civil-engineering-professional-service-providers-for-preparing-business-plan-feasibility-study-preliminary-design-detail-design-tender-documentation-and/" TargetMode="External"/><Relationship Id="rId15" Type="http://schemas.openxmlformats.org/officeDocument/2006/relationships/hyperlink" Target="https://www.etenders.gov.za/home/Download/?blobName=280152a9-4d6c-4b1c-9c80-d82bffab86c5.pdf&amp;downloadedFileName=Giyani%20Water%20Reticulation%20to%20Villages%20Phase%202A%20-%20Final%20advert%20.pdf" TargetMode="External"/><Relationship Id="rId57" Type="http://schemas.openxmlformats.org/officeDocument/2006/relationships/hyperlink" Target="https://www.etenders.gov.za/home/Download/?blobName=4b71aec2-d246-4f47-a235-111becf4b5d6.pdf&amp;downloadedFileName=BID%20DOCUMENT%20SECURITY%20SERVICES%202026..pdf" TargetMode="External"/><Relationship Id="rId262" Type="http://schemas.openxmlformats.org/officeDocument/2006/relationships/hyperlink" Target="https://www.etenders.gov.za/home/Download/?blobName=0a795c5e-6b56-474b-b156-99ba22308e95.pdf&amp;downloadedFileName=Bid%20Invitation%20for%20Construction%20of%20Tsweleni%20AR%20and%20Gxwaleni%20Concrete%20Slab.pdf" TargetMode="External"/><Relationship Id="rId318" Type="http://schemas.openxmlformats.org/officeDocument/2006/relationships/hyperlink" Target="https://www.etenders.gov.za/home/Download/?blobName=784558d4-87f2-44b5-90bb-3f266c41b37e.pdf&amp;downloadedFileName=Infection%20Prvention%20and%20control%2019.06%202026%20TN%20(4).pdf" TargetMode="External"/><Relationship Id="rId99" Type="http://schemas.openxmlformats.org/officeDocument/2006/relationships/hyperlink" Target="https://www.etenders.gov.za/home/Download/?blobName=696e90eb-168d-4e48-ad42-28d1527bba47.pdf&amp;downloadedFileName=MTN%20Link%20Upgrade%20TOR_RFI_002_2026_27.pdf" TargetMode="External"/><Relationship Id="rId122" Type="http://schemas.openxmlformats.org/officeDocument/2006/relationships/hyperlink" Target="https://www.etenders.gov.za/home/Download/?blobName=fc8394ad-2070-470e-aef2-08f00aad5a36.pdf&amp;downloadedFileName=240-68099512%20Form%20A_Cat%203_%20Fibre%20Optic%20Installation%20and%20Repair.pdf" TargetMode="External"/><Relationship Id="rId164" Type="http://schemas.openxmlformats.org/officeDocument/2006/relationships/hyperlink" Target="https://www.etenders.gov.za/home/Download/?blobName=d08e93b5-cba9-47b6-b3a9-08325b7fe5fe.pdf&amp;downloadedFileName=TNPA%202026%2006%200013%20114514%20RFP.pdf" TargetMode="External"/><Relationship Id="rId371" Type="http://schemas.openxmlformats.org/officeDocument/2006/relationships/hyperlink" Target="https://www.umzimvubu.gov.za/wp-content/uploads/2025/02/Sodladla-Contract-Section-2.pdf" TargetMode="External"/><Relationship Id="rId427" Type="http://schemas.openxmlformats.org/officeDocument/2006/relationships/hyperlink" Target="https://www.umzimvubu.gov.za/wp-content/uploads/2025/02/Capture.jpg" TargetMode="External"/><Relationship Id="rId469" Type="http://schemas.openxmlformats.org/officeDocument/2006/relationships/hyperlink" Target="https://www.matatiele.gov.za/job/closing-register-road-signs/" TargetMode="External"/><Relationship Id="rId26" Type="http://schemas.openxmlformats.org/officeDocument/2006/relationships/hyperlink" Target="https://www.etenders.gov.za/home/Download/?blobName=e7285443-918c-48a7-9152-1fa3730a23d0.docx&amp;downloadedFileName=2.%20SBD%20Forms.docx" TargetMode="External"/><Relationship Id="rId231" Type="http://schemas.openxmlformats.org/officeDocument/2006/relationships/hyperlink" Target="https://www.etenders.gov.za/home/Download/?blobName=f12e9d9b-ad3e-4498-a70f-433e76a59d72.pdf&amp;downloadedFileName=TMT-ECDoE-2627-SAN60-CL38%20DAZA%20JSS.pdf" TargetMode="External"/><Relationship Id="rId273" Type="http://schemas.openxmlformats.org/officeDocument/2006/relationships/hyperlink" Target="https://www.etenders.gov.za/home/Download/?blobName=583d9b88-038e-4444-a24a-a106db77cbad.pdf&amp;downloadedFileName=Invitation%20to%20Tender%20(ITT)%20Lethabo%20PS.pdf" TargetMode="External"/><Relationship Id="rId329" Type="http://schemas.openxmlformats.org/officeDocument/2006/relationships/hyperlink" Target="https://www.etenders.gov.za/home/Download/?blobName=121d8d04-35d6-482f-b6c4-c5b49a366d61.pdf&amp;downloadedFileName=RFQJW0074SM2026%20%E2%80%93%20Service%20of%20meter%20test%20equipment%20at%20Flow%20Lab,%20Ffennell%20Road%20Depot.pdf" TargetMode="External"/><Relationship Id="rId68" Type="http://schemas.openxmlformats.org/officeDocument/2006/relationships/hyperlink" Target="https://www.etenders.gov.za/home/Download/?blobName=fe87543e-10d0-4702-a755-986d2246fdb2.pdf&amp;downloadedFileName=Robertson%20Armed%20Responses.pdf" TargetMode="External"/><Relationship Id="rId133" Type="http://schemas.openxmlformats.org/officeDocument/2006/relationships/hyperlink" Target="https://www.etenders.gov.za/home/Download/?blobName=f5eac916-143e-45fd-9796-571d1ba40c70.pdf&amp;downloadedFileName=2026_022_HEAD%20OFFICE%20HVAC%20MAINTENANCE%20CONTRACT%20FOR%20FIVE%20(5)%20YEARS.pdf" TargetMode="External"/><Relationship Id="rId175" Type="http://schemas.openxmlformats.org/officeDocument/2006/relationships/hyperlink" Target="https://www.etenders.gov.za/home/Download/?blobName=9824e581-e255-4273-b494-570491accb04.pdf&amp;downloadedFileName=TNPA%202026%2006%200023%20114524%20RFP.pdf" TargetMode="External"/><Relationship Id="rId340" Type="http://schemas.openxmlformats.org/officeDocument/2006/relationships/hyperlink" Target="https://www.ecdpw.gov.za/wp-content/tender-uploads/scmu5-2627-0029_-tafalofefe-hospital--water-and-wastewater-treatment-works-.pdf" TargetMode="External"/><Relationship Id="rId200" Type="http://schemas.openxmlformats.org/officeDocument/2006/relationships/hyperlink" Target="https://www.etenders.gov.za/home/Download/?blobName=647c0f9a-9e11-46ab-973c-b6e5d337b4eb.pdf&amp;downloadedFileName=APPOINTING%20OF%20PANEL%20%20DISCONNECTION%20OF%20ELECTRICAL%20ILLEGAL%20CONNECTIONS%20FOR%20THE%20PERIOD%20OF%2036%20MONTHS%2018%20JUNE%202026%20(15).pdf" TargetMode="External"/><Relationship Id="rId382" Type="http://schemas.openxmlformats.org/officeDocument/2006/relationships/hyperlink" Target="https://www.umzimvubu.gov.za/wp-content/uploads/2025/02/Maphakama-BOQ.pdf" TargetMode="External"/><Relationship Id="rId438" Type="http://schemas.openxmlformats.org/officeDocument/2006/relationships/hyperlink" Target="https://greatkeilm.gov.za/web/2026/05/13/tender-tech-comm-21-2025-26-re-advertisement-of-supply-delivery-implementation-and-commissioning-of-server-infrastructure-for-a-period-of-three-years/" TargetMode="External"/><Relationship Id="rId242" Type="http://schemas.openxmlformats.org/officeDocument/2006/relationships/hyperlink" Target="https://www.etenders.gov.za/home/Download/?blobName=7b0b89d9-20e2-4fa4-a1ac-3d32d73f7ef3.pdf&amp;downloadedFileName=ZANOKHANYO%20PS%20UNPRICED%20BOQ.pdf" TargetMode="External"/><Relationship Id="rId284" Type="http://schemas.openxmlformats.org/officeDocument/2006/relationships/hyperlink" Target="https://www.etenders.gov.za/home/Download/?blobName=cc0e5f1c-a563-408e-ac50-28628183d756.pdf&amp;downloadedFileName=CIDB%20Bid%20document%20Template%20RFQ%208444%20Maitenance%20of%20Fire%20systems%20for%20period%20of%2036%20months_reviewedDM.pdf" TargetMode="External"/><Relationship Id="rId37" Type="http://schemas.openxmlformats.org/officeDocument/2006/relationships/hyperlink" Target="https://www.etenders.gov.za/home/Download/?blobName=4e019544-f691-482d-b07b-694eae6b7fba.pdf&amp;downloadedFileName=SASSA%2003-26-FAC-NW%20Leasing%20of%20office%20accomodation%20for%20SASSA%20North%20West%20Region%20for%20a%20%20period%20of%20five(5)%20yearas%20in%20Lekwa-Teemane(Bloemhof)%20CBD.pdf" TargetMode="External"/><Relationship Id="rId79" Type="http://schemas.openxmlformats.org/officeDocument/2006/relationships/hyperlink" Target="https://www.etenders.gov.za/home/Download/?blobName=6fc0e90f-ca0f-4d4b-bdc5-04e9554963d8.pdf&amp;downloadedFileName=RE-ADVERT%20SCM11DESIGNANDPRINTANNUAL2026.pdf" TargetMode="External"/><Relationship Id="rId102" Type="http://schemas.openxmlformats.org/officeDocument/2006/relationships/hyperlink" Target="https://www.etenders.gov.za/home/Download/?blobName=72591ed3-1868-4be6-8016-00c41c2ac980.pdf&amp;downloadedFileName=SBD%206.1%20IN%20TERMS%20OF%20PPR2022%20(80-20).pdf" TargetMode="External"/><Relationship Id="rId144" Type="http://schemas.openxmlformats.org/officeDocument/2006/relationships/hyperlink" Target="https://www.etenders.gov.za/home/Download/?blobName=f462c31d-ba92-48a5-945f-861c40b18448.pdf&amp;downloadedFileName=REPAIR%20OF%20SMALL%20EQUIPMENTS..pdf" TargetMode="External"/><Relationship Id="rId90" Type="http://schemas.openxmlformats.org/officeDocument/2006/relationships/hyperlink" Target="https://www.etenders.gov.za/home/Download/?blobName=e32db624-f90e-4764-8053-a10698d69a69.pdf&amp;downloadedFileName=RFQ%20BB%2034_2026%20re-advert.pdf" TargetMode="External"/><Relationship Id="rId186" Type="http://schemas.openxmlformats.org/officeDocument/2006/relationships/hyperlink" Target="https://www.etenders.gov.za/home/Download/?blobName=7a789757-f900-4f8c-9c01-90112b47d22a.pdf&amp;downloadedFileName=TNPA%202026%2006%200019%20114520%20RFP.pdf" TargetMode="External"/><Relationship Id="rId351" Type="http://schemas.openxmlformats.org/officeDocument/2006/relationships/hyperlink" Target="https://www.ntabankulu.gov.za/2026/06/19/bid-invitation-for-construction-of-tsweleni-ar-and-gxwaleni-concrete-slab/" TargetMode="External"/><Relationship Id="rId393" Type="http://schemas.openxmlformats.org/officeDocument/2006/relationships/hyperlink" Target="https://www.umzimvubu.gov.za/wp-content/uploads/2025/02/Gravel-Road-S-W-Inlet-detail5.pdf" TargetMode="External"/><Relationship Id="rId407" Type="http://schemas.openxmlformats.org/officeDocument/2006/relationships/hyperlink" Target="https://www.umzimvubu.gov.za/wp-content/uploads/2025/02/Cross-section_gravel4.pdf" TargetMode="External"/><Relationship Id="rId449" Type="http://schemas.openxmlformats.org/officeDocument/2006/relationships/hyperlink" Target="https://greatkeilm.gov.za/web/2026/03/06/invitation-to-tender-for-three-disaster-roads-projects/" TargetMode="External"/><Relationship Id="rId211" Type="http://schemas.openxmlformats.org/officeDocument/2006/relationships/hyperlink" Target="https://www.etenders.gov.za/home/Download/?blobName=04b5af79-3902-4a6b-8144-06a23cf42206.docx&amp;downloadedFileName=240-109253302%20_%20Quality%20Control%20Plan%20or%20Inspection%20Test%20Plan%20(QCP%20or%20ITP)%20rev%202.docx" TargetMode="External"/><Relationship Id="rId253" Type="http://schemas.openxmlformats.org/officeDocument/2006/relationships/hyperlink" Target="https://www.etenders.gov.za/home/Download/?blobName=2abb55e6-d649-41e4-b781-a568c4680754.pdf&amp;downloadedFileName=BID%20DOCUMENT%20ID-3275612.pdf" TargetMode="External"/><Relationship Id="rId295" Type="http://schemas.openxmlformats.org/officeDocument/2006/relationships/hyperlink" Target="https://www.etenders.gov.za/home/Download/?blobName=7a449f7f-b2ac-4ae9-80ad-fca1bf71b7ec.pdf&amp;downloadedFileName=Tender%20document%20-%20scm-tsw-01-2026-2027%20-%20EEDSM%20(003).pdf" TargetMode="External"/><Relationship Id="rId309" Type="http://schemas.openxmlformats.org/officeDocument/2006/relationships/hyperlink" Target="https://www.etenders.gov.za/home/Download/?blobName=0b2a6b94-292c-4798-a9ab-b7fc38262d33.pdf&amp;downloadedFileName=SBD%20SOIL%20CONTAMINATION%20AND%20CLASSIFICATION%20TESTS%20(002).pdf" TargetMode="External"/><Relationship Id="rId460" Type="http://schemas.openxmlformats.org/officeDocument/2006/relationships/hyperlink" Target="https://www.matatiele.gov.za/job/advert-for-printing-and-mailing-for-consumer-debtors-78/" TargetMode="External"/><Relationship Id="rId48" Type="http://schemas.openxmlformats.org/officeDocument/2006/relationships/hyperlink" Target="https://www.etenders.gov.za/home/Download/?blobName=5fbe6d2f-3173-4444-a698-f04eb50d8a58.pdf&amp;downloadedFileName=SCM001-2026%20Microsoft%20Agreement%20Subscriptions%20and%20License%20and%20Microsoft%20Teams%20Operator%20Connect%20Services.pdf" TargetMode="External"/><Relationship Id="rId113" Type="http://schemas.openxmlformats.org/officeDocument/2006/relationships/hyperlink" Target="https://www.etenders.gov.za/home/Download/?blobName=6d056d36-8d6d-4dfe-86bb-d8efd5b3acec.pdf&amp;downloadedFileName=284G-2025-26%20Term%20Tender%20for%20the%20Supply%20Delivery%20and%20Testing%20of%20New%20and%20Regenerated%20Mineral%20Insulating%20Oil%20and%20Lubricants%20for%20Generating%20Power%20Stations_Final%20-%20Print.pdf" TargetMode="External"/><Relationship Id="rId320" Type="http://schemas.openxmlformats.org/officeDocument/2006/relationships/hyperlink" Target="https://www.etenders.gov.za/home/Download/?blobName=5a1761e0-f012-4b96-aa91-5e056dcf49da.pdf&amp;downloadedFileName=PERINATAL%20TRAINING%20(%20K2)%2019.06.2026%20(2).pdf" TargetMode="External"/><Relationship Id="rId155" Type="http://schemas.openxmlformats.org/officeDocument/2006/relationships/hyperlink" Target="https://www.etenders.gov.za/home/Download/?blobName=325d8d37-92bb-44d8-b9e2-d266fdcfc3fb.pdf&amp;downloadedFileName=RNM0649%20Panel%20of%20Financial%20Consultants%20-%20LATEST.pdf" TargetMode="External"/><Relationship Id="rId197" Type="http://schemas.openxmlformats.org/officeDocument/2006/relationships/hyperlink" Target="https://www.etenders.gov.za/home/Download/?blobName=7c9d4d7a-c40c-49e2-bf35-b299ddb33279.pdf&amp;downloadedFileName=General_Conditions_of_Contract-_July_2011.pdf" TargetMode="External"/><Relationship Id="rId362" Type="http://schemas.openxmlformats.org/officeDocument/2006/relationships/hyperlink" Target="https://www.umzimvubu.gov.za/wp-content/uploads/2025/02/Umndini-Contract-Section-2.pdf" TargetMode="External"/><Relationship Id="rId418" Type="http://schemas.openxmlformats.org/officeDocument/2006/relationships/hyperlink" Target="https://www.umzimvubu.gov.za/wp-content/uploads/2025/02/Cross-section_Concrete2.pdf" TargetMode="External"/><Relationship Id="rId222" Type="http://schemas.openxmlformats.org/officeDocument/2006/relationships/hyperlink" Target="https://www.etenders.gov.za/home/Download/?blobName=34146a37-07f5-4fb7-bcc1-5a653ad56324.pdf&amp;downloadedFileName=TMT-ECDoE-2627-SAN60-CL52%20BAMBILANGA%20SSS.pdf" TargetMode="External"/><Relationship Id="rId264" Type="http://schemas.openxmlformats.org/officeDocument/2006/relationships/hyperlink" Target="https://www.etenders.gov.za/home/Download/?blobName=bacb6e05-41a0-4792-bc28-d0c982c0a81c.pdf&amp;downloadedFileName=ADVERT-TD-01-06-2026-PEST-CONTROL.pdf" TargetMode="External"/><Relationship Id="rId471" Type="http://schemas.openxmlformats.org/officeDocument/2006/relationships/hyperlink" Target="https://www.matatiele.gov.za/job/closing-register-uniform-for-admin-council-staff-53-units/" TargetMode="External"/><Relationship Id="rId17" Type="http://schemas.openxmlformats.org/officeDocument/2006/relationships/hyperlink" Target="https://www.etenders.gov.za/home/Download/?blobName=ac44edbe-a874-4b6a-afd7-6181815f2f49.pdf&amp;downloadedFileName=Giyani%20Water%20Reticulation%20to%20Villages%20Phase%202A%20-%20Final%20advert%20.pdf" TargetMode="External"/><Relationship Id="rId59" Type="http://schemas.openxmlformats.org/officeDocument/2006/relationships/hyperlink" Target="https://www.etenders.gov.za/home/Download/?blobName=2b3c4198-4597-4cbd-9789-22988ebc8fd3.pdf&amp;downloadedFileName=RFQ%20FOR%20MINOR%20BUILDING%20AND%20REPAIRS%20OF%20CORE%20ROOM%20AT%20KIMBERLEY%20AIRPORT%205609.pdf" TargetMode="External"/><Relationship Id="rId124" Type="http://schemas.openxmlformats.org/officeDocument/2006/relationships/hyperlink" Target="https://www.etenders.gov.za/home/Download/?blobName=b6495a23-146f-4c7d-ad0a-16030ba01b65.pdf&amp;downloadedFileName=JW14427A%20%20GREATER%20ORANGE%20FARM%20PHASE%203A%20WATER%20INFRASTRUCTURE%20UPGRADE.pdf" TargetMode="External"/><Relationship Id="rId70" Type="http://schemas.openxmlformats.org/officeDocument/2006/relationships/hyperlink" Target="https://www.etenders.gov.za/home/Download/?blobName=0ca22e94-bdd5-4e92-be9d-699a4e9a2bf3.docx&amp;downloadedFileName=BID%20DOC%20BTO.02.2025%2026%20-%20UPDATING%20AND%20MAINTENANCE%20OF%20THE%20GRAP%20&amp;%20mSCOA%20COMPLIANT%20ASSET%20REGISTERS%20FOR%20A%20PERIOD%20OF%20THREE%20(3)%20YEARS%20(36%20MONTHS).docx" TargetMode="External"/><Relationship Id="rId166" Type="http://schemas.openxmlformats.org/officeDocument/2006/relationships/hyperlink" Target="https://www.etenders.gov.za/home/Download/?blobName=15782178-70e0-4cf0-b2ae-4ab4bc468e1c.pdf&amp;downloadedFileName=TNPA%202026%2006%200029%20114530%20RFP.pdf" TargetMode="External"/><Relationship Id="rId331" Type="http://schemas.openxmlformats.org/officeDocument/2006/relationships/hyperlink" Target="https://www.etenders.gov.za/home/Download/?blobName=708a7410-49b2-4d8e-9d4e-08eb5ae9addb.xlsx&amp;downloadedFileName=Quality%20Assurence%20-240-12248652_List%20of%20Tender%20Returnables_Cat%204_%20Rev%207.xlsx" TargetMode="External"/><Relationship Id="rId373" Type="http://schemas.openxmlformats.org/officeDocument/2006/relationships/hyperlink" Target="https://www.umzimvubu.gov.za/wp-content/uploads/2025/02/Nkungwini-Tender-Document-1.pdf" TargetMode="External"/><Relationship Id="rId429" Type="http://schemas.openxmlformats.org/officeDocument/2006/relationships/hyperlink" Target="https://www.umzimvubu.gov.za/wp-content/uploads/2025/02/BOQ-mamthwani-AR.pdf" TargetMode="External"/><Relationship Id="rId1" Type="http://schemas.openxmlformats.org/officeDocument/2006/relationships/hyperlink" Target="https://www.etenders.gov.za/home/Download/?blobName=1debbfd3-bfd5-48cc-9819-dab8ebf24933.pdf&amp;downloadedFileName=Advert%20for%20PROVISION%20OF%20GROUND%20AND%20GARDENING%20SERVICES%20AT%20MAJUBA%20TVET%20COLLEGE%20SITES%20FOR%20THE%20PERIOD%20OF%20(05)%20YEARS.pdf" TargetMode="External"/><Relationship Id="rId233" Type="http://schemas.openxmlformats.org/officeDocument/2006/relationships/hyperlink" Target="https://www.etenders.gov.za/home/Download/?blobName=c5f1f005-9c3a-4c2e-bfaf-011cece16a1f.pdf&amp;downloadedFileName=ZADUNGENI%20SPS%20UNPRICED%20BOQ.pdf" TargetMode="External"/><Relationship Id="rId440" Type="http://schemas.openxmlformats.org/officeDocument/2006/relationships/hyperlink" Target="https://greatkeilm.gov.za/web/2026/05/13/tech-qs-01-2025-26-provision-for-a-panel-of-ten-10-professional-quantity-surveyors-for-a-period-of-three-3-years/" TargetMode="External"/><Relationship Id="rId28" Type="http://schemas.openxmlformats.org/officeDocument/2006/relationships/hyperlink" Target="https://www.etenders.gov.za/home/Download/?blobName=b0045345-d247-464b-af8f-6291bf2de8e9.pdf&amp;downloadedFileName=advert%20for%20Diphagane.pdf" TargetMode="External"/><Relationship Id="rId275" Type="http://schemas.openxmlformats.org/officeDocument/2006/relationships/hyperlink" Target="https://www.etenders.gov.za/home/Download/?blobName=031b0901-6d88-451f-a40d-105dceb02e53.pdf&amp;downloadedFileName=2.%20Technical%20Functionality%20Evaluation%20Criteria%20for%20Supply%20and%20Installation%20of%20UPS.pdf" TargetMode="External"/><Relationship Id="rId300" Type="http://schemas.openxmlformats.org/officeDocument/2006/relationships/hyperlink" Target="https://www.etenders.gov.za/home/Download/?blobName=814f87b6-aa9e-4821-9dc9-6128ed3bde50.pdf&amp;downloadedFileName=SANParks%20RFQ%20No.289579_Designated%20Aviation%20Medical%20Examiner_Air%20Services_19.06.2026.pdf" TargetMode="External"/><Relationship Id="rId81" Type="http://schemas.openxmlformats.org/officeDocument/2006/relationships/hyperlink" Target="https://www.etenders.gov.za/home/Download/?blobName=735e87f4-8622-4266-b530-484b9727cea2.pdf&amp;downloadedFileName=WCKBG2630SL%20-%20Notification%20of%20Tender%20Advertised%20and%20Awarded.pdf" TargetMode="External"/><Relationship Id="rId135" Type="http://schemas.openxmlformats.org/officeDocument/2006/relationships/hyperlink" Target="https://www.etenders.gov.za/home/Download/?blobName=7bab3762-e349-4a6c-91e1-f75418cdc63d.pdf&amp;downloadedFileName=2026-063-Tender%20Document.pdf" TargetMode="External"/><Relationship Id="rId177" Type="http://schemas.openxmlformats.org/officeDocument/2006/relationships/hyperlink" Target="https://www.etenders.gov.za/home/Download/?blobName=b9531e7a-9057-4d86-af2b-b25dda3ba8b1.pdf&amp;downloadedFileName=TNPA%202026%2006%200009%20114510%20RFP.pdf" TargetMode="External"/><Relationship Id="rId342" Type="http://schemas.openxmlformats.org/officeDocument/2006/relationships/hyperlink" Target="https://www.ecdpw.gov.za/wp-content/tender-uploads/department-of-social-development-local-area-office--mthatha-cbd--final-0032.pdf" TargetMode="External"/><Relationship Id="rId384" Type="http://schemas.openxmlformats.org/officeDocument/2006/relationships/hyperlink" Target="https://www.umzimvubu.gov.za/wp-content/uploads/2025/02/mamtwani-Tender-Document.pdf" TargetMode="External"/><Relationship Id="rId202" Type="http://schemas.openxmlformats.org/officeDocument/2006/relationships/hyperlink" Target="https://www.etenders.gov.za/home/Download/?blobName=d02586e4-35bb-41f5-a00b-52347925b406.pdf&amp;downloadedFileName=Advertisement%20of%20Bid%202026%20Final.pdf" TargetMode="External"/><Relationship Id="rId244" Type="http://schemas.openxmlformats.org/officeDocument/2006/relationships/hyperlink" Target="https://www.etenders.gov.za/home/Download/?blobName=76a8982c-5e57-425a-87b8-10b344444aff.pdf&amp;downloadedFileName=ST%20GEORGE%27S%20SSS%20UNPRICED%20BOQ.pdf" TargetMode="External"/><Relationship Id="rId39" Type="http://schemas.openxmlformats.org/officeDocument/2006/relationships/hyperlink" Target="https://www.etenders.gov.za/home/Download/?blobName=1861694d-61fe-40c9-9a43-6871ff02aaf3.pdf&amp;downloadedFileName=Advert%20for%20the%20week%204137-26.pdf" TargetMode="External"/><Relationship Id="rId286" Type="http://schemas.openxmlformats.org/officeDocument/2006/relationships/hyperlink" Target="https://www.etenders.gov.za/home/Download/?blobName=2c1458bd-14c4-4b6e-a026-bbdf331088a1.pdf&amp;downloadedFileName=laptops%20for%20ilembe.pdf" TargetMode="External"/><Relationship Id="rId451" Type="http://schemas.openxmlformats.org/officeDocument/2006/relationships/hyperlink" Target="https://greatkeilm.gov.za/web/2026/03/05/rfq-comm-07-2025-26-supply-and-delivery-of-protective-clothing-for-dffe-paricipants/" TargetMode="External"/><Relationship Id="rId50" Type="http://schemas.openxmlformats.org/officeDocument/2006/relationships/hyperlink" Target="https://www.etenders.gov.za/home/Download/?blobName=345123eb-ced9-452d-ba30-020b87f3a7da.pdf&amp;downloadedFileName=Terms%20of%20reference%20for%20the%20panel%20of%20catering%20and%20decor.pdf" TargetMode="External"/><Relationship Id="rId104" Type="http://schemas.openxmlformats.org/officeDocument/2006/relationships/hyperlink" Target="https://www.etenders.gov.za/home/Download/?blobName=ff0ef783-6c30-4ffd-baf6-4a2cb99298ae.pdf&amp;downloadedFileName=RFQJW111TN26%20-%20JOB%20EVALUATION%20AND%20GRADING%20SERVICES.pdf" TargetMode="External"/><Relationship Id="rId146" Type="http://schemas.openxmlformats.org/officeDocument/2006/relationships/hyperlink" Target="https://www.etenders.gov.za/home/Download/?blobName=fb556cf4-e025-4e58-8f03-a6a6db4801e7.pdf&amp;downloadedFileName=SUPPLY%20OF%20%20CUTTING%20EDGES%20AND%20REPAIR%20OF%20HYDRAULIC%20PIPES%20AND%20HYDRAULIC%20CYLENDERS..pdf" TargetMode="External"/><Relationship Id="rId188" Type="http://schemas.openxmlformats.org/officeDocument/2006/relationships/hyperlink" Target="https://www.etenders.gov.za/home/Download/?blobName=3a5d4ec6-96c1-45ab-b074-065adc763899.pdf&amp;downloadedFileName=Bid%20Document%20MT01-2026%20AWS%20Hosting%20Term%20Contract.pdf" TargetMode="External"/><Relationship Id="rId311" Type="http://schemas.openxmlformats.org/officeDocument/2006/relationships/hyperlink" Target="https://www.etenders.gov.za/home/Download/?blobName=b764fa57-0b89-4dc2-92d1-3fba2be814ca.pdf&amp;downloadedFileName=PLAY%20THERAPY%20%2019.06.2026%20TN%20(1)%20Edited.pdf" TargetMode="External"/><Relationship Id="rId353" Type="http://schemas.openxmlformats.org/officeDocument/2006/relationships/hyperlink" Target="https://www.ntabankulu.gov.za/2026/06/17/closing-register-for-provision-of-security-services/" TargetMode="External"/><Relationship Id="rId395" Type="http://schemas.openxmlformats.org/officeDocument/2006/relationships/hyperlink" Target="https://www.umzimvubu.gov.za/wp-content/uploads/2025/02/Gravel-Road-S-W-Inlet-detail3.pdf" TargetMode="External"/><Relationship Id="rId409" Type="http://schemas.openxmlformats.org/officeDocument/2006/relationships/hyperlink" Target="https://www.umzimvubu.gov.za/wp-content/uploads/2025/02/Cross-section_gravel2.pdf" TargetMode="External"/><Relationship Id="rId92" Type="http://schemas.openxmlformats.org/officeDocument/2006/relationships/hyperlink" Target="https://www.etenders.gov.za/home/Download/?blobName=6b926275-6033-40d5-ad9c-8972e11dc435.pdf&amp;downloadedFileName=Q2026%2003%20Bid%20document%20-%20DMC%20communication%20system.pdf" TargetMode="External"/><Relationship Id="rId213" Type="http://schemas.openxmlformats.org/officeDocument/2006/relationships/hyperlink" Target="https://www.etenders.gov.za/home/Download/?blobName=ac1571a3-050a-43f8-8d33-4567b27a8f42.pdf&amp;downloadedFileName=Q4-2026-27%20REPAIR%20AND%20MAINTENANCE%20OF%20THE%20STRUISBAAU%20MUNICIPAL%20STORE%20-%20TENDER%20DOCUMENT.pdf" TargetMode="External"/><Relationship Id="rId420" Type="http://schemas.openxmlformats.org/officeDocument/2006/relationships/hyperlink" Target="https://www.umzimvubu.gov.za/wp-content/uploads/2025/02/CENTULE-Contract-Section-2.pdf" TargetMode="External"/><Relationship Id="rId255" Type="http://schemas.openxmlformats.org/officeDocument/2006/relationships/hyperlink" Target="https://www.etenders.gov.za/home/Download/?blobName=19d0026b-1d83-44e5-a584-a7a09911aed8.pdf&amp;downloadedFileName=BID%20DOCUMENT%20PF27.2026.pdf" TargetMode="External"/><Relationship Id="rId297" Type="http://schemas.openxmlformats.org/officeDocument/2006/relationships/hyperlink" Target="https://www.etenders.gov.za/home/Download/?blobName=3ce35ee4-ad37-4891-a019-9f01832caeb8.pdf&amp;downloadedFileName=Solicitation%20ID%20RFI_OBP003_2026_27%20Request%20for%20Information%20Jun%2019%202026.pdf" TargetMode="External"/><Relationship Id="rId462" Type="http://schemas.openxmlformats.org/officeDocument/2006/relationships/hyperlink" Target="https://www.matatiele.gov.za/job/bid-documents-installation-of-vehicle-accessories-on-three-3-x-single-cabs-electrical-services-bakkies/" TargetMode="External"/><Relationship Id="rId115" Type="http://schemas.openxmlformats.org/officeDocument/2006/relationships/hyperlink" Target="https://www.etenders.gov.za/home/Download/?blobName=d923aa28-e810-4cd5-b8f8-c3b37f9f7c2a.pdf&amp;downloadedFileName=Tender%20Document%20for%20Panel%20of%20Architects%20and%20Civil_Structural%20and%20Electrical%20Engineering%20consultants%202026.pdf" TargetMode="External"/><Relationship Id="rId157" Type="http://schemas.openxmlformats.org/officeDocument/2006/relationships/hyperlink" Target="https://www.etenders.gov.za/home/Download/?blobName=3dcb9fce-97eb-41fa-a85e-0a4a472ae3da.pdf&amp;downloadedFileName=Magik%20and%20ESRI%20Technology%20Maintenance%20v1.0%20-SDLI%20-Annexure%20N%20-.pdf" TargetMode="External"/><Relationship Id="rId322" Type="http://schemas.openxmlformats.org/officeDocument/2006/relationships/hyperlink" Target="https://www.etenders.gov.za/home/Download/?blobName=8043a6ef-95d8-440e-b525-f524e0a8997c.pdf&amp;downloadedFileName=RFQJW075KM26-Design,%20fabricate,%20supply,%20install%20and%20commission.pdf" TargetMode="External"/><Relationship Id="rId364" Type="http://schemas.openxmlformats.org/officeDocument/2006/relationships/hyperlink" Target="https://www.umzimvubu.gov.za/wp-content/uploads/2025/02/TENDER-DOCUMENT-SUPPLY-AND-DELIVERY-OF-CLEANING-MATERIAL-AT-UMZIMVUBU-LOCAL-MUNICIPALITY-FOR-THE-PERIOD-OF-3-YEARS.pdf" TargetMode="External"/><Relationship Id="rId61" Type="http://schemas.openxmlformats.org/officeDocument/2006/relationships/hyperlink" Target="https://www.etenders.gov.za/home/Download/?blobName=8811678f-a66b-4ee4-837c-0b250ad7028b.pdf&amp;downloadedFileName=1.%20KKDM%2011-25%20Tender%20Document-PANEL%20OF%20ATTORNEYS.pdf" TargetMode="External"/><Relationship Id="rId199" Type="http://schemas.openxmlformats.org/officeDocument/2006/relationships/hyperlink" Target="https://www.etenders.gov.za/home/Download/?blobName=cdf0baee-bf4f-4f8e-b8b2-f02099d9cc13.pdf&amp;downloadedFileName=WCGHCC0057-2026%20Bid%20Document%20as%20at%2019.06.2026.pdf" TargetMode="External"/><Relationship Id="rId19" Type="http://schemas.openxmlformats.org/officeDocument/2006/relationships/hyperlink" Target="https://www.etenders.gov.za/home/Download/?blobName=c952ea03-da57-49de-8b49-01e48b28ee9e.pdf&amp;downloadedFileName=Giyani%20Water%20Reticulation%20to%20Villages%20Phase%202A%20-%20Final%20advert%20.pdf" TargetMode="External"/><Relationship Id="rId224" Type="http://schemas.openxmlformats.org/officeDocument/2006/relationships/hyperlink" Target="https://www.etenders.gov.za/home/Download/?blobName=0e0a4440-f5f7-4391-8058-447d7719607e.pdf&amp;downloadedFileName=LUDEKE%20JSS%20UNPRICED%20BOQ.pdf" TargetMode="External"/><Relationship Id="rId266" Type="http://schemas.openxmlformats.org/officeDocument/2006/relationships/hyperlink" Target="https://www.etenders.gov.za/home/Download/?blobName=362632ea-0caa-49c9-aaed-1858a52f700d.pdf&amp;downloadedFileName=advert%20BS08-06-2026%20Erf%20297%20Kwazamokuhle.pdf" TargetMode="External"/><Relationship Id="rId431" Type="http://schemas.openxmlformats.org/officeDocument/2006/relationships/hyperlink" Target="https://www.umzimvubu.gov.za/wp-content/uploads/2025/02/Advert-for-Radio-services-for-Umzimvubu-local-Municipality.pdf" TargetMode="External"/><Relationship Id="rId473" Type="http://schemas.openxmlformats.org/officeDocument/2006/relationships/hyperlink" Target="https://www.matatiele.gov.za/job/closing-register-for-provision-of-active-directory-audit-software/" TargetMode="External"/><Relationship Id="rId30" Type="http://schemas.openxmlformats.org/officeDocument/2006/relationships/hyperlink" Target="https://www.etenders.gov.za/home/Download/?blobName=3aa712ed-2810-4aca-979a-da8b21b7e522.pdf&amp;downloadedFileName=advert%20for%20electricities.pdf" TargetMode="External"/><Relationship Id="rId126" Type="http://schemas.openxmlformats.org/officeDocument/2006/relationships/hyperlink" Target="https://www.etenders.gov.za/home/Download/?blobName=66c90126-f003-45e2-bdf6-4c0c1f9b52ca.pdf&amp;downloadedFileName=19%20JUNE%202026.pdf" TargetMode="External"/><Relationship Id="rId168" Type="http://schemas.openxmlformats.org/officeDocument/2006/relationships/hyperlink" Target="https://www.etenders.gov.za/home/Download/?blobName=27cd6ff2-0a83-4353-a520-e571f759f722.pdf&amp;downloadedFileName=TNPA%202026%2006%200030%20114531%20RFP.pdf" TargetMode="External"/><Relationship Id="rId333" Type="http://schemas.openxmlformats.org/officeDocument/2006/relationships/hyperlink" Target="https://www.etenders.gov.za/home/Download/?blobName=79ab23eb-477b-48c8-bc53-d137e1a3b61f.pdf&amp;downloadedFileName=LDPWRI%20BM%2020654%20HVAC..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etenders.gov.za/home/Download/?blobName=e4571d1e-0761-487a-8683-26b14bf80afc.pdf&amp;downloadedFileName=ADVERT%20SETLOPO%20WATER%20SUPPLY%20PHASE%202%20WARD%2022%20AND%2031%20JUNE%202026.pdf" TargetMode="External"/><Relationship Id="rId21" Type="http://schemas.openxmlformats.org/officeDocument/2006/relationships/hyperlink" Target="https://www.etenders.gov.za/home/Download/?blobName=e02d4e44-a83c-47fd-908f-9afbfaa75dbd.pdf&amp;downloadedFileName=Giyani%20Water%20Reticulation%20to%20Villages%20Phase%202A%20-%20Final%20advert%20.pdf" TargetMode="External"/><Relationship Id="rId324" Type="http://schemas.openxmlformats.org/officeDocument/2006/relationships/hyperlink" Target="https://www.etenders.gov.za/home/Download/?blobName=f63a482a-fc55-40cc-ae44-8c4a36574d6d.pdf&amp;downloadedFileName=RFQ0001228.pdf" TargetMode="External"/><Relationship Id="rId531" Type="http://schemas.openxmlformats.org/officeDocument/2006/relationships/hyperlink" Target="https://www.siu.org.za/wp-content/uploads/2023/01/APPOINTMENT-OF-A-SERVICE-PROVIDER-FOR-PROVISION-OF-AN-INTERGRATED-RISK-MANAGEMENT-INTERNAL-AUDIT-AND-COMPLIANCE-SOFTWARE-SOLUTION-WITH-MAINTANANCE-SUPPORT-FOR-A-PERIOD-OF-36-MONTHS.pdf" TargetMode="External"/><Relationship Id="rId170" Type="http://schemas.openxmlformats.org/officeDocument/2006/relationships/hyperlink" Target="https://www.etenders.gov.za/home/Download/?blobName=463d671c-91f7-4cf7-b46e-f2d3a33f0f72.pdf&amp;downloadedFileName=TNPA%202026%2006%200006%20114507%20RFP.pdf" TargetMode="External"/><Relationship Id="rId268" Type="http://schemas.openxmlformats.org/officeDocument/2006/relationships/hyperlink" Target="https://www.etenders.gov.za/home/Download/?blobName=f2bfed2e-868c-477a-a04e-61ddf5f0fd78.pdf&amp;downloadedFileName=RFQJW45ZZ26%20-Unit%205%20Screw%20Pump%20Cable.pdf" TargetMode="External"/><Relationship Id="rId475" Type="http://schemas.openxmlformats.org/officeDocument/2006/relationships/hyperlink" Target="https://www.mnquma.gov.za/wp-content/uploads/2026/02/AD-LED-SCREEN.pdf" TargetMode="External"/><Relationship Id="rId32" Type="http://schemas.openxmlformats.org/officeDocument/2006/relationships/hyperlink" Target="https://www.etenders.gov.za/home/Download/?blobName=58e29ae4-0579-40a9-a704-ceecbd68167d.pdf&amp;downloadedFileName=Giyani%20Water%20Reticulation%20to%20Villages%20Phase%202A%20-%20Final%20advert%20.pdf" TargetMode="External"/><Relationship Id="rId128" Type="http://schemas.openxmlformats.org/officeDocument/2006/relationships/hyperlink" Target="https://www.etenders.gov.za/home/Download/?blobName=8d247aa2-1e67-408f-8b1f-334fd0a6e169.pdf&amp;downloadedFileName=ZNB%207000-2026-H%20BID%20DOCUMENT.pdf" TargetMode="External"/><Relationship Id="rId335" Type="http://schemas.openxmlformats.org/officeDocument/2006/relationships/hyperlink" Target="https://www.etenders.gov.za/home/Download/?blobName=e2574f92-317b-44a3-8fb8-7d11c0ff099d.pdf&amp;downloadedFileName=ANNEXURE%20H%20-%20BRIBERY%20AND%20CORRUPTION%20DECLARATION.pdf" TargetMode="External"/><Relationship Id="rId542" Type="http://schemas.openxmlformats.org/officeDocument/2006/relationships/hyperlink" Target="https://www.siu.org.za/wp-content/uploads/2022/02/RFQ-for-SCM-Diposal-Durban-Office.pdf" TargetMode="External"/><Relationship Id="rId181" Type="http://schemas.openxmlformats.org/officeDocument/2006/relationships/hyperlink" Target="https://www.etenders.gov.za/home/Download/?blobName=a1018d44-6ec2-4416-9561-be2f6337ea5e.pdf&amp;downloadedFileName=TNPA%202026%2006%200003%20114504%20RFP.pdf" TargetMode="External"/><Relationship Id="rId402" Type="http://schemas.openxmlformats.org/officeDocument/2006/relationships/hyperlink" Target="https://www.umzimvubu.gov.za/wp-content/uploads/2025/02/Gravel-headwall-detail2.pdf" TargetMode="External"/><Relationship Id="rId279" Type="http://schemas.openxmlformats.org/officeDocument/2006/relationships/hyperlink" Target="https://www.etenders.gov.za/home/Download/?blobName=b37ca738-916e-4623-8ea1-febcb0e7674c.pdf&amp;downloadedFileName=02%20QBD_REQ0994_1606.pdf" TargetMode="External"/><Relationship Id="rId486" Type="http://schemas.openxmlformats.org/officeDocument/2006/relationships/hyperlink" Target="https://greatkeilm.gov.za/web/2026/06/09/invitation-to-a-tender-briefing/" TargetMode="External"/><Relationship Id="rId43" Type="http://schemas.openxmlformats.org/officeDocument/2006/relationships/hyperlink" Target="https://www.etenders.gov.za/home/Download/?blobName=f29ad1c3-f684-4769-a5c3-23d736c29bca.pdf&amp;downloadedFileName=Annexure%20B%20%20Local%20Content%20and%20Local%20Production%20%20Declaration.pdf" TargetMode="External"/><Relationship Id="rId139" Type="http://schemas.openxmlformats.org/officeDocument/2006/relationships/hyperlink" Target="https://www.etenders.gov.za/home/Download/?blobName=98f7ab78-53c0-425b-8882-3119028bb53c.pdf&amp;downloadedFileName=Bid%20Document%20-%20Western%20Cape%20Lease.pdf" TargetMode="External"/><Relationship Id="rId346" Type="http://schemas.openxmlformats.org/officeDocument/2006/relationships/hyperlink" Target="https://www.ecdpw.gov.za/wp-content/tender-uploads/bcm5-26-27-0012-quotation-for-supply-delivery-and-decanting-of-diesel-at---amalinda-offices-as-per-specification-from-department-of-public-works-and-infrastructure-.pdf" TargetMode="External"/><Relationship Id="rId553" Type="http://schemas.openxmlformats.org/officeDocument/2006/relationships/hyperlink" Target="https://www.siu.org.za/wp-content/uploads/2018/07/Tender-Advert-OFFICE-PACE-PLK-DBN_Final_1.pdf" TargetMode="External"/><Relationship Id="rId192" Type="http://schemas.openxmlformats.org/officeDocument/2006/relationships/hyperlink" Target="https://www.etenders.gov.za/home/Download/?blobName=346d3297-cac1-4656-8af2-46cb51c0989b.pdf&amp;downloadedFileName=E3-2026-2027%20PART%201%20OF%20BID%20DOCUMENT%2019June2026.pdf" TargetMode="External"/><Relationship Id="rId206" Type="http://schemas.openxmlformats.org/officeDocument/2006/relationships/hyperlink" Target="https://www.etenders.gov.za/home/Download/?blobName=944e4c88-e025-4bfc-bbe0-4caebf9484d8.pdf&amp;downloadedFileName=RFB004.2026%20-%20ROUND%20LOG%20TRANSPORT%20BID%20DOCUMENT.pdf" TargetMode="External"/><Relationship Id="rId413" Type="http://schemas.openxmlformats.org/officeDocument/2006/relationships/hyperlink" Target="https://www.umzimvubu.gov.za/wp-content/uploads/2025/02/Cross-section_Concrete24.pdf" TargetMode="External"/><Relationship Id="rId497" Type="http://schemas.openxmlformats.org/officeDocument/2006/relationships/hyperlink" Target="https://greatkeilm.gov.za/web/2026/04/22/rfq-stra-02-2025-26-request-for-supply-and-delivery-of-cropping-projects/" TargetMode="External"/><Relationship Id="rId357" Type="http://schemas.openxmlformats.org/officeDocument/2006/relationships/hyperlink" Target="https://www.ntabankulu.gov.za/2026/05/29/supply-and-delivery-of-kids-learning-gadgets-2/" TargetMode="External"/><Relationship Id="rId54" Type="http://schemas.openxmlformats.org/officeDocument/2006/relationships/hyperlink" Target="https://www.etenders.gov.za/home/Download/?blobName=04790b81-1e70-4755-8393-050f5004f797.xlsx&amp;downloadedFileName=Annexure%20A-%20Service%20Level%20Agreement.xlsx" TargetMode="External"/><Relationship Id="rId217" Type="http://schemas.openxmlformats.org/officeDocument/2006/relationships/hyperlink" Target="https://www.etenders.gov.za/home/Download/?blobName=86a9705a-fe5a-482e-8912-0a79f35ce603.pdf&amp;downloadedFileName=CPSC-B-069-2026_260617_130850.pdf" TargetMode="External"/><Relationship Id="rId564" Type="http://schemas.openxmlformats.org/officeDocument/2006/relationships/hyperlink" Target="https://www.matatiele.gov.za/job/advert-for-bakkies-accessories-installation-128/" TargetMode="External"/><Relationship Id="rId424" Type="http://schemas.openxmlformats.org/officeDocument/2006/relationships/hyperlink" Target="https://www.umzimvubu.gov.za/wp-content/uploads/2025/02/Capture3.jpg" TargetMode="External"/><Relationship Id="rId270" Type="http://schemas.openxmlformats.org/officeDocument/2006/relationships/hyperlink" Target="https://www.etenders.gov.za/home/Download/?blobName=4ad360fb-7857-4770-8935-e03e54b9052c.pdf&amp;downloadedFileName=RFQJW115NS26-RESTORE%20VANDALIZED%20SAFETY%20SIGNAGE%20AND%20CARPORT%20(19%20JUNE%20-06%20JULY).pdf" TargetMode="External"/><Relationship Id="rId65" Type="http://schemas.openxmlformats.org/officeDocument/2006/relationships/hyperlink" Target="https://www.etenders.gov.za/home/Download/?blobName=e3b9bbb8-3ccb-4e5d-80e1-cc34fbe485db.pdf&amp;downloadedFileName=Hex%20Armed%20Responses.pdf" TargetMode="External"/><Relationship Id="rId130" Type="http://schemas.openxmlformats.org/officeDocument/2006/relationships/hyperlink" Target="https://www.etenders.gov.za/home/Download/?blobName=a706b196-78a7-412e-917e-696f94b10851.PDF&amp;downloadedFileName=SASSA-03-26-GA-WC.PDF" TargetMode="External"/><Relationship Id="rId368" Type="http://schemas.openxmlformats.org/officeDocument/2006/relationships/hyperlink" Target="https://www.umzimvubu.gov.za/wp-content/uploads/2025/02/Tender-Document-COMPLETION-OF-ELECTRIFICATION-IN-VARIOUS-WARDS-THROUGH-TURNKEY-APPROACH.pdf" TargetMode="External"/><Relationship Id="rId575" Type="http://schemas.openxmlformats.org/officeDocument/2006/relationships/hyperlink" Target="https://www.matatiele.gov.za/job/closing-register-bakkies/" TargetMode="External"/><Relationship Id="rId228" Type="http://schemas.openxmlformats.org/officeDocument/2006/relationships/hyperlink" Target="https://www.etenders.gov.za/home/Download/?blobName=f631acae-2fc2-4c4e-bb77-2d4f3557dc98.pdf&amp;downloadedFileName=NTABENKONYANA%20SSS%20UNPRICED%20BOQ.pdf" TargetMode="External"/><Relationship Id="rId435" Type="http://schemas.openxmlformats.org/officeDocument/2006/relationships/hyperlink" Target="https://www.winniemmlm.gov.za/wp-content/uploads/2025/08/Erratum-Procurement-of-Mobile-Contracts-for-five-Years.pdf" TargetMode="External"/><Relationship Id="rId281" Type="http://schemas.openxmlformats.org/officeDocument/2006/relationships/hyperlink" Target="https://www.etenders.gov.za/home/Download/?blobName=10e0d5ca-17b5-458e-a16d-579c6b199a02.pdf&amp;downloadedFileName=Q1-2026-27%20SUPPLY%20AND%20DELIVER%20OF%20DISASTER%20RELIEF%20MATERIALS%20FOR%20A%20PERIOD%20OF%2012%20MONTHS%20-%20TENDER%20DOCUMENT.pdf" TargetMode="External"/><Relationship Id="rId502" Type="http://schemas.openxmlformats.org/officeDocument/2006/relationships/hyperlink" Target="https://greatkeilm.gov.za/web/2026/03/05/rfq-comm-07-2025-26-supply-and-delivery-of-protective-clothing-for-dffe-paricipants/" TargetMode="External"/><Relationship Id="rId76" Type="http://schemas.openxmlformats.org/officeDocument/2006/relationships/hyperlink" Target="https://www.etenders.gov.za/home/Download/?blobName=c60e8a36-3706-4016-b2b9-0905a2cd221b.pdf&amp;downloadedFileName=API01REQ007375.pdf" TargetMode="External"/><Relationship Id="rId141" Type="http://schemas.openxmlformats.org/officeDocument/2006/relationships/hyperlink" Target="https://www.etenders.gov.za/home/Download/?blobName=12ea6ff4-d5ee-4115-bd97-57cdca32ab0b.pdf&amp;downloadedFileName=WIRING%20OF%20VEHICLES,TRUCKS,TRACTORS,HEAVY%20MACHINERY%20AND%20REPAIRS%20OF%20STOBE%20LIGHTS..pdf" TargetMode="External"/><Relationship Id="rId379" Type="http://schemas.openxmlformats.org/officeDocument/2006/relationships/hyperlink" Target="https://www.umzimvubu.gov.za/wp-content/uploads/2025/02/Mnaxiweni-Tender-Document.pdf" TargetMode="External"/><Relationship Id="rId586" Type="http://schemas.openxmlformats.org/officeDocument/2006/relationships/hyperlink" Target="https://www.matatiele.gov.za/?post_type=job_listing&amp;p=24274" TargetMode="External"/><Relationship Id="rId7" Type="http://schemas.openxmlformats.org/officeDocument/2006/relationships/hyperlink" Target="https://www.etenders.gov.za/home/Download/?blobName=3de493a7-77b0-4082-93f7-5392f24917ed.pdf&amp;downloadedFileName=Giyani%20Water%20Reticulation%20to%20Villages%20Phase%202A%20-%20Final%20advert%20.pdf" TargetMode="External"/><Relationship Id="rId239" Type="http://schemas.openxmlformats.org/officeDocument/2006/relationships/hyperlink" Target="https://www.etenders.gov.za/home/Download/?blobName=56f9caa4-1479-4a70-a8ad-93303fa7e09d.pdf&amp;downloadedFileName=TMT-ECDoE-2627-SAN60-CL48%20SIBONILE%20SSS.pdf" TargetMode="External"/><Relationship Id="rId446" Type="http://schemas.openxmlformats.org/officeDocument/2006/relationships/hyperlink" Target="https://www.mnquma.gov.za/wp-content/uploads/2026/04/AD-SIKHEFULANA-NOTICE.pdf" TargetMode="External"/><Relationship Id="rId292" Type="http://schemas.openxmlformats.org/officeDocument/2006/relationships/hyperlink" Target="https://www.etenders.gov.za/home/Download/?blobName=95aaa9cd-a821-4198-94dc-7b2a3fd698a8.PDF&amp;downloadedFileName=ATNSRF~1.PDF" TargetMode="External"/><Relationship Id="rId306" Type="http://schemas.openxmlformats.org/officeDocument/2006/relationships/hyperlink" Target="https://www.etenders.gov.za/home/Download/?blobName=db2a8296-d195-470d-91c7-38482b1d5557.pdf&amp;downloadedFileName=Q2026%20045%20DOC.pdf" TargetMode="External"/><Relationship Id="rId87" Type="http://schemas.openxmlformats.org/officeDocument/2006/relationships/hyperlink" Target="https://www.etenders.gov.za/home/Download/?blobName=20e302d8-db08-411e-8208-e0e1653955c6.docx&amp;downloadedFileName=ADVERT%20FOR%20Waste%20Audit%20Landfill%20Site-44.docx" TargetMode="External"/><Relationship Id="rId513" Type="http://schemas.openxmlformats.org/officeDocument/2006/relationships/hyperlink" Target="https://www.siu.org.za/wp-content/uploads/2024/12/Panel-of-Experts-Forensic-Accountant.docx" TargetMode="External"/><Relationship Id="rId597" Type="http://schemas.openxmlformats.org/officeDocument/2006/relationships/hyperlink" Target="https://www.matatiele.gov.za/?post_type=job_listing&amp;p=18019" TargetMode="External"/><Relationship Id="rId152" Type="http://schemas.openxmlformats.org/officeDocument/2006/relationships/hyperlink" Target="https://www.etenders.gov.za/home/Download/?blobName=470b078e-526a-4790-8b2b-bf8676f3ad8d.pdf&amp;downloadedFileName=Final%20Tender%20Document%20282S.2025.26.pdf" TargetMode="External"/><Relationship Id="rId457" Type="http://schemas.openxmlformats.org/officeDocument/2006/relationships/hyperlink" Target="https://www.mnquma.gov.za/wp-content/uploads/2026/04/PAVING-HIGH-STREET-NOTICE.pdf" TargetMode="External"/><Relationship Id="rId14" Type="http://schemas.openxmlformats.org/officeDocument/2006/relationships/hyperlink" Target="https://www.etenders.gov.za/home/Download/?blobName=ea55d4dc-c299-4b8a-a395-ac144ade790d.pdf&amp;downloadedFileName=Giyani%20Water%20Reticulation%20to%20Villages%20Phase%202A%20-%20Final%20advert%20.pdf" TargetMode="External"/><Relationship Id="rId317" Type="http://schemas.openxmlformats.org/officeDocument/2006/relationships/hyperlink" Target="https://www.etenders.gov.za/home/Download/?blobName=503d95db-109f-4a04-8eef-5216689040a9.pdf&amp;downloadedFileName=RFP%20%2010-06-2026%20Appointment%20of%20a%20service%20provider%20for%20media%20monitoring.pdf" TargetMode="External"/><Relationship Id="rId524" Type="http://schemas.openxmlformats.org/officeDocument/2006/relationships/hyperlink" Target="https://www.siu.org.za/wp-content/uploads/2024/02/BID-DOCUMENT-INTERNAL-AUDIT-SOFTWARE-SOLUTION-0022.pdf" TargetMode="External"/><Relationship Id="rId98" Type="http://schemas.openxmlformats.org/officeDocument/2006/relationships/hyperlink" Target="https://www.etenders.gov.za/home/Download/?blobName=3ad48c91-b171-49c6-a9dc-34332766cf81.pdf&amp;downloadedFileName=BBBEE%20-EME-QME%20REPORTING%20%20LETTER.pdf" TargetMode="External"/><Relationship Id="rId163" Type="http://schemas.openxmlformats.org/officeDocument/2006/relationships/hyperlink" Target="https://www.etenders.gov.za/home/Download/?blobName=2aab30e3-500e-44f1-a272-caed059b06ab.pdf&amp;downloadedFileName=TNPA%202026%2006%200027%20114528%20RFP.pdf" TargetMode="External"/><Relationship Id="rId370" Type="http://schemas.openxmlformats.org/officeDocument/2006/relationships/hyperlink" Target="https://www.umzimvubu.gov.za/wp-content/uploads/2025/02/Sodladla-Tender-Document-1.pdf" TargetMode="External"/><Relationship Id="rId230" Type="http://schemas.openxmlformats.org/officeDocument/2006/relationships/hyperlink" Target="https://www.etenders.gov.za/home/Download/?blobName=6d74152e-ef76-4744-81e5-09400c62073f.pdf&amp;downloadedFileName=TMT-ECDoE-2627-SAN60-CL37%20MBASA%20JSS.pdf" TargetMode="External"/><Relationship Id="rId468" Type="http://schemas.openxmlformats.org/officeDocument/2006/relationships/hyperlink" Target="https://www.mnquma.gov.za/wp-content/uploads/2026/03/THOBOYI-KUNENE-ACCESS-ROAD.pdf" TargetMode="External"/><Relationship Id="rId25" Type="http://schemas.openxmlformats.org/officeDocument/2006/relationships/hyperlink" Target="https://www.etenders.gov.za/home/Download/?blobName=760a600c-c0c4-4820-8614-2cd1e84b88a5.pdf&amp;downloadedFileName=Tender%204%202026%20-%20PROVISION%20OF%20INTERNAL%20AUDIT%20SERVICES%20FOR%20UMEDA%20FOR%20A%20PERIOD%20OF%20THREE%20YEARS.pdf" TargetMode="External"/><Relationship Id="rId67" Type="http://schemas.openxmlformats.org/officeDocument/2006/relationships/hyperlink" Target="https://www.etenders.gov.za/home/Download/?blobName=e4068a26-d908-4b5a-bebe-b73e78a266b0.pdf&amp;downloadedFileName=Grabouw%20Armed%20Responses.pdf" TargetMode="External"/><Relationship Id="rId272" Type="http://schemas.openxmlformats.org/officeDocument/2006/relationships/hyperlink" Target="https://www.etenders.gov.za/home/Download/?blobName=6521683b-9f92-4949-bb6a-82642a8d21a8.pdf&amp;downloadedFileName=advert%20BS05-06-2026%20Newtown%20Creche%20and%20Church.pdf" TargetMode="External"/><Relationship Id="rId328" Type="http://schemas.openxmlformats.org/officeDocument/2006/relationships/hyperlink" Target="https://www.etenders.gov.za/home/Download/?blobName=da0a2e32-b151-4669-95ff-7ca668cd3701.pdf&amp;downloadedFileName=RFQJW0073SM2026%20-%20REVENUE%20MANAGEMENT%20LEAD%20EXPERTS.pdf" TargetMode="External"/><Relationship Id="rId535" Type="http://schemas.openxmlformats.org/officeDocument/2006/relationships/hyperlink" Target="https://www.siu.org.za/wp-content/uploads/2022/09/APPOINTMENT-OF-PANEL-OF-EXPERTS-QUANTITY-SURVEYOR-POE.1.pdf" TargetMode="External"/><Relationship Id="rId577" Type="http://schemas.openxmlformats.org/officeDocument/2006/relationships/hyperlink" Target="https://www.matatiele.gov.za/job/closing-register-for-traffic-officer-motocycle-riding-ppe/" TargetMode="External"/><Relationship Id="rId132" Type="http://schemas.openxmlformats.org/officeDocument/2006/relationships/hyperlink" Target="https://www.etenders.gov.za/home/Download/?blobName=003f9f85-c7d7-406f-8b62-4fb92e9dc3a5.pdf&amp;downloadedFileName=287S_2025_26_Rev%206%20HVAC%20FINAL%20Tender%20Doc%20287S.pdf" TargetMode="External"/><Relationship Id="rId174" Type="http://schemas.openxmlformats.org/officeDocument/2006/relationships/hyperlink" Target="https://www.etenders.gov.za/home/Download/?blobName=1c4756b4-3baf-4f2b-8dbe-091b2776385b.pdf&amp;downloadedFileName=TNPA%202026%2006%200008%20114509%20RFP.pdf" TargetMode="External"/><Relationship Id="rId381" Type="http://schemas.openxmlformats.org/officeDocument/2006/relationships/hyperlink" Target="https://www.umzimvubu.gov.za/wp-content/uploads/2025/02/Maphakama-Contract-Section-2.pdf" TargetMode="External"/><Relationship Id="rId602" Type="http://schemas.openxmlformats.org/officeDocument/2006/relationships/hyperlink" Target="https://www.matatiele.gov.za/?post_type=job_listing&amp;p=18008" TargetMode="External"/><Relationship Id="rId241" Type="http://schemas.openxmlformats.org/officeDocument/2006/relationships/hyperlink" Target="https://www.etenders.gov.za/home/Download/?blobName=0f8f2654-4e50-421e-b6a6-75684bc0ebc1.pdf&amp;downloadedFileName=QADU%20SSS%20UNPRICED%20BOQ.pdf" TargetMode="External"/><Relationship Id="rId437" Type="http://schemas.openxmlformats.org/officeDocument/2006/relationships/hyperlink" Target="https://www.mnquma.gov.za/wp-content/uploads/2026/05/Bid-Notice-Training-of-EPWP-beneficiaries-on-occupational-health-and-safety.pdf" TargetMode="External"/><Relationship Id="rId479" Type="http://schemas.openxmlformats.org/officeDocument/2006/relationships/hyperlink" Target="https://www.mnquma.gov.za/wp-content/uploads/2026/02/BID-NOTICE-SUPPLY-AND-DELIVERY-SREEN-MONITORS.pdf" TargetMode="External"/><Relationship Id="rId36" Type="http://schemas.openxmlformats.org/officeDocument/2006/relationships/hyperlink" Target="https://www.etenders.gov.za/home/Download/?blobName=88506d9a-9457-4762-903c-b4c506abe2c1.pdf&amp;downloadedFileName=Advert%20for%20Welding%20Machines%20and%20Simulators.pdf" TargetMode="External"/><Relationship Id="rId283" Type="http://schemas.openxmlformats.org/officeDocument/2006/relationships/hyperlink" Target="https://www.etenders.gov.za/home/Download/?blobName=5ef45f60-3395-4cff-afbb-25081db8659c.pdf&amp;downloadedFileName=Q3-2026-27%20SUPPLY%20&amp;%20DELIVERY%20CASE%20580SUPER%20R%20SERIES%203%20PARTS%20-%20TENDER%20DOCUMENT.pdf" TargetMode="External"/><Relationship Id="rId339" Type="http://schemas.openxmlformats.org/officeDocument/2006/relationships/hyperlink" Target="https://www.ecdpw.gov.za/wp-content/tender-uploads/department-of-social-development-district-office--mthatha-cbd--final-0034.pdf" TargetMode="External"/><Relationship Id="rId490" Type="http://schemas.openxmlformats.org/officeDocument/2006/relationships/hyperlink" Target="https://greatkeilm.gov.za/web/2026/05/13/tender-corp-01-2025-26-panel-of-four-service-providers-for-the-provision-of-travel-accommodation-services-for-a-period-of-two-2-years/" TargetMode="External"/><Relationship Id="rId504" Type="http://schemas.openxmlformats.org/officeDocument/2006/relationships/hyperlink" Target="https://www.gpl.gov.za/category/business/bids-tenders/advertised-tenders/" TargetMode="External"/><Relationship Id="rId546" Type="http://schemas.openxmlformats.org/officeDocument/2006/relationships/hyperlink" Target="https://www.siu.org.za/wp-content/uploads/2021/03/RFP-for-the-Office-Accommodation-MAHIKENG.pdf" TargetMode="External"/><Relationship Id="rId78" Type="http://schemas.openxmlformats.org/officeDocument/2006/relationships/hyperlink" Target="https://www.etenders.gov.za/home/Download/?blobName=ad92281d-d470-4ec3-9777-6d8656c6e81e.pdf&amp;downloadedFileName=HO%20-%20RFQ%20Document%20for%20SHE%20Induction%20Video.pdf" TargetMode="External"/><Relationship Id="rId101" Type="http://schemas.openxmlformats.org/officeDocument/2006/relationships/hyperlink" Target="https://www.etenders.gov.za/home/Download/?blobName=489a23a7-db4a-4851-a3d9-0317b6d016ab.pdf&amp;downloadedFileName=SBD%201-KDP-88.pdf" TargetMode="External"/><Relationship Id="rId143" Type="http://schemas.openxmlformats.org/officeDocument/2006/relationships/hyperlink" Target="https://www.etenders.gov.za/home/Download/?blobName=dd95fb1c-0b58-4a3f-9a5a-56f9fb3d1277.pdf&amp;downloadedFileName=REPAIR%20OF%20LIGHT%20VEHICLES%20AND%20TRUCKS..pdf" TargetMode="External"/><Relationship Id="rId185" Type="http://schemas.openxmlformats.org/officeDocument/2006/relationships/hyperlink" Target="https://www.etenders.gov.za/home/Download/?blobName=86dd6558-b5b5-4c75-a749-b85f9778651d.pdf&amp;downloadedFileName=TNPA%202026%2006%200018%20114519%20RFP.pdf" TargetMode="External"/><Relationship Id="rId350" Type="http://schemas.openxmlformats.org/officeDocument/2006/relationships/hyperlink" Target="https://www.ntabankulu.gov.za/2026/06/19/training-on-people-300-skills-development-and-emplyment-equity-for-5-employees/" TargetMode="External"/><Relationship Id="rId406" Type="http://schemas.openxmlformats.org/officeDocument/2006/relationships/hyperlink" Target="https://www.umzimvubu.gov.za/wp-content/uploads/2025/02/Cross-section_gravel5.pdf" TargetMode="External"/><Relationship Id="rId588" Type="http://schemas.openxmlformats.org/officeDocument/2006/relationships/hyperlink" Target="https://www.matatiele.gov.za/?post_type=job_listing&amp;p=24059" TargetMode="External"/><Relationship Id="rId9" Type="http://schemas.openxmlformats.org/officeDocument/2006/relationships/hyperlink" Target="https://www.etenders.gov.za/home/Download/?blobName=6c20d68c-60b4-4bd6-bec6-d223d4334480.pdf&amp;downloadedFileName=Giyani%20Water%20Reticulation%20to%20Villages%20Phase%202A%20-%20Final%20advert%20.pdf" TargetMode="External"/><Relationship Id="rId210" Type="http://schemas.openxmlformats.org/officeDocument/2006/relationships/hyperlink" Target="https://www.etenders.gov.za/home/Download/?blobName=e9319805-6dd3-4127-8c77-fcb61ca1ea20.pdf&amp;downloadedFileName=Office%20Accommodation-%20Eastern%20Region%20Tender%20Document.pdf" TargetMode="External"/><Relationship Id="rId392" Type="http://schemas.openxmlformats.org/officeDocument/2006/relationships/hyperlink" Target="https://www.umzimvubu.gov.za/wp-content/uploads/2025/02/Gravel-Road-S-W-Pipe-Backfill-shallow-detail.pdf" TargetMode="External"/><Relationship Id="rId448" Type="http://schemas.openxmlformats.org/officeDocument/2006/relationships/hyperlink" Target="https://www.mnquma.gov.za/wp-content/uploads/2026/04/AD-EZIGADINI-NOTICE.pdf" TargetMode="External"/><Relationship Id="rId252" Type="http://schemas.openxmlformats.org/officeDocument/2006/relationships/hyperlink" Target="https://www.etenders.gov.za/home/Download/?blobName=e8ce73d8-8b8a-43c9-a60a-388b44b32892.pdf&amp;downloadedFileName=BID%20DOCUMENT%20ID-3275611.pdf" TargetMode="External"/><Relationship Id="rId294" Type="http://schemas.openxmlformats.org/officeDocument/2006/relationships/hyperlink" Target="https://www.etenders.gov.za/home/Download/?blobName=991d089c-56ed-4e8e-8cbc-5b554c0c9997.xlsx&amp;downloadedFileName=RT284%20Technical%20%20Specification%20(RFI).xlsx" TargetMode="External"/><Relationship Id="rId308" Type="http://schemas.openxmlformats.org/officeDocument/2006/relationships/hyperlink" Target="https://www.etenders.gov.za/home/Download/?blobName=1b47381a-4864-40e0-9f8c-6c4d2c1598c5.pdf&amp;downloadedFileName=Risk%20Assessment%20RFQ.pdf" TargetMode="External"/><Relationship Id="rId515" Type="http://schemas.openxmlformats.org/officeDocument/2006/relationships/hyperlink" Target="https://www.siu.org.za/wp-content/uploads/2024/12/BID-DOCUMENT-INTERNAL-AUDIT-SERVICES.pdf" TargetMode="External"/><Relationship Id="rId47" Type="http://schemas.openxmlformats.org/officeDocument/2006/relationships/hyperlink" Target="https://www.etenders.gov.za/home/Download/?blobName=4304f790-10c2-435b-bc70-be9afd49b00c.pdf&amp;downloadedFileName=RFI%20-%20MOBILE%20APP%20DEVELOPMENT.pdf" TargetMode="External"/><Relationship Id="rId89" Type="http://schemas.openxmlformats.org/officeDocument/2006/relationships/hyperlink" Target="https://www.etenders.gov.za/home/Download/?blobName=63e9f68c-bbb8-4a34-9678-0e85e3487aca.pdf&amp;downloadedFileName=RFQ%20for%20VIP%20Catering%20Services-%2030%20June%202026.pdf" TargetMode="External"/><Relationship Id="rId112" Type="http://schemas.openxmlformats.org/officeDocument/2006/relationships/hyperlink" Target="https://www.etenders.gov.za/home/Download/?blobName=beeda97e-b5fe-4eb8-a4eb-8ad378dec09b.pdf&amp;downloadedFileName=RFQ%20202001%20-%20Waste%20Service%20Provider.pdf" TargetMode="External"/><Relationship Id="rId154" Type="http://schemas.openxmlformats.org/officeDocument/2006/relationships/hyperlink" Target="https://www.etenders.gov.za/home/Download/?blobName=81f78589-d0c6-43be-926b-22dba4afc22b.pdf&amp;downloadedFileName=TOP%2010%20Risk.pdf" TargetMode="External"/><Relationship Id="rId361" Type="http://schemas.openxmlformats.org/officeDocument/2006/relationships/hyperlink" Target="https://www.umzimvubu.gov.za/wp-content/uploads/2025/02/Umndini-Tender-Document-1.pdf" TargetMode="External"/><Relationship Id="rId557" Type="http://schemas.openxmlformats.org/officeDocument/2006/relationships/hyperlink" Target="https://www.siu.org.za/wp-content/uploads/2018/03/CCTV_Mahikeng.zip" TargetMode="External"/><Relationship Id="rId599" Type="http://schemas.openxmlformats.org/officeDocument/2006/relationships/hyperlink" Target="https://www.matatiele.gov.za/?post_type=job_listing&amp;p=18014" TargetMode="External"/><Relationship Id="rId196" Type="http://schemas.openxmlformats.org/officeDocument/2006/relationships/hyperlink" Target="https://www.etenders.gov.za/home/Download/?blobName=f78d22af-255d-40c5-ab56-7bd6aa3d286f.pdf&amp;downloadedFileName=SIGNED%20INVITATION%20TO%20TENDER%20AS%20AT%2010%20JUNE%202026.pdf" TargetMode="External"/><Relationship Id="rId417" Type="http://schemas.openxmlformats.org/officeDocument/2006/relationships/hyperlink" Target="https://www.umzimvubu.gov.za/wp-content/uploads/2025/02/Cross-section_Concrete21-1.pdf" TargetMode="External"/><Relationship Id="rId459" Type="http://schemas.openxmlformats.org/officeDocument/2006/relationships/hyperlink" Target="https://www.mnquma.gov.za/wp-content/uploads/2026/04/PAVING-BELL-HIGH-NOTICE.pdf" TargetMode="External"/><Relationship Id="rId16" Type="http://schemas.openxmlformats.org/officeDocument/2006/relationships/hyperlink" Target="https://www.etenders.gov.za/home/Download/?blobName=259f500b-dce3-4b07-9197-7579b7c865d3.pdf&amp;downloadedFileName=Giyani%20Water%20Reticulation%20to%20Villages%20Phase%202A%20-%20Final%20advert%20.pdf" TargetMode="External"/><Relationship Id="rId221" Type="http://schemas.openxmlformats.org/officeDocument/2006/relationships/hyperlink" Target="https://www.etenders.gov.za/home/Download/?blobName=773c5147-240d-4266-a884-961079afd87b.pdf&amp;downloadedFileName=SANDI%20SSS%20UNPRICED%20BOQ.pdf" TargetMode="External"/><Relationship Id="rId263" Type="http://schemas.openxmlformats.org/officeDocument/2006/relationships/hyperlink" Target="https://www.etenders.gov.za/home/Download/?blobName=726bb005-644b-413e-9125-78e5824f8c4a.pdf&amp;downloadedFileName=ADVERT-TD-02-06-2026-VARIOUS-SERVICES.pdf" TargetMode="External"/><Relationship Id="rId319" Type="http://schemas.openxmlformats.org/officeDocument/2006/relationships/hyperlink" Target="https://www.etenders.gov.za/home/Download/?blobName=820c96e2-8bfa-45c4-b20c-89902b630038.pdf&amp;downloadedFileName=ORTHOTISTS%20PROSTHETISTS%2019.06.2026%20(1)%20TN%20Edited.pdf" TargetMode="External"/><Relationship Id="rId470" Type="http://schemas.openxmlformats.org/officeDocument/2006/relationships/hyperlink" Target="https://www.mnquma.gov.za/wp-content/uploads/2026/03/ads-MJO.pdf" TargetMode="External"/><Relationship Id="rId526" Type="http://schemas.openxmlformats.org/officeDocument/2006/relationships/hyperlink" Target="https://www.siu.org.za/wp-content/uploads/2023/11/BID-DOCUMENT-PROVISION-FOR-SECURITY-SERVICES-TO-THE-SIU.pdf" TargetMode="External"/><Relationship Id="rId58" Type="http://schemas.openxmlformats.org/officeDocument/2006/relationships/hyperlink" Target="https://www.etenders.gov.za/home/Download/?blobName=2271d3e5-9dfc-4cf1-bb1b-92d1c6bd674a.pdf&amp;downloadedFileName=CIA%20RFQ%2074389%20GENERATOR%20ASSESSEMENT%20AND%20REPAIR.pdf" TargetMode="External"/><Relationship Id="rId123" Type="http://schemas.openxmlformats.org/officeDocument/2006/relationships/hyperlink" Target="https://www.etenders.gov.za/home/Download/?blobName=7eed253e-8ebf-4836-9eb7-23a52ff57318.docx&amp;downloadedFileName=TENDER%20NO.%20MN%2022-2026-SUPPLY%20AND%20DELIVERY%20OF%20PROTECTIVE%20CLOTHING%20FOR%20TRAFFIC%20OFFICERS.docx" TargetMode="External"/><Relationship Id="rId330" Type="http://schemas.openxmlformats.org/officeDocument/2006/relationships/hyperlink" Target="https://www.etenders.gov.za/home/Download/?blobName=c71de4c8-2e6d-444d-b94b-10451f496058.pdf&amp;downloadedFileName=SHEQ%20Requirements.pdf" TargetMode="External"/><Relationship Id="rId568" Type="http://schemas.openxmlformats.org/officeDocument/2006/relationships/hyperlink" Target="https://www.matatiele.gov.za/job/bid-document-printing-and-mailing-of-consumer-debtors-statements-name-of-the-company/" TargetMode="External"/><Relationship Id="rId165" Type="http://schemas.openxmlformats.org/officeDocument/2006/relationships/hyperlink" Target="https://www.etenders.gov.za/home/Download/?blobName=47397677-65d0-4203-b152-6334e33eaaf2.pdf&amp;downloadedFileName=TNPA%202026%2006%200028%20114529%20RFP.pdf" TargetMode="External"/><Relationship Id="rId372" Type="http://schemas.openxmlformats.org/officeDocument/2006/relationships/hyperlink" Target="https://www.umzimvubu.gov.za/wp-content/uploads/2025/02/SODLADLA-BOQ.pdf" TargetMode="External"/><Relationship Id="rId428" Type="http://schemas.openxmlformats.org/officeDocument/2006/relationships/hyperlink" Target="https://www.umzimvubu.gov.za/wp-content/uploads/2025/02/BOQ-SOLANI-SLAB.pdf" TargetMode="External"/><Relationship Id="rId232" Type="http://schemas.openxmlformats.org/officeDocument/2006/relationships/hyperlink" Target="https://www.etenders.gov.za/home/Download/?blobName=042f0da0-36aa-4fd4-b506-2c6933a9a08d.pdf&amp;downloadedFileName=TMT-ECDoE-2627-SAN60-CL39%20KANYISA%20PS.pdf" TargetMode="External"/><Relationship Id="rId274" Type="http://schemas.openxmlformats.org/officeDocument/2006/relationships/hyperlink" Target="https://www.etenders.gov.za/home/Download/?blobName=31a6ea9b-629d-4473-99b1-da711bdef873.pdf&amp;downloadedFileName=RFQJW44ZZ26_PSTs%20Electrical%20Repairs.pdf" TargetMode="External"/><Relationship Id="rId481" Type="http://schemas.openxmlformats.org/officeDocument/2006/relationships/hyperlink" Target="https://www.mnquma.gov.za/wp-content/uploads/2026/02/AD-ALARMS.pdf" TargetMode="External"/><Relationship Id="rId27" Type="http://schemas.openxmlformats.org/officeDocument/2006/relationships/hyperlink" Target="https://www.etenders.gov.za/home/Download/?blobName=b88a88a9-fe8b-49ef-a54b-23c90ab44502.pdf&amp;downloadedFileName=advert%20for%20electricities.pdf" TargetMode="External"/><Relationship Id="rId69" Type="http://schemas.openxmlformats.org/officeDocument/2006/relationships/hyperlink" Target="https://www.etenders.gov.za/home/Download/?blobName=d30b217d-f44b-4179-9d41-98cf7a85dc24.pdf&amp;downloadedFileName=Bid%20document%20%20%20NEC%20Maintenance%20of%20travelators%20for%208%20months%20June.pdf" TargetMode="External"/><Relationship Id="rId134" Type="http://schemas.openxmlformats.org/officeDocument/2006/relationships/hyperlink" Target="https://www.etenders.gov.za/home/Download/?blobName=cf637edf-d795-479f-a716-0bec230b158f.pdf&amp;downloadedFileName=2026-089.pdf" TargetMode="External"/><Relationship Id="rId537" Type="http://schemas.openxmlformats.org/officeDocument/2006/relationships/hyperlink" Target="https://www.siu.org.za/wp-content/uploads/2022/09/Appointment-of-Panel-Experts-Governance-Risk-and-Compliance-and-Specialist-POE.15.pdf" TargetMode="External"/><Relationship Id="rId579" Type="http://schemas.openxmlformats.org/officeDocument/2006/relationships/hyperlink" Target="https://www.matatiele.gov.za/job/closing-register-for-cleaning-and-refuse-removal-for-matat-cbd/" TargetMode="External"/><Relationship Id="rId80" Type="http://schemas.openxmlformats.org/officeDocument/2006/relationships/hyperlink" Target="https://www.etenders.gov.za/home/Download/?blobName=2f401607-5df4-4961-b96d-1cfc6c2987e3.pdf&amp;downloadedFileName=TENDER%20DOCUMENT%20FOR%20DEVELOPMENT%20OF%20ARCHITECTURAL%20DESIGNS%20AND%20BOQ%20FOR%20CONTAINER%20MALL.pdf" TargetMode="External"/><Relationship Id="rId176" Type="http://schemas.openxmlformats.org/officeDocument/2006/relationships/hyperlink" Target="https://www.etenders.gov.za/home/Download/?blobName=c85aa95e-e6fd-489c-8aea-c5185c1316ce.pdf&amp;downloadedFileName=TNPA%202026%2006%200024%20114525%20RFP.pdf" TargetMode="External"/><Relationship Id="rId341" Type="http://schemas.openxmlformats.org/officeDocument/2006/relationships/hyperlink" Target="https://www.ecdpw.gov.za/wp-content/tender-uploads/department-of-transport--mthatha-cbd--final-0033.pdf" TargetMode="External"/><Relationship Id="rId383" Type="http://schemas.openxmlformats.org/officeDocument/2006/relationships/hyperlink" Target="https://www.umzimvubu.gov.za/wp-content/uploads/2025/02/Manxiweni-Contract-Section.pdf" TargetMode="External"/><Relationship Id="rId439" Type="http://schemas.openxmlformats.org/officeDocument/2006/relationships/hyperlink" Target="https://www.mnquma.gov.za/wp-content/uploads/2026/04/ADVERT-GRORICERS-NEW-BUILDING.pdf" TargetMode="External"/><Relationship Id="rId590" Type="http://schemas.openxmlformats.org/officeDocument/2006/relationships/hyperlink" Target="https://www.matatiele.gov.za/?post_type=job_listing&amp;p=24599" TargetMode="External"/><Relationship Id="rId604" Type="http://schemas.openxmlformats.org/officeDocument/2006/relationships/hyperlink" Target="https://www.matatiele.gov.za/job/closing-register-for-15-civil-engineering-projects-of-3-years/" TargetMode="External"/><Relationship Id="rId201" Type="http://schemas.openxmlformats.org/officeDocument/2006/relationships/hyperlink" Target="https://www.etenders.gov.za/home/Download/?blobName=849949a7-05b5-477c-aa3f-e9d870e5a551.pdf&amp;downloadedFileName=FUEL%20TANKS.pdf" TargetMode="External"/><Relationship Id="rId243" Type="http://schemas.openxmlformats.org/officeDocument/2006/relationships/hyperlink" Target="https://www.etenders.gov.za/home/Download/?blobName=3facf396-ac45-4efb-9213-568873004e79.pdf&amp;downloadedFileName=TMT-ECDoE-2627-SAN60-CL31%20BUFFALO%20NEK%20HS.pdf" TargetMode="External"/><Relationship Id="rId285" Type="http://schemas.openxmlformats.org/officeDocument/2006/relationships/hyperlink" Target="https://www.etenders.gov.za/home/Download/?blobName=58e48661-b0df-4b84-aac5-036d83e7ae2d.pdf&amp;downloadedFileName=Advert%2019%20June%202026.pdf" TargetMode="External"/><Relationship Id="rId450" Type="http://schemas.openxmlformats.org/officeDocument/2006/relationships/hyperlink" Target="https://www.mnquma.gov.za/wp-content/uploads/2026/04/AD-NGCISININDE-GEDWOOD-NOTICE.pdf" TargetMode="External"/><Relationship Id="rId506" Type="http://schemas.openxmlformats.org/officeDocument/2006/relationships/hyperlink" Target="https://www.labour.gov.za/Tenders/Available-Tenders/Lists/Open%20Tenders/Attachments/539/DAY%20TO%20DAY%20CLEANING%20%20AND%20PEST%20CONTROL%20SERVICES%20SPECIFICATION%2009%20JUNE%202026.pdf" TargetMode="External"/><Relationship Id="rId38" Type="http://schemas.openxmlformats.org/officeDocument/2006/relationships/hyperlink" Target="https://www.etenders.gov.za/home/Download/?blobName=bb7164bf-7e49-4032-abcd-d2a28a536e20.pdf&amp;downloadedFileName=GSDM%2070-2025%20Panel%20for%20the%20provision%20of%20executive%20security%20services%20(002).pdf" TargetMode="External"/><Relationship Id="rId103" Type="http://schemas.openxmlformats.org/officeDocument/2006/relationships/hyperlink" Target="https://www.etenders.gov.za/home/Download/?blobName=5a2d0c3e-8dd0-4faa-96c2-10b858691dca.pdf&amp;downloadedFileName=SBD%206.1%20IN%20TERMS%20OF%20PPR2022%20(80-20).pdf" TargetMode="External"/><Relationship Id="rId310" Type="http://schemas.openxmlformats.org/officeDocument/2006/relationships/hyperlink" Target="https://www.etenders.gov.za/home/Download/?blobName=65c0aa02-6c87-41ba-9aac-888b86b6cd79.pdf&amp;downloadedFileName=ECL%20Advert.pdf" TargetMode="External"/><Relationship Id="rId492" Type="http://schemas.openxmlformats.org/officeDocument/2006/relationships/hyperlink" Target="https://greatkeilm.gov.za/web/2026/05/13/tender-corp-02-2025-26-provision-of-vetting-services-for-a-period-of-three-years/" TargetMode="External"/><Relationship Id="rId548" Type="http://schemas.openxmlformats.org/officeDocument/2006/relationships/hyperlink" Target="https://www.siu.org.za/wp-content/uploads/2021/01/Tender-document-Provision-of-Employee-Wellness-Programme.pdf" TargetMode="External"/><Relationship Id="rId91" Type="http://schemas.openxmlformats.org/officeDocument/2006/relationships/hyperlink" Target="https://www.etenders.gov.za/home/Download/?blobName=9d51f6cd-8aeb-440a-9eaf-b6253aa313e9.pdf&amp;downloadedFileName=SMQ78-25-26_Advert.pdf" TargetMode="External"/><Relationship Id="rId145" Type="http://schemas.openxmlformats.org/officeDocument/2006/relationships/hyperlink" Target="https://www.etenders.gov.za/home/Download/?blobName=939a82d3-a3e3-4e35-bfc0-4404f6505b33.pdf&amp;downloadedFileName=WELDING%20OF%20LIGHT%20VEHICLES,TRUCKS,HEAVY%20MACHINERY%20AND%20TRACTORS..pdf" TargetMode="External"/><Relationship Id="rId187" Type="http://schemas.openxmlformats.org/officeDocument/2006/relationships/hyperlink" Target="https://www.etenders.gov.za/home/Download/?blobName=c0882541-9ce9-45e5-9b84-b71650f27ecd.pdf&amp;downloadedFileName=Bid%20Document%20-%20DOH(FS)05-2026-2027.pdf" TargetMode="External"/><Relationship Id="rId352" Type="http://schemas.openxmlformats.org/officeDocument/2006/relationships/hyperlink" Target="https://www.ntabankulu.gov.za/2026/06/17/closing-register-for-supply-and-delivery-of-diesel/" TargetMode="External"/><Relationship Id="rId394" Type="http://schemas.openxmlformats.org/officeDocument/2006/relationships/hyperlink" Target="https://www.umzimvubu.gov.za/wp-content/uploads/2025/02/Gravel-Road-S-W-Inlet-detail4.pdf" TargetMode="External"/><Relationship Id="rId408" Type="http://schemas.openxmlformats.org/officeDocument/2006/relationships/hyperlink" Target="https://www.umzimvubu.gov.za/wp-content/uploads/2025/02/Cross-section_gravel3.pdf" TargetMode="External"/><Relationship Id="rId212" Type="http://schemas.openxmlformats.org/officeDocument/2006/relationships/hyperlink" Target="https://www.etenders.gov.za/home/Download/?blobName=57229a28-58ea-46dd-8491-540006168651.pdf&amp;downloadedFileName=ADVERT-TD-03-06-2026.pdf" TargetMode="External"/><Relationship Id="rId254" Type="http://schemas.openxmlformats.org/officeDocument/2006/relationships/hyperlink" Target="https://www.etenders.gov.za/home/Download/?blobName=b8467710-8227-4f9e-bd9a-2ce9c23f62f9.pdf&amp;downloadedFileName=BID%20DOCUMENT%20PF25.2026.pdf" TargetMode="External"/><Relationship Id="rId49" Type="http://schemas.openxmlformats.org/officeDocument/2006/relationships/hyperlink" Target="https://www.etenders.gov.za/home/Download/?blobName=c51e9910-bf02-42f9-9e62-3950a523eb65.pdf&amp;downloadedFileName=ADVERT-LEASE%20OF%20MANAGED%20OFFICE%20SPACE.pdf" TargetMode="External"/><Relationship Id="rId114" Type="http://schemas.openxmlformats.org/officeDocument/2006/relationships/hyperlink" Target="https://www.etenders.gov.za/home/Download/?blobName=9e0c74b8-af67-4a8e-ab52-345689eeee47.pdf&amp;downloadedFileName=SCM3-2026-27%20SUPPLY%20AND%20DELIVER%20OF%20EMERGENCY%20KITS%20FOR%20FIRE%20VICTIMS%20FOR%20A%20PERIOD%20OF%2024%20MONTHS%20-%20TENDER%20DOCUMENT.pdf" TargetMode="External"/><Relationship Id="rId296" Type="http://schemas.openxmlformats.org/officeDocument/2006/relationships/hyperlink" Target="https://www.etenders.gov.za/home/Download/?blobName=0c519a0b-fea6-498f-bf98-6063cedc7127.pdf&amp;downloadedFileName=Request%20for%20Quotation%20-%20Key%20Individual_final%20signed.pdf" TargetMode="External"/><Relationship Id="rId461" Type="http://schemas.openxmlformats.org/officeDocument/2006/relationships/hyperlink" Target="https://www.mnquma.gov.za/wp-content/uploads/2026/03/BID-Notice-Procurement-of-Repairs-and-Maintenance-of-Air-Conditioners-for-a-Period-of-One-Year.pdf" TargetMode="External"/><Relationship Id="rId517" Type="http://schemas.openxmlformats.org/officeDocument/2006/relationships/hyperlink" Target="https://www.siu.org.za/wp-content/uploads/2024/11/REQUEST-FOR-QUOTATION-FOR-THE-PANEL-OF-SERVICE-PROVIDERS-FOR-PLUMBING-ELECTRICAL-AND-GENERAL-BUILDING.pdf" TargetMode="External"/><Relationship Id="rId559" Type="http://schemas.openxmlformats.org/officeDocument/2006/relationships/hyperlink" Target="https://www.siu.org.za/wp-content/uploads/2018/02/Tender_Advert-RFQ_Fumigation_East_London.zip" TargetMode="External"/><Relationship Id="rId60" Type="http://schemas.openxmlformats.org/officeDocument/2006/relationships/hyperlink" Target="https://www.etenders.gov.za/home/Download/?blobName=d4a54339-090e-407d-b9bf-4350b7845498.pdf&amp;downloadedFileName=SPSC-B-004-2026.pdf" TargetMode="External"/><Relationship Id="rId156" Type="http://schemas.openxmlformats.org/officeDocument/2006/relationships/hyperlink" Target="https://www.etenders.gov.za/home/Download/?blobName=5079471e-69c5-40c1-b1e3-33cd0404765e.pdf&amp;downloadedFileName=TENDER%20DOCUMENT%20OF%20RFP%202%20%20OF%202026.pdf" TargetMode="External"/><Relationship Id="rId198" Type="http://schemas.openxmlformats.org/officeDocument/2006/relationships/hyperlink" Target="https://www.etenders.gov.za/home/Download/?blobName=cbc775a6-74a0-40d3-ae55-7cb8ff24da88.pdf&amp;downloadedFileName=Regret%20Letter%20Template%20for%20Unsuccessful%20Suppliers%20-Transformer%20%20Filters.pdf" TargetMode="External"/><Relationship Id="rId321" Type="http://schemas.openxmlformats.org/officeDocument/2006/relationships/hyperlink" Target="https://www.etenders.gov.za/home/Download/?blobName=1f64e788-6c81-448b-892d-73cbf684416a.docx&amp;downloadedFileName=RFQ%20111.docx" TargetMode="External"/><Relationship Id="rId363" Type="http://schemas.openxmlformats.org/officeDocument/2006/relationships/hyperlink" Target="https://www.umzimvubu.gov.za/wp-content/uploads/2025/02/UMNDINI-BOQ.pdf" TargetMode="External"/><Relationship Id="rId419" Type="http://schemas.openxmlformats.org/officeDocument/2006/relationships/hyperlink" Target="https://www.umzimvubu.gov.za/wp-content/uploads/2025/02/Centule-Tender-Document-.pdf" TargetMode="External"/><Relationship Id="rId570" Type="http://schemas.openxmlformats.org/officeDocument/2006/relationships/hyperlink" Target="https://www.matatiele.gov.za/job/opening-and-closing-register-supply-and-delivery-of-fifty-three-53-protective-clothing-staff-uniform-for-admin-and-support-unit-for/" TargetMode="External"/><Relationship Id="rId223" Type="http://schemas.openxmlformats.org/officeDocument/2006/relationships/hyperlink" Target="https://www.etenders.gov.za/home/Download/?blobName=a928ada4-e020-4ddd-9169-15062c94ad34.pdf&amp;downloadedFileName=NQWILISO%20SSS%20UNPRICED%20BOQ.pdf" TargetMode="External"/><Relationship Id="rId430" Type="http://schemas.openxmlformats.org/officeDocument/2006/relationships/hyperlink" Target="https://www.umzimvubu.gov.za/wp-content/uploads/2025/02/BOQ-FOR-COMPLETION-OF-ELECTRFICATION.pdf" TargetMode="External"/><Relationship Id="rId18" Type="http://schemas.openxmlformats.org/officeDocument/2006/relationships/hyperlink" Target="https://www.etenders.gov.za/home/Download/?blobName=459712b6-23b7-4e22-9994-a2b6fb6e57a8.pdf&amp;downloadedFileName=Giyani%20Water%20Reticulation%20to%20Villages%20Phase%202A%20-%20Final%20advert%20.pdf" TargetMode="External"/><Relationship Id="rId265" Type="http://schemas.openxmlformats.org/officeDocument/2006/relationships/hyperlink" Target="https://www.etenders.gov.za/home/Download/?blobName=28accc7c-bb3c-4ff1-9594-58de3bd9a449.pdf&amp;downloadedFileName=5-2-1-1-2026-2027-47.pdf" TargetMode="External"/><Relationship Id="rId472" Type="http://schemas.openxmlformats.org/officeDocument/2006/relationships/hyperlink" Target="https://www.mnquma.gov.za/wp-content/uploads/2026/03/SIDUTYINI-AD-1.pdf" TargetMode="External"/><Relationship Id="rId528" Type="http://schemas.openxmlformats.org/officeDocument/2006/relationships/hyperlink" Target="https://www.siu.org.za/wp-content/uploads/2023/11/BID-DOCUMENT-APPOINTMENT-OF-SERVICE-PROVIDERS-FOR-THE-PROVISION-OF-INSURANCE-SERVICES.pdf" TargetMode="External"/><Relationship Id="rId125" Type="http://schemas.openxmlformats.org/officeDocument/2006/relationships/hyperlink" Target="https://www.etenders.gov.za/home/Download/?blobName=20d474a7-fe19-42d0-bd5c-000336c30932.pdf&amp;downloadedFileName=19%20JUNE%202026.pdf" TargetMode="External"/><Relationship Id="rId167" Type="http://schemas.openxmlformats.org/officeDocument/2006/relationships/hyperlink" Target="https://www.etenders.gov.za/home/Download/?blobName=9f30c5b7-5052-4ef3-a38c-2f0997570e75.pdf&amp;downloadedFileName=TNPA%202026%2006%200014%20114515%20RFP.pdf" TargetMode="External"/><Relationship Id="rId332" Type="http://schemas.openxmlformats.org/officeDocument/2006/relationships/hyperlink" Target="https://www.etenders.gov.za/home/Download/?blobName=85faab34-e7ed-4fec-a8b5-03cd0a4ae0ae.docx&amp;downloadedFileName=RFP%2026-27-04%20--%20Annexure%20BC%20%20Guarding%20Services%20for%20Eastern%20Cape%20Province.docx" TargetMode="External"/><Relationship Id="rId374" Type="http://schemas.openxmlformats.org/officeDocument/2006/relationships/hyperlink" Target="https://www.umzimvubu.gov.za/wp-content/uploads/2025/02/Nkungwini-Contract-Section-2.pdf" TargetMode="External"/><Relationship Id="rId581" Type="http://schemas.openxmlformats.org/officeDocument/2006/relationships/hyperlink" Target="https://www.matatiele.gov.za/?post_type=job_listing&amp;p=24577" TargetMode="External"/><Relationship Id="rId71" Type="http://schemas.openxmlformats.org/officeDocument/2006/relationships/hyperlink" Target="https://www.etenders.gov.za/home/Download/?blobName=cdb5a2a3-6051-42f7-993d-1ad92d692ef0.pdf&amp;downloadedFileName=RFQ%203732-03-07-2026-.pdf" TargetMode="External"/><Relationship Id="rId234" Type="http://schemas.openxmlformats.org/officeDocument/2006/relationships/hyperlink" Target="https://www.etenders.gov.za/home/Download/?blobName=403f3af5-a24a-4c3f-8a52-bea6765cb8f6.pdf&amp;downloadedFileName=KANANA%20SSS%20UNPRICED%20BOQ.pdf" TargetMode="External"/><Relationship Id="rId2" Type="http://schemas.openxmlformats.org/officeDocument/2006/relationships/hyperlink" Target="https://www.etenders.gov.za/home/Download/?blobName=3e0a07c5-0aab-491e-8cd4-3b631e78b5b1.pdf&amp;downloadedFileName=Advert%20for%20Provision%20of%20internet%20services%20-%20End%20Point-%203%20Tier.pdf" TargetMode="External"/><Relationship Id="rId29" Type="http://schemas.openxmlformats.org/officeDocument/2006/relationships/hyperlink" Target="https://www.etenders.gov.za/home/Download/?blobName=76c4f987-934e-46dc-b938-dd53698a4ec8.pdf&amp;downloadedFileName=advert%20for%20electricities.pdf" TargetMode="External"/><Relationship Id="rId276" Type="http://schemas.openxmlformats.org/officeDocument/2006/relationships/hyperlink" Target="https://www.etenders.gov.za/home/Download/?blobName=64aff47e-0796-4db2-8a9a-1df2db90285a.doc&amp;downloadedFileName=Borehole%20Assessment_Specifications.doc" TargetMode="External"/><Relationship Id="rId441" Type="http://schemas.openxmlformats.org/officeDocument/2006/relationships/hyperlink" Target="https://www.mnquma.gov.za/wp-content/uploads/2026/04/ADVERT-LED-REPAIRS-28.05.pdf" TargetMode="External"/><Relationship Id="rId483" Type="http://schemas.openxmlformats.org/officeDocument/2006/relationships/hyperlink" Target="https://www.mnquma.gov.za/wp-content/uploads/2026/02/AD-GENERATOR.pdf" TargetMode="External"/><Relationship Id="rId539" Type="http://schemas.openxmlformats.org/officeDocument/2006/relationships/hyperlink" Target="https://www.siu.org.za/wp-content/uploads/2022/07/Panel-of-attorneys-law-firms-legal-practitioners..docx.pdf" TargetMode="External"/><Relationship Id="rId40" Type="http://schemas.openxmlformats.org/officeDocument/2006/relationships/hyperlink" Target="https://www.etenders.gov.za/home/Download/?blobName=e06ea878-6985-4a13-9085-11fd0a3ce812.pdf&amp;downloadedFileName=BID%20ADVERT%20ZNB153%20SECURITY%20PMB.pdf" TargetMode="External"/><Relationship Id="rId136" Type="http://schemas.openxmlformats.org/officeDocument/2006/relationships/hyperlink" Target="https://www.etenders.gov.za/home/Download/?blobName=1df4271f-2640-4d0e-ba43-0b0e524a4fd4.pdf&amp;downloadedFileName=19%20JUNE%202026.pdf" TargetMode="External"/><Relationship Id="rId178" Type="http://schemas.openxmlformats.org/officeDocument/2006/relationships/hyperlink" Target="https://www.etenders.gov.za/home/Download/?blobName=d60cd926-c56f-4392-b879-d10b7290de63.pdf&amp;downloadedFileName=TNPA%202026%2006%200024%20114525%20RFP.pdf" TargetMode="External"/><Relationship Id="rId301" Type="http://schemas.openxmlformats.org/officeDocument/2006/relationships/hyperlink" Target="https://www.etenders.gov.za/home/Download/?blobName=58cc0ae3-9a02-4b41-a1d9-79d19c3334cc.pdf&amp;downloadedFileName=ER-%20N%202509.pdf" TargetMode="External"/><Relationship Id="rId343" Type="http://schemas.openxmlformats.org/officeDocument/2006/relationships/hyperlink" Target="https://www.ecdpw.gov.za/wp-content/tender-uploads/erratum-scmu5-26-27-0009.pdf" TargetMode="External"/><Relationship Id="rId550" Type="http://schemas.openxmlformats.org/officeDocument/2006/relationships/hyperlink" Target="https://www.siu.org.za/wp-content/uploads/2020/08/Tender-Advert-Internal-Audit-Service-in-Co-sourced-Capacity.pdf" TargetMode="External"/><Relationship Id="rId82" Type="http://schemas.openxmlformats.org/officeDocument/2006/relationships/hyperlink" Target="https://www.etenders.gov.za/home/Download/?blobName=53255c43-2b36-4370-925f-0c3459513ae9.pdf&amp;downloadedFileName=Eskom%20General%20Conditions%20of%20Purchase%20-%2031%20May%202024.pdf" TargetMode="External"/><Relationship Id="rId203" Type="http://schemas.openxmlformats.org/officeDocument/2006/relationships/hyperlink" Target="https://www.etenders.gov.za/home/Download/?blobName=44747c0d-a49f-40e8-ba10-865e3720d75f.zip&amp;downloadedFileName=FOSPHB_RFP_11_2627.zip" TargetMode="External"/><Relationship Id="rId385" Type="http://schemas.openxmlformats.org/officeDocument/2006/relationships/hyperlink" Target="https://www.umzimvubu.gov.za/wp-content/uploads/2025/02/Mamtwani-Contract-Section.pdf" TargetMode="External"/><Relationship Id="rId592" Type="http://schemas.openxmlformats.org/officeDocument/2006/relationships/hyperlink" Target="https://www.matatiele.gov.za/?post_type=job_listing&amp;p=16830" TargetMode="External"/><Relationship Id="rId606" Type="http://schemas.openxmlformats.org/officeDocument/2006/relationships/hyperlink" Target="https://www.matatiele.gov.za/?post_type=job_listing&amp;p=24872" TargetMode="External"/><Relationship Id="rId245" Type="http://schemas.openxmlformats.org/officeDocument/2006/relationships/hyperlink" Target="https://www.etenders.gov.za/home/Download/?blobName=d48e355c-cce9-44df-8226-093ba2abe54a.pdf&amp;downloadedFileName=TMT-ECDoE-2627-SAN60-CL34%20TYELIMHLOPHE%20AGRIC%20HS.pdf" TargetMode="External"/><Relationship Id="rId287" Type="http://schemas.openxmlformats.org/officeDocument/2006/relationships/hyperlink" Target="https://www.etenders.gov.za/home/Download/?blobName=3f4b7822-92da-4027-bd47-0ec5135a125f.pdf&amp;downloadedFileName=RFI%20OBP004.2026.2027%20-%20NKP%20SITE%20SECURITY%20SOLUTION%20FOR%20ONDERSTEPOORT%20BIOLOGICAL%20PRODUCTS%20(OBP)%20-%20addendum.pdf" TargetMode="External"/><Relationship Id="rId410" Type="http://schemas.openxmlformats.org/officeDocument/2006/relationships/hyperlink" Target="https://www.umzimvubu.gov.za/wp-content/uploads/2025/02/Cross-section_gravel1.pdf" TargetMode="External"/><Relationship Id="rId452" Type="http://schemas.openxmlformats.org/officeDocument/2006/relationships/hyperlink" Target="https://www.mnquma.gov.za/wp-content/uploads/2026/04/AD-RETROFITTING-HIGH-MASTS.pdf" TargetMode="External"/><Relationship Id="rId494" Type="http://schemas.openxmlformats.org/officeDocument/2006/relationships/hyperlink" Target="https://greatkeilm.gov.za/web/2026/04/30/invitation-to-tender-for-the-appointed-panel-for-the-implementation-of-turnkey-electrical-services/" TargetMode="External"/><Relationship Id="rId508" Type="http://schemas.openxmlformats.org/officeDocument/2006/relationships/hyperlink" Target="https://www.siu.org.za/wp-content/uploads/2025/12/Bid-Document-Panel-of-Legal-Service.pdf" TargetMode="External"/><Relationship Id="rId105" Type="http://schemas.openxmlformats.org/officeDocument/2006/relationships/hyperlink" Target="https://www.etenders.gov.za/home/Download/?blobName=756b6940-bdb9-4741-bfbe-2ed6351204da.pdf&amp;downloadedFileName=32%20GIG%20RAM%20%202026%20version%20tender%20document%20JUNE2026.pdf" TargetMode="External"/><Relationship Id="rId147" Type="http://schemas.openxmlformats.org/officeDocument/2006/relationships/hyperlink" Target="https://www.etenders.gov.za/home/Download/?blobName=1b5a7d79-39dd-41f1-83d1-bc672300e2c4.pdf&amp;downloadedFileName=SUPPLY%20AND%20DELIVERY%20OF%20BATTERIES%20AND%20TERMINALS..pdf" TargetMode="External"/><Relationship Id="rId312" Type="http://schemas.openxmlformats.org/officeDocument/2006/relationships/hyperlink" Target="https://www.etenders.gov.za/home/Download/?blobName=313c310a-d002-4696-8e54-0227a265cbf6.pdf&amp;downloadedFileName=Human%20resources%20online%20courses.pdf" TargetMode="External"/><Relationship Id="rId354" Type="http://schemas.openxmlformats.org/officeDocument/2006/relationships/hyperlink" Target="https://www.ntabankulu.gov.za/2026/06/10/tender-documentfor-3-year-framework-contract-of-05-road-maintenance-contractors/" TargetMode="External"/><Relationship Id="rId51" Type="http://schemas.openxmlformats.org/officeDocument/2006/relationships/hyperlink" Target="https://www.etenders.gov.za/home/Download/?blobName=72eea603-38af-4d21-981e-01888c7fc013.pdf&amp;downloadedFileName=RFB005.2026%20-%20SAWMILLING%20SERVICES%20AT%20TIMBADOLLA.pdf" TargetMode="External"/><Relationship Id="rId93" Type="http://schemas.openxmlformats.org/officeDocument/2006/relationships/hyperlink" Target="https://www.etenders.gov.za/home/Download/?blobName=12a86fb9-2c43-4387-b1df-c9839180653c.pdf&amp;downloadedFileName=Q2026%2004%20WATER%20STOCK%20COUNT%2030%20JUNE%202026.pdf" TargetMode="External"/><Relationship Id="rId189" Type="http://schemas.openxmlformats.org/officeDocument/2006/relationships/hyperlink" Target="https://www.etenders.gov.za/home/Download/?blobName=1c8b7061-fc75-4f63-9844-2733fb47fb66.pdf&amp;downloadedFileName=Bid%20document%20-%20WCGHSC0395.1.2026%20-%20close%2017%20July%202026.pdf" TargetMode="External"/><Relationship Id="rId396" Type="http://schemas.openxmlformats.org/officeDocument/2006/relationships/hyperlink" Target="https://www.umzimvubu.gov.za/wp-content/uploads/2025/02/Gravel-Road-S-W-Inlet-detail2.pdf" TargetMode="External"/><Relationship Id="rId561" Type="http://schemas.openxmlformats.org/officeDocument/2006/relationships/hyperlink" Target="https://www.siu.org.za/wp-content/uploads/2017/11/RFP43.04.2016_Org_R.pdf" TargetMode="External"/><Relationship Id="rId214" Type="http://schemas.openxmlformats.org/officeDocument/2006/relationships/hyperlink" Target="https://www.etenders.gov.za/home/Download/?blobName=25354915-9a43-4034-a5db-68907253ff62.pdf&amp;downloadedFileName=SC2663.2026%20Advert.pdf" TargetMode="External"/><Relationship Id="rId256" Type="http://schemas.openxmlformats.org/officeDocument/2006/relationships/hyperlink" Target="https://www.etenders.gov.za/home/Download/?blobName=0aa8ed72-df7d-4796-b28a-54f038714c74.pdf&amp;downloadedFileName=DTPRFP11ICT04202%20Hardware%20Spares.pdf" TargetMode="External"/><Relationship Id="rId298" Type="http://schemas.openxmlformats.org/officeDocument/2006/relationships/hyperlink" Target="https://www.etenders.gov.za/home/Download/?blobName=e2450024-744d-4e6c-ae3a-269efabd4e5a.pdf&amp;downloadedFileName=Solicitation%20ID%20RFI_OBP002_2026_27%20Request%20for%20Information%20Jun%2019%202026.pdf" TargetMode="External"/><Relationship Id="rId421" Type="http://schemas.openxmlformats.org/officeDocument/2006/relationships/hyperlink" Target="https://www.umzimvubu.gov.za/wp-content/uploads/2025/02/Centule-BOQ.pdf" TargetMode="External"/><Relationship Id="rId463" Type="http://schemas.openxmlformats.org/officeDocument/2006/relationships/hyperlink" Target="https://www.mnquma.gov.za/wp-content/uploads/2026/03/RE-_ADD-EMNTLA.pdf" TargetMode="External"/><Relationship Id="rId519" Type="http://schemas.openxmlformats.org/officeDocument/2006/relationships/hyperlink" Target="https://teams.microsoft.com/l/meetup-join/19%3ameeting_NzczZDBmMDctNDZkNy00YWZjLTlkYTYtY2I3ODlkM2Y1OGRh%40thread.v2/0?context=%7b%22Tid%22%3a%22c1f6dd2f-18af-43dd-b300-4055be8b2ea8%22%2c%22Oid%22%3a%2281a895ae-8317-4708-b5ff-20711a0073c4%22%7d" TargetMode="External"/><Relationship Id="rId116" Type="http://schemas.openxmlformats.org/officeDocument/2006/relationships/hyperlink" Target="https://www.etenders.gov.za/home/Download/?blobName=3d808158-2e04-4b6b-82da-73911d09e5e1.pdf&amp;downloadedFileName=ADVERT%20SETLOPO%20WATER%20SUPPLY%20PHASE%202%20WARD%2035%20JUNE%202026.pdf" TargetMode="External"/><Relationship Id="rId158" Type="http://schemas.openxmlformats.org/officeDocument/2006/relationships/hyperlink" Target="https://www.etenders.gov.za/home/Download/?blobName=143617ec-e841-49fe-8bdb-a24645567e72.pdf&amp;downloadedFileName=Request%20for%20Proposal%20no%202026%2006%200016%20114517%20RFP.pdf" TargetMode="External"/><Relationship Id="rId323" Type="http://schemas.openxmlformats.org/officeDocument/2006/relationships/hyperlink" Target="https://www.etenders.gov.za/home/Download/?blobName=0f13992b-afbc-42c0-ba6a-65bc75407e87.pdf&amp;downloadedFileName=RFQJW076KM26-New%20-%20Copy.pdf" TargetMode="External"/><Relationship Id="rId530" Type="http://schemas.openxmlformats.org/officeDocument/2006/relationships/hyperlink" Target="https://www.siu.org.za/wp-content/uploads/2023/05/BID-DOCUMENT-FOR-PROVISION-OF-OFFICE-ACCOMMODATION-IN-MAHIKENG.pdf" TargetMode="External"/><Relationship Id="rId20" Type="http://schemas.openxmlformats.org/officeDocument/2006/relationships/hyperlink" Target="https://www.etenders.gov.za/home/Download/?blobName=3aa0f583-1640-4f32-bae2-80b7bb310e70.pdf&amp;downloadedFileName=Giyani%20Water%20Reticulation%20to%20Villages%20Phase%202A%20-%20Final%20advert%20.pdf" TargetMode="External"/><Relationship Id="rId62" Type="http://schemas.openxmlformats.org/officeDocument/2006/relationships/hyperlink" Target="https://www.etenders.gov.za/home/Download/?blobName=6f5ecbbf-daa6-4327-ac5f-16098e154cc9.pdf&amp;downloadedFileName=2.%20KKDM%2012-25%20Tender%20Document-THE%20APPOINTMENT%20OF%20THE%20TRAVEL%20AGENT%20FOR%20THE%20PROVISION%20OF%20TRAVEL%20AND%20ACCOMMODATION%20MANAGEMENT%20SERVICES%20FOR%20DR%20KKDM%20FOR%202%20YEARS.pdf" TargetMode="External"/><Relationship Id="rId365" Type="http://schemas.openxmlformats.org/officeDocument/2006/relationships/hyperlink" Target="https://www.umzimvubu.gov.za/wp-content/uploads/2025/02/Tender-Document-Provision-of-Vetting-and-Screening-Services.pdf" TargetMode="External"/><Relationship Id="rId572" Type="http://schemas.openxmlformats.org/officeDocument/2006/relationships/hyperlink" Target="https://www.matatiele.gov.za/job/opening-and-closing-register-suppy-and-deliver-traffic-officers-motorcycle-ppe/" TargetMode="External"/><Relationship Id="rId225" Type="http://schemas.openxmlformats.org/officeDocument/2006/relationships/hyperlink" Target="https://www.etenders.gov.za/home/Download/?blobName=46aca8a2-b9b3-44c7-8376-0e4e1a1e4452.pdf&amp;downloadedFileName=MNDELA%20JSS%20UNPRICED%20BOQ.pdf" TargetMode="External"/><Relationship Id="rId267" Type="http://schemas.openxmlformats.org/officeDocument/2006/relationships/hyperlink" Target="https://www.etenders.gov.za/home/Download/?blobName=2c4151c5-15c7-44e2-a892-2ccf81b95749.pdf&amp;downloadedFileName=CTS%20T022.2025.26_Advert_Provision%20of%20Stationery%20Office%20Equipment%20and%20Refreshments.pdf" TargetMode="External"/><Relationship Id="rId432" Type="http://schemas.openxmlformats.org/officeDocument/2006/relationships/hyperlink" Target="https://www.umzimvubu.gov.za/wp-content/uploads/2025/02/AA-solani-Contract-Section.pdf" TargetMode="External"/><Relationship Id="rId474" Type="http://schemas.openxmlformats.org/officeDocument/2006/relationships/hyperlink" Target="https://www.mnquma.gov.za/wp-content/uploads/2026/03/Swiming-pool-1.pdf" TargetMode="External"/><Relationship Id="rId127" Type="http://schemas.openxmlformats.org/officeDocument/2006/relationships/hyperlink" Target="https://www.etenders.gov.za/home/Download/?blobName=51cc4151-6ecf-45ff-a383-83a7b2f5304a.pdf&amp;downloadedFileName=Bid%20Motice%20(BV1173_2026).pdf" TargetMode="External"/><Relationship Id="rId31" Type="http://schemas.openxmlformats.org/officeDocument/2006/relationships/hyperlink" Target="https://www.etenders.gov.za/home/Download/?blobName=c8ea5d9d-6b88-45d5-b059-01aa00f739c2.pdf&amp;downloadedFileName=ADVERT%20FOR%20TRAFFIC%20LAWS%20ENFORCEMENT.pdf" TargetMode="External"/><Relationship Id="rId73" Type="http://schemas.openxmlformats.org/officeDocument/2006/relationships/hyperlink" Target="https://www.etenders.gov.za/home/Download/?blobName=846e8ff9-a024-478e-80a0-cf2f80c90023.pdf&amp;downloadedFileName=insulating%20rfq.pdf" TargetMode="External"/><Relationship Id="rId169" Type="http://schemas.openxmlformats.org/officeDocument/2006/relationships/hyperlink" Target="https://www.etenders.gov.za/home/Download/?blobName=ae137245-50c4-4e37-a2da-8efd57451a9f.pdf&amp;downloadedFileName=TNPA%202026%2006%200015%20114516%20RFP.pdf" TargetMode="External"/><Relationship Id="rId334" Type="http://schemas.openxmlformats.org/officeDocument/2006/relationships/hyperlink" Target="https://www.etenders.gov.za/home/Download/?blobName=5f1f6ab5-4892-4b31-aa5e-10180685941a.pdf&amp;downloadedFileName=LDPWRI-P20654%20OFFICE%20ACCOMMODATION.pdf" TargetMode="External"/><Relationship Id="rId376" Type="http://schemas.openxmlformats.org/officeDocument/2006/relationships/hyperlink" Target="https://www.umzimvubu.gov.za/wp-content/uploads/2025/02/Ndindindi-Tender-Document-1.pdf" TargetMode="External"/><Relationship Id="rId541" Type="http://schemas.openxmlformats.org/officeDocument/2006/relationships/hyperlink" Target="https://www.siu.org.za/wp-content/uploads/2022/07/RFQ-ProvisionSupplyDeliveryInstallationOf18xUPS-BatteriesForTheSIU-PretoriaOffice.pdf" TargetMode="External"/><Relationship Id="rId583" Type="http://schemas.openxmlformats.org/officeDocument/2006/relationships/hyperlink" Target="https://www.matatiele.gov.za/?post_type=job_listing&amp;p=24283" TargetMode="External"/><Relationship Id="rId4" Type="http://schemas.openxmlformats.org/officeDocument/2006/relationships/hyperlink" Target="https://www.etenders.gov.za/home/Download/?blobName=f2432ad0-77b3-4217-aace-6ab28d55ed7a.pdf&amp;downloadedFileName=NKO%2010%202026.pdf" TargetMode="External"/><Relationship Id="rId180" Type="http://schemas.openxmlformats.org/officeDocument/2006/relationships/hyperlink" Target="https://www.etenders.gov.za/home/Download/?blobName=f7b5d4bc-368e-4612-8823-4e28210b50ec.pdf&amp;downloadedFileName=TNPA%202026%2006%200002%20114503%20RFP.pdf" TargetMode="External"/><Relationship Id="rId236" Type="http://schemas.openxmlformats.org/officeDocument/2006/relationships/hyperlink" Target="https://www.etenders.gov.za/home/Download/?blobName=fd75cec9-68e9-4879-8a93-393c909e2201.pdf&amp;downloadedFileName=TOISE%20SSS%20UNPRICED%20BOQ.pdf" TargetMode="External"/><Relationship Id="rId278" Type="http://schemas.openxmlformats.org/officeDocument/2006/relationships/hyperlink" Target="https://www.etenders.gov.za/home/Download/?blobName=88454d72-fdaa-4b8f-9c62-5c0c834a04d7.pdf&amp;downloadedFileName=RFQJW114TN26%20-%20DECKING%20REPAIRS.pdf" TargetMode="External"/><Relationship Id="rId401" Type="http://schemas.openxmlformats.org/officeDocument/2006/relationships/hyperlink" Target="https://www.umzimvubu.gov.za/wp-content/uploads/2025/02/Gravel-headwall-detail3.pdf" TargetMode="External"/><Relationship Id="rId443" Type="http://schemas.openxmlformats.org/officeDocument/2006/relationships/hyperlink" Target="https://www.mnquma.gov.za/wp-content/uploads/2026/04/AD-BOOI-FARM-KHANTOLO-NOTICE-1.pdf" TargetMode="External"/><Relationship Id="rId303" Type="http://schemas.openxmlformats.org/officeDocument/2006/relationships/hyperlink" Target="https://www.etenders.gov.za/home/Download/?blobName=3d893252-e00f-4b54-9ad5-41c5d29f25da.pdf&amp;downloadedFileName=ERRATUM%20NOTICE%20-%20SCMU10-2526-0005.pdf" TargetMode="External"/><Relationship Id="rId485" Type="http://schemas.openxmlformats.org/officeDocument/2006/relationships/hyperlink" Target="https://www.mnquma.gov.za/wp-content/uploads/2026/01/HIRING-TENTS-AD.pdf" TargetMode="External"/><Relationship Id="rId42" Type="http://schemas.openxmlformats.org/officeDocument/2006/relationships/hyperlink" Target="https://www.etenders.gov.za/home/Download/?blobName=da7e71a0-65c0-4808-8760-ddd539ee53f5.pdf&amp;downloadedFileName=Invitation%20SDL%20Engagement%2021%20July%202026.pdf" TargetMode="External"/><Relationship Id="rId84" Type="http://schemas.openxmlformats.org/officeDocument/2006/relationships/hyperlink" Target="https://www.etenders.gov.za/home/Download/?blobName=07f97ba3-d25f-405f-ada7-680b910d5e34.zip&amp;downloadedFileName=Safety%20requirements.zip" TargetMode="External"/><Relationship Id="rId138" Type="http://schemas.openxmlformats.org/officeDocument/2006/relationships/hyperlink" Target="https://www.etenders.gov.za/home/Download/?blobName=82b101b7-fefb-4e6e-9663-7baefd2e96b6.docx&amp;downloadedFileName=TENDER%20DOCS.docx" TargetMode="External"/><Relationship Id="rId345" Type="http://schemas.openxmlformats.org/officeDocument/2006/relationships/hyperlink" Target="https://www.ecdpw.gov.za/wp-content/tender-uploads/scmu5-26-27-0022.pdf" TargetMode="External"/><Relationship Id="rId387" Type="http://schemas.openxmlformats.org/officeDocument/2006/relationships/hyperlink" Target="https://www.umzimvubu.gov.za/wp-content/uploads/2025/02/Gravel-Road-S-W-Pipe-Backfill-shallow-detail4.pdf" TargetMode="External"/><Relationship Id="rId510" Type="http://schemas.openxmlformats.org/officeDocument/2006/relationships/hyperlink" Target="https://www.siu.org.za/wp-content/uploads/2025/11/RFP03-11-2025-ERM-Polygraph-Tender.docx" TargetMode="External"/><Relationship Id="rId552" Type="http://schemas.openxmlformats.org/officeDocument/2006/relationships/hyperlink" Target="https://www.siu.org.za/travel-management-services/" TargetMode="External"/><Relationship Id="rId594" Type="http://schemas.openxmlformats.org/officeDocument/2006/relationships/hyperlink" Target="https://www.matatiele.gov.za/?post_type=job_listing&amp;p=18026" TargetMode="External"/><Relationship Id="rId608" Type="http://schemas.openxmlformats.org/officeDocument/2006/relationships/hyperlink" Target="https://www.matatiele.gov.za/?post_type=job_listing&amp;p=24237" TargetMode="External"/><Relationship Id="rId191" Type="http://schemas.openxmlformats.org/officeDocument/2006/relationships/hyperlink" Target="https://www.etenders.gov.za/home/Download/?blobName=f5405e68-3880-413b-8125-00dff0a644f6.pdf&amp;downloadedFileName=Area%20Radio%20System%20Upgrade%20RFI.pdf" TargetMode="External"/><Relationship Id="rId205" Type="http://schemas.openxmlformats.org/officeDocument/2006/relationships/hyperlink" Target="https://www.etenders.gov.za/home/Download/?blobName=53ff6862-f3a0-412c-8e7f-a52d2a3a465c.pdf&amp;downloadedFileName=SASSA%2004-26-FAC-NW%20Leasing%20of%20office%20accomodation%20for%20SASSA%20North%20West%20Region%20for%20a%20%20period%20of%20five(5)%20yearas%20in%20Kgetleng(Koster)%20CBD.pdf" TargetMode="External"/><Relationship Id="rId247" Type="http://schemas.openxmlformats.org/officeDocument/2006/relationships/hyperlink" Target="https://www.etenders.gov.za/home/Download/?blobName=97e59ba5-3ab5-47d3-85f0-7e83dc8109b3.pdf&amp;downloadedFileName=ISOLOMZI%20SSS%20UNPRICED%20BOQ.pdf" TargetMode="External"/><Relationship Id="rId412" Type="http://schemas.openxmlformats.org/officeDocument/2006/relationships/hyperlink" Target="https://www.umzimvubu.gov.za/wp-content/uploads/2025/02/Cross-section_Concrete25.pdf" TargetMode="External"/><Relationship Id="rId107" Type="http://schemas.openxmlformats.org/officeDocument/2006/relationships/hyperlink" Target="https://www.etenders.gov.za/home/Download/?blobName=306767a3-5317-43e9-ba78-36683c69dc53.pdf&amp;downloadedFileName=Supplier%20Self%20Registration.pdf" TargetMode="External"/><Relationship Id="rId289" Type="http://schemas.openxmlformats.org/officeDocument/2006/relationships/hyperlink" Target="https://www.etenders.gov.za/home/Download/?blobName=d91c0fd4-3462-40f6-8697-00d2aee4a114.pdf&amp;downloadedFileName=Standard%20Bidding%20Document%20(SDB)%204_%20for%20PRE-FEASIBILITY%20STUDY.pdf" TargetMode="External"/><Relationship Id="rId454" Type="http://schemas.openxmlformats.org/officeDocument/2006/relationships/hyperlink" Target="https://www.mnquma.gov.za/wp-content/uploads/2026/04/PAVING-MERRIMAN-NOTICE.pdf" TargetMode="External"/><Relationship Id="rId496" Type="http://schemas.openxmlformats.org/officeDocument/2006/relationships/hyperlink" Target="https://greatkeilm.gov.za/web/2026/04/29/rfq-bto-11-2025-26-request-for-supply-and-installation-of-microsoft-exchange-online-licenses/" TargetMode="External"/><Relationship Id="rId11" Type="http://schemas.openxmlformats.org/officeDocument/2006/relationships/hyperlink" Target="https://www.etenders.gov.za/home/Download/?blobName=0d05656e-3662-4857-adb5-1edf132c6906.pdf&amp;downloadedFileName=Giyani%20Water%20Reticulation%20to%20Villages%20Phase%202A%20-%20Final%20advert%20.pdf" TargetMode="External"/><Relationship Id="rId53" Type="http://schemas.openxmlformats.org/officeDocument/2006/relationships/hyperlink" Target="https://www.etenders.gov.za/home/Download/?blobName=df038c28-cbc5-42b4-87fd-0adacf19b521.xls&amp;downloadedFileName=Annexure%20C%20D%20and%20E%20for%20Local%20content%20and%20Local%20Production.xls" TargetMode="External"/><Relationship Id="rId149" Type="http://schemas.openxmlformats.org/officeDocument/2006/relationships/hyperlink" Target="https://www.etenders.gov.za/home/Download/?blobName=8e1174e3-9dcf-4856-af2d-0d0b7f71c929.pdf&amp;downloadedFileName=Quality%20Requirements%20(004).pdf" TargetMode="External"/><Relationship Id="rId314" Type="http://schemas.openxmlformats.org/officeDocument/2006/relationships/hyperlink" Target="https://www.etenders.gov.za/home/Download/?blobName=7f5794e8-db11-40a1-aced-d61ecbf3c854.pdf&amp;downloadedFileName=RFQ%20NHC-2026-27-008%20-%20Funding,%20Resource%20Mobilisation%20Strategy.pdf" TargetMode="External"/><Relationship Id="rId356" Type="http://schemas.openxmlformats.org/officeDocument/2006/relationships/hyperlink" Target="https://www.ntabankulu.gov.za/2026/05/29/bid-invitation-for-electrification-and-maintenance-contractors/" TargetMode="External"/><Relationship Id="rId398" Type="http://schemas.openxmlformats.org/officeDocument/2006/relationships/hyperlink" Target="https://www.umzimvubu.gov.za/wp-content/uploads/2025/02/Gravel-Road-S-W-Inlet-detail.pdf" TargetMode="External"/><Relationship Id="rId521" Type="http://schemas.openxmlformats.org/officeDocument/2006/relationships/hyperlink" Target="https://www.siu.org.za/wp-content/uploads/2024/08/BID-DOCUMENT-OFFICE-ACCOMMODATION-WESTERN-CAPE-.pdf" TargetMode="External"/><Relationship Id="rId563" Type="http://schemas.openxmlformats.org/officeDocument/2006/relationships/hyperlink" Target="https://www.matatiele.gov.za/job/addendam-appointment-of-a-panel-of-six-6-civil-engineering-professional-service-providers-for-preparing-business-plan-feasibility-study-preliminary-design-detail-design-tender-documentation-and/" TargetMode="External"/><Relationship Id="rId95" Type="http://schemas.openxmlformats.org/officeDocument/2006/relationships/hyperlink" Target="https://www.etenders.gov.za/home/Download/?blobName=38cbaa65-b049-4acd-a56b-d7d9f2ed7adb.pdf&amp;downloadedFileName=Community%20Catering%20Ehlanzeni%20-%2029%20June%202026.pdf" TargetMode="External"/><Relationship Id="rId160" Type="http://schemas.openxmlformats.org/officeDocument/2006/relationships/hyperlink" Target="https://www.etenders.gov.za/home/Download/?blobName=f57dc175-603c-4f14-a1ae-ea1e07e67078.pdf&amp;downloadedFileName=TNPA%202026%2006%200011%20114512%20RFP.pdf" TargetMode="External"/><Relationship Id="rId216" Type="http://schemas.openxmlformats.org/officeDocument/2006/relationships/hyperlink" Target="https://www.etenders.gov.za/home/Download/?blobName=211427a2-e116-4639-9700-05e77d733532.pdf&amp;downloadedFileName=240-106084675%20Annexure%20C3%20OHS%20Tender%20Evaluation%20Low%20risk.pdf" TargetMode="External"/><Relationship Id="rId423" Type="http://schemas.openxmlformats.org/officeDocument/2006/relationships/hyperlink" Target="https://www.umzimvubu.gov.za/wp-content/uploads/2025/02/Capture4.jpg" TargetMode="External"/><Relationship Id="rId258" Type="http://schemas.openxmlformats.org/officeDocument/2006/relationships/hyperlink" Target="https://www.etenders.gov.za/home/Download/?blobName=a4ed0256-8cb5-49ef-87b5-093042fbaf2c.pdf&amp;downloadedFileName=INVITATION%20TO%20BID%20DHA08-2026.pdf" TargetMode="External"/><Relationship Id="rId465" Type="http://schemas.openxmlformats.org/officeDocument/2006/relationships/hyperlink" Target="https://www.mnquma.gov.za/wp-content/uploads/2026/03/ads-MTHITSILANA.pdf" TargetMode="External"/><Relationship Id="rId22" Type="http://schemas.openxmlformats.org/officeDocument/2006/relationships/hyperlink" Target="https://www.etenders.gov.za/home/Download/?blobName=b4a76a56-942c-408b-88ed-4470d128e4e5.pdf&amp;downloadedFileName=Giyani%20Water%20Reticulation%20to%20Villages%20Phase%202A%20-%20Final%20advert%20.pdf" TargetMode="External"/><Relationship Id="rId64" Type="http://schemas.openxmlformats.org/officeDocument/2006/relationships/hyperlink" Target="https://www.etenders.gov.za/home/Download/?blobName=757808f9-d730-4964-bb64-005fe5bcfb7d.pdf&amp;downloadedFileName=Annexure%20E%20-%20Drawings%20Tower%20crane%20placement.pdf" TargetMode="External"/><Relationship Id="rId118" Type="http://schemas.openxmlformats.org/officeDocument/2006/relationships/hyperlink" Target="https://www.etenders.gov.za/home/Download/?blobName=164a5f6d-40e6-4303-86c8-94d05e6de6c5.pdf&amp;downloadedFileName=TENDER%20DOCUMENT%20WRC-004-2026-27%20-%20EDMS.pdf" TargetMode="External"/><Relationship Id="rId325" Type="http://schemas.openxmlformats.org/officeDocument/2006/relationships/hyperlink" Target="https://www.etenders.gov.za/home/Download/?blobName=a0cabd47-9767-4c92-a714-3027c37231be.pdf&amp;downloadedFileName=Security%20RFQ%20Kuruman19-06-2026-150338.pdf" TargetMode="External"/><Relationship Id="rId367" Type="http://schemas.openxmlformats.org/officeDocument/2006/relationships/hyperlink" Target="https://www.umzimvubu.gov.za/wp-content/uploads/2025/02/Tender-Document-Panel-of-Service-Providers-for-Training-Services.pdf" TargetMode="External"/><Relationship Id="rId532" Type="http://schemas.openxmlformats.org/officeDocument/2006/relationships/hyperlink" Target="https://www.siu.org.za/wp-content/uploads/2022/11/Panel-of-CloseArmedProtection-and-StaticGuardingServices.pdf" TargetMode="External"/><Relationship Id="rId574" Type="http://schemas.openxmlformats.org/officeDocument/2006/relationships/hyperlink" Target="https://www.matatiele.gov.za/job/closing-register-road-signs/" TargetMode="External"/><Relationship Id="rId171" Type="http://schemas.openxmlformats.org/officeDocument/2006/relationships/hyperlink" Target="https://www.etenders.gov.za/home/Download/?blobName=2a373576-f2ec-495c-9c9a-1be810a93a18.pdf&amp;downloadedFileName=TNPA%202026%2006%200021%20114522%20RFP.pdf" TargetMode="External"/><Relationship Id="rId227" Type="http://schemas.openxmlformats.org/officeDocument/2006/relationships/hyperlink" Target="https://www.etenders.gov.za/home/Download/?blobName=263903ed-f2e3-48b5-958a-c812f205456d.pdf&amp;downloadedFileName=TMT-ECDoE-2627-SAN60-CL58%20EMIZAMOYETHU%20SSS.pdf" TargetMode="External"/><Relationship Id="rId269" Type="http://schemas.openxmlformats.org/officeDocument/2006/relationships/hyperlink" Target="https://www.etenders.gov.za/home/Download/?blobName=72e3066c-56c2-4177-9244-ea6bdcb1b7a0.pdf&amp;downloadedFileName=ER%2012505%20&amp;%20ERUC%200175.pdf" TargetMode="External"/><Relationship Id="rId434" Type="http://schemas.openxmlformats.org/officeDocument/2006/relationships/hyperlink" Target="https://www.winniemmlm.gov.za/wp-content/uploads/2025/10/Erratum-for-Supply-and-Implementation-of-Microsoft-Office-365-for-36-Months.pdf" TargetMode="External"/><Relationship Id="rId476" Type="http://schemas.openxmlformats.org/officeDocument/2006/relationships/hyperlink" Target="https://www.mnquma.gov.za/wp-content/uploads/2026/02/BID-NOTICE-PROVISION-OF-AUCTION-SERVICES-FOR-A-PERIOD-OF-THREE-YEARS.pdf" TargetMode="External"/><Relationship Id="rId33" Type="http://schemas.openxmlformats.org/officeDocument/2006/relationships/hyperlink" Target="https://www.etenders.gov.za/home/Download/?blobName=255c55d1-2cd4-4f6b-8e93-42d5aaf9f811.pdf&amp;downloadedFileName=Giyani%20Water%20Reticulation%20to%20Villages%20Phase%202A%20-%20Final%20advert%20.pdf" TargetMode="External"/><Relationship Id="rId129" Type="http://schemas.openxmlformats.org/officeDocument/2006/relationships/hyperlink" Target="https://www.etenders.gov.za/home/Download/?blobName=7d1b23dd-26b3-4839-beee-22354db8c24e.zip&amp;downloadedFileName=Financial%20analysis%20Returnables.zip" TargetMode="External"/><Relationship Id="rId280" Type="http://schemas.openxmlformats.org/officeDocument/2006/relationships/hyperlink" Target="https://www.etenders.gov.za/home/Download/?blobName=acb128b1-9815-42f2-b85e-537a71482358.pdf&amp;downloadedFileName=RFQ%2003%20OF%2006%20OF%202025%20%20ADVERT.pdf" TargetMode="External"/><Relationship Id="rId336" Type="http://schemas.openxmlformats.org/officeDocument/2006/relationships/hyperlink" Target="https://www.etenders.gov.za/home/Download/?blobName=f329ec1e-7fd4-4245-af1d-3b7843d6cfaf.docx&amp;downloadedFileName=RFQ%20number%20Tables%2001.docx" TargetMode="External"/><Relationship Id="rId501" Type="http://schemas.openxmlformats.org/officeDocument/2006/relationships/hyperlink" Target="https://greatkeilm.gov.za/web/2026/03/05/rfq-may02-2025-26-request-for-supply-and-delivery-of-banners/" TargetMode="External"/><Relationship Id="rId543" Type="http://schemas.openxmlformats.org/officeDocument/2006/relationships/hyperlink" Target="https://www.siu.org.za/wp-content/uploads/2021/11/PANEL-OF-CLOSE-ARMED-PROTECTION-SERVICE-RFP003-11-2021.pdf" TargetMode="External"/><Relationship Id="rId75" Type="http://schemas.openxmlformats.org/officeDocument/2006/relationships/hyperlink" Target="https://www.etenders.gov.za/home/Download/?blobName=9cb059b9-6c2f-4953-992a-820524df485c.pdf&amp;downloadedFileName=18-06-2026%20QUOTATION%20%20ADVERT%20-%20SUPPLY%20AND%20DELIVER%20OF%20TOOLS%20AND%20EQUIPMENT.pdf" TargetMode="External"/><Relationship Id="rId140" Type="http://schemas.openxmlformats.org/officeDocument/2006/relationships/hyperlink" Target="https://www.etenders.gov.za/home/Download/?blobName=110a1fbe-e927-4f38-a424-1ba13778c446.pdf&amp;downloadedFileName=HAULING%20OF%20MACHINERY,TRACTORS,LIGHT%20VEHICLES%20AND%20TRUCKS.pdf" TargetMode="External"/><Relationship Id="rId182" Type="http://schemas.openxmlformats.org/officeDocument/2006/relationships/hyperlink" Target="https://www.etenders.gov.za/home/Download/?blobName=cff6f7e5-4255-4344-8aa9-ecdc5ad0fdbc.pdf&amp;downloadedFileName=TNPA%202026%2006%200004%20114505%20RFP.pdf" TargetMode="External"/><Relationship Id="rId378" Type="http://schemas.openxmlformats.org/officeDocument/2006/relationships/hyperlink" Target="https://www.umzimvubu.gov.za/wp-content/uploads/2025/02/Ndindindi-BOQ.pdf" TargetMode="External"/><Relationship Id="rId403" Type="http://schemas.openxmlformats.org/officeDocument/2006/relationships/hyperlink" Target="https://www.umzimvubu.gov.za/wp-content/uploads/2025/02/Gravel-headwall-detail1.pdf" TargetMode="External"/><Relationship Id="rId585" Type="http://schemas.openxmlformats.org/officeDocument/2006/relationships/hyperlink" Target="https://www.matatiele.gov.za/?post_type=job_listing&amp;p=24277" TargetMode="External"/><Relationship Id="rId6" Type="http://schemas.openxmlformats.org/officeDocument/2006/relationships/hyperlink" Target="https://www.etenders.gov.za/home/Download/?blobName=ab8110d3-d32a-4e46-9514-4dade2be3b29.pdf&amp;downloadedFileName=Advert%20for%20Provision%20of%20internet%20services%20-%20End%20Point-%203%20Tier.pdf" TargetMode="External"/><Relationship Id="rId238" Type="http://schemas.openxmlformats.org/officeDocument/2006/relationships/hyperlink" Target="https://www.etenders.gov.za/home/Download/?blobName=b257de9e-75ea-4ca3-8563-689105441a7f.pdf&amp;downloadedFileName=PHUMLANI%20SSS%20UNPRICED%20BOQ.pdf" TargetMode="External"/><Relationship Id="rId445" Type="http://schemas.openxmlformats.org/officeDocument/2006/relationships/hyperlink" Target="https://www.mnquma.gov.za/wp-content/uploads/2026/04/AD-ZIXHOTYENI.pdf" TargetMode="External"/><Relationship Id="rId487" Type="http://schemas.openxmlformats.org/officeDocument/2006/relationships/hyperlink" Target="https://greatkeilm.gov.za/web/2026/06/05/rfq-bto-09-2025-26-request-for-re-advertisement-for-supply-and-delivery-of-alternative-energy/" TargetMode="External"/><Relationship Id="rId610" Type="http://schemas.openxmlformats.org/officeDocument/2006/relationships/hyperlink" Target="https://www.matatiele.gov.za/?post_type=job_listing&amp;p=24049" TargetMode="External"/><Relationship Id="rId291" Type="http://schemas.openxmlformats.org/officeDocument/2006/relationships/hyperlink" Target="https://www.etenders.gov.za/home/Download/?blobName=52e37a82-120e-4efb-9478-380bee1dc6d4.pdf&amp;downloadedFileName=TermsOfReference_V2%20-%20Photography.docx.pdf" TargetMode="External"/><Relationship Id="rId305" Type="http://schemas.openxmlformats.org/officeDocument/2006/relationships/hyperlink" Target="https://www.etenders.gov.za/home/Download/?blobName=d8c4c347-b3d9-4653-af4f-b0ca55fce05d.pdf&amp;downloadedFileName=Q2026%20043%20DOC%20.pdf" TargetMode="External"/><Relationship Id="rId347" Type="http://schemas.openxmlformats.org/officeDocument/2006/relationships/hyperlink" Target="https://www.ecdpw.gov.za/wp-content/tender-uploads/alf5-26-27-0004-term-contract-gaeneral-building.pdf" TargetMode="External"/><Relationship Id="rId512" Type="http://schemas.openxmlformats.org/officeDocument/2006/relationships/hyperlink" Target="https://www.siu.org.za/wp-content/uploads/2024/12/BID-DOCUMENT-_DATA-WAREHOUSE-SPEC.pdf" TargetMode="External"/><Relationship Id="rId44" Type="http://schemas.openxmlformats.org/officeDocument/2006/relationships/hyperlink" Target="https://www.etenders.gov.za/home/Download/?blobName=db78cc9e-5b30-4db1-8fc8-20825ca45efc.pdf&amp;downloadedFileName=ADVERT%20SCM%2037-2026%20LEGAL%20SERVICES.pdf" TargetMode="External"/><Relationship Id="rId86" Type="http://schemas.openxmlformats.org/officeDocument/2006/relationships/hyperlink" Target="https://www.etenders.gov.za/home/Download/?blobName=174e48b4-df7a-4bdf-a3ba-2138da0911ba.docx&amp;downloadedFileName=ADVERT%20FOR%20Grass%20Cutting%20Equipment-43.docx" TargetMode="External"/><Relationship Id="rId151" Type="http://schemas.openxmlformats.org/officeDocument/2006/relationships/hyperlink" Target="https://www.etenders.gov.za/home/Download/?blobName=be55df79-ec5a-4444-b756-bcc731e90357.pdf&amp;downloadedFileName=277Q-2025-26%20-%20Final%20tender%20document%20advert%201-7.pdf" TargetMode="External"/><Relationship Id="rId389" Type="http://schemas.openxmlformats.org/officeDocument/2006/relationships/hyperlink" Target="https://www.umzimvubu.gov.za/wp-content/uploads/2025/02/Gravel-Road-S-W-Pipe-Backfill-shallow-detail3-1.pdf" TargetMode="External"/><Relationship Id="rId554" Type="http://schemas.openxmlformats.org/officeDocument/2006/relationships/hyperlink" Target="https://www.siu.org.za/wp-content/uploads/2018/07/Tender-Advert-OFFICE-PACE-PLK-DBN_Final_1.pdf" TargetMode="External"/><Relationship Id="rId596" Type="http://schemas.openxmlformats.org/officeDocument/2006/relationships/hyperlink" Target="https://www.matatiele.gov.za/?post_type=job_listing&amp;p=18021" TargetMode="External"/><Relationship Id="rId193" Type="http://schemas.openxmlformats.org/officeDocument/2006/relationships/hyperlink" Target="https://www.etenders.gov.za/home/Download/?blobName=42a99c7a-a1eb-4a64-ba73-1e86ae918216.pdf&amp;downloadedFileName=TNPA%202026%2006%200020%20114521%20RFP.pdf" TargetMode="External"/><Relationship Id="rId207" Type="http://schemas.openxmlformats.org/officeDocument/2006/relationships/hyperlink" Target="https://www.etenders.gov.za/home/Download/?blobName=50733591-7ebc-414f-8163-43cb07aea2c5.xlsx&amp;downloadedFileName=Annexure-A1-%20Pricing%20and%20Rates_v1.xlsx" TargetMode="External"/><Relationship Id="rId249" Type="http://schemas.openxmlformats.org/officeDocument/2006/relationships/hyperlink" Target="https://www.etenders.gov.za/home/Download/?blobName=4df7ff04-d187-4d4d-96f4-46058139eaaa.pdf&amp;downloadedFileName=RFP.pdf" TargetMode="External"/><Relationship Id="rId414" Type="http://schemas.openxmlformats.org/officeDocument/2006/relationships/hyperlink" Target="https://www.umzimvubu.gov.za/wp-content/uploads/2025/02/Cross-section_Concrete23.pdf" TargetMode="External"/><Relationship Id="rId456" Type="http://schemas.openxmlformats.org/officeDocument/2006/relationships/hyperlink" Target="https://www.mnquma.gov.za/wp-content/uploads/2026/04/UPGRADING-OF-CENTANE-Bid-Notice.pdf" TargetMode="External"/><Relationship Id="rId498" Type="http://schemas.openxmlformats.org/officeDocument/2006/relationships/hyperlink" Target="https://greatkeilm.gov.za/web/2026/04/10/rfq-comm-04-2025-26-request-for-re-advertisement-for-supply-and-delivery-of-protective-clothing-for-community-services-staff/" TargetMode="External"/><Relationship Id="rId13" Type="http://schemas.openxmlformats.org/officeDocument/2006/relationships/hyperlink" Target="https://www.etenders.gov.za/home/Download/?blobName=eccdba60-fcf4-4351-a07e-a80a18be2676.pdf&amp;downloadedFileName=Giyani%20Water%20Reticulation%20to%20Villages%20Phase%202A%20-%20Final%20advert%20.pdf" TargetMode="External"/><Relationship Id="rId109" Type="http://schemas.openxmlformats.org/officeDocument/2006/relationships/hyperlink" Target="https://www.etenders.gov.za/home/Download/?blobName=8a81b351-e5c5-462c-8e2d-3ecde05a4117.pdf&amp;downloadedFileName=RFQ%20BB%2039%20SUPPLY%20AND%20DELIVERY%20OF%20RAM%20MODULES%20TO%20THE%20OUDTSHOORN%20CAMPUS%20(1).pdf" TargetMode="External"/><Relationship Id="rId260" Type="http://schemas.openxmlformats.org/officeDocument/2006/relationships/hyperlink" Target="https://www.etenders.gov.za/home/Download/?blobName=e11367d1-9f17-42d8-a14d-1c1435c067ca.doc&amp;downloadedFileName=NEC3%20-Supply%20and%20delivery%20of%20low%20voltage%20motors.doc" TargetMode="External"/><Relationship Id="rId316" Type="http://schemas.openxmlformats.org/officeDocument/2006/relationships/hyperlink" Target="https://www.etenders.gov.za/home/Download/?blobName=2a32a3d0-03f5-4212-b6c1-7c270928c703.pdf&amp;downloadedFileName=MSI61-2026%20-%20Provision%20of%20borehole%20Drilling%20and%20Construction.pdf" TargetMode="External"/><Relationship Id="rId523" Type="http://schemas.openxmlformats.org/officeDocument/2006/relationships/hyperlink" Target="https://www.siu.org.za/wp-content/uploads/2024/02/FINAL-BID-DOCUMENT-Market-Data-Analytics-MDA-and-Data-Warehouse-DW-Date-Change.pdf" TargetMode="External"/><Relationship Id="rId55" Type="http://schemas.openxmlformats.org/officeDocument/2006/relationships/hyperlink" Target="https://www.etenders.gov.za/home/Download/?blobName=af53453d-9e8c-4948-84a6-03ff6c3d576d.pdf&amp;downloadedFileName=AW2025.26.14%20-%20Tender%20document%20%20HV%20Electrical.pdf" TargetMode="External"/><Relationship Id="rId97" Type="http://schemas.openxmlformats.org/officeDocument/2006/relationships/hyperlink" Target="https://www.etenders.gov.za/home/Download/?blobName=b908ff9b-3719-43cb-b62f-65066fca4bf0.pdf&amp;downloadedFileName=SBD%206.1%20IN%20TERMS%20OF%20PPR2022%20(80-20).pdf" TargetMode="External"/><Relationship Id="rId120" Type="http://schemas.openxmlformats.org/officeDocument/2006/relationships/hyperlink" Target="https://www.etenders.gov.za/home/Download/?blobName=67ccaf1c-06fe-43f9-bfb8-63d6b0bfcde3.pdf&amp;downloadedFileName=Tender_292S%20-%20Notice%201.pdf" TargetMode="External"/><Relationship Id="rId358" Type="http://schemas.openxmlformats.org/officeDocument/2006/relationships/hyperlink" Target="https://www.ntabankulu.gov.za/2026/05/26/closing-register-for-construction-of-rwantsana-community-hall/" TargetMode="External"/><Relationship Id="rId565" Type="http://schemas.openxmlformats.org/officeDocument/2006/relationships/hyperlink" Target="https://www.matatiele.gov.za/job/advert-for-printing-and-mailing-for-consumer-debtors-78/" TargetMode="External"/><Relationship Id="rId162" Type="http://schemas.openxmlformats.org/officeDocument/2006/relationships/hyperlink" Target="https://www.etenders.gov.za/home/Download/?blobName=4527621c-4a88-47c0-90bb-9e5484a06a6e.pdf&amp;downloadedFileName=TNPA%202026%2006%200012%20114513%20RFP.pdf" TargetMode="External"/><Relationship Id="rId218" Type="http://schemas.openxmlformats.org/officeDocument/2006/relationships/hyperlink" Target="https://www.etenders.gov.za/home/Download/?blobName=c32069a3-75a1-46e7-ac02-ed77835d66d5.pdf&amp;downloadedFileName=DFFE-RFQ002(26-27)%20IT%20HELPDESK.pdf" TargetMode="External"/><Relationship Id="rId425" Type="http://schemas.openxmlformats.org/officeDocument/2006/relationships/hyperlink" Target="https://www.umzimvubu.gov.za/wp-content/uploads/2025/02/Capture2.jpg" TargetMode="External"/><Relationship Id="rId467" Type="http://schemas.openxmlformats.org/officeDocument/2006/relationships/hyperlink" Target="https://www.mnquma.gov.za/wp-content/uploads/2026/03/XILINXA-ACCESS.pdf" TargetMode="External"/><Relationship Id="rId271" Type="http://schemas.openxmlformats.org/officeDocument/2006/relationships/hyperlink" Target="https://www.etenders.gov.za/home/Download/?blobName=fcb4e6d0-09ff-472a-81a8-61b6f511f23e.pdf&amp;downloadedFileName=RQ-019892.pdf" TargetMode="External"/><Relationship Id="rId24" Type="http://schemas.openxmlformats.org/officeDocument/2006/relationships/hyperlink" Target="https://www.etenders.gov.za/home/Download/?blobName=f0baf79d-6859-49c7-8e23-850f12c7901b.pdf&amp;downloadedFileName=Giyani%20Water%20Reticulation%20to%20Villages%20Phase%202A%20-%20Final%20advert%20.pdf" TargetMode="External"/><Relationship Id="rId66" Type="http://schemas.openxmlformats.org/officeDocument/2006/relationships/hyperlink" Target="https://www.etenders.gov.za/home/Download/?blobName=c3afb3ca-1e61-4596-bb1f-03cb54bbca4c.pdf&amp;downloadedFileName=Tender%2005%202026%20-%20ACQUISITION%20OF%20OFFICE%20BUILDINGS%20FOR%20UMEDA.pdf" TargetMode="External"/><Relationship Id="rId131" Type="http://schemas.openxmlformats.org/officeDocument/2006/relationships/hyperlink" Target="https://www.etenders.gov.za/home/Download/?blobName=8eb594db-090d-4fdc-9656-48584e299e15.pdf&amp;downloadedFileName=TENDER%20DOCUMENT%20FOR%20PANEL%20OF%20BUILDING%20CONTRACTORS%20FOR%20A%20PERIOD%20OF%20THREE%20(3)%20YEARS.pdf" TargetMode="External"/><Relationship Id="rId327" Type="http://schemas.openxmlformats.org/officeDocument/2006/relationships/hyperlink" Target="https://www.etenders.gov.za/home/Download/?blobName=c23ef098-c79f-4792-aa66-2e1a658429e6.pdf&amp;downloadedFileName=RFQJW117TN26%20-%20SERVICING%20OF%20FIRE%20EXTINGUISHERS%20AND%20HOSE%20REELS.pdf" TargetMode="External"/><Relationship Id="rId369" Type="http://schemas.openxmlformats.org/officeDocument/2006/relationships/hyperlink" Target="https://www.umzimvubu.gov.za/wp-content/uploads/2025/02/Tender-Document.pdf" TargetMode="External"/><Relationship Id="rId534" Type="http://schemas.openxmlformats.org/officeDocument/2006/relationships/hyperlink" Target="https://www.siu.org.za/wp-content/uploads/2022/09/PANEL-OF-EXPERTS-5-ARCHITECTS.docx.pdf" TargetMode="External"/><Relationship Id="rId576" Type="http://schemas.openxmlformats.org/officeDocument/2006/relationships/hyperlink" Target="https://www.matatiele.gov.za/job/closing-register-uniform-for-admin-council-staff-53-units/" TargetMode="External"/><Relationship Id="rId173" Type="http://schemas.openxmlformats.org/officeDocument/2006/relationships/hyperlink" Target="https://www.etenders.gov.za/home/Download/?blobName=6ca363c3-34f1-46ae-9501-18dd1daefd32.pdf&amp;downloadedFileName=TNPA%202026%2006%200022%20114523%20RFP.pdf" TargetMode="External"/><Relationship Id="rId229" Type="http://schemas.openxmlformats.org/officeDocument/2006/relationships/hyperlink" Target="https://www.etenders.gov.za/home/Download/?blobName=981149f9-2748-4823-82e7-dacb86affe05.pdf&amp;downloadedFileName=ECLB%20BID%20NO.%20006-206026-27%20-LEASE%20OF%20OFFICE%20ACCOMMODATION%20FOR%20THE%20HEAD%20OFFICE%20IN%20EAST%20LONDON%20-FINAL.pdf" TargetMode="External"/><Relationship Id="rId380" Type="http://schemas.openxmlformats.org/officeDocument/2006/relationships/hyperlink" Target="https://www.umzimvubu.gov.za/wp-content/uploads/2025/02/maphakama-Tender-Document-1.pdf" TargetMode="External"/><Relationship Id="rId436" Type="http://schemas.openxmlformats.org/officeDocument/2006/relationships/hyperlink" Target="https://www.mnquma.gov.za/wp-content/uploads/2026/05/BIDMFM.pdf" TargetMode="External"/><Relationship Id="rId601" Type="http://schemas.openxmlformats.org/officeDocument/2006/relationships/hyperlink" Target="https://www.matatiele.gov.za/?post_type=job_listing&amp;p=18010" TargetMode="External"/><Relationship Id="rId240" Type="http://schemas.openxmlformats.org/officeDocument/2006/relationships/hyperlink" Target="https://www.etenders.gov.za/home/Download/?blobName=e8429d94-c04b-4560-aefd-a1bf95254c83.pdf&amp;downloadedFileName=TMT-ECDoE-2526-Flush-CL6R2-MAQOMA%20PS.pdf" TargetMode="External"/><Relationship Id="rId478" Type="http://schemas.openxmlformats.org/officeDocument/2006/relationships/hyperlink" Target="https://www.mnquma.gov.za/wp-content/uploads/2026/02/BID-NOTICE-TRAINING-OF-MUNICIPAL-OFFICIALS-ON-PERFORMANCE-MANAGEMENT-7.pdf" TargetMode="External"/><Relationship Id="rId35" Type="http://schemas.openxmlformats.org/officeDocument/2006/relationships/hyperlink" Target="https://www.etenders.gov.za/home/Download/?blobName=da172950-080c-490d-93d1-fb68d9e3618f.pdf&amp;downloadedFileName=Advert%20for%20Welding%20Machines%20and%20Simulators.pdf" TargetMode="External"/><Relationship Id="rId77" Type="http://schemas.openxmlformats.org/officeDocument/2006/relationships/hyperlink" Target="https://www.etenders.gov.za/home/Download/?blobName=21f5f796-d784-4e3b-94d5-0894247ba9e0.pdf&amp;downloadedFileName=1.%20A%20Invitation%20to%20Bidders_RFQ%20002-2026.pdf" TargetMode="External"/><Relationship Id="rId100" Type="http://schemas.openxmlformats.org/officeDocument/2006/relationships/hyperlink" Target="https://www.etenders.gov.za/home/Download/?blobName=c229d966-88a3-420f-82ee-9d610447b368.pdf&amp;downloadedFileName=RFP%20VoIP%20Solution%20-%20MRCC%20-%20RFI-003-2026-27.pdf" TargetMode="External"/><Relationship Id="rId282" Type="http://schemas.openxmlformats.org/officeDocument/2006/relationships/hyperlink" Target="https://www.etenders.gov.za/home/Download/?blobName=7b9c5e84-d85b-4f35-a7c3-f62a7edf58e1.pdf&amp;downloadedFileName=Q2-2026-27%20APPOINTMENT%20OF%20SERVICE%20PROVIDER%20FOR%20ARCGIS%20PRO%20STANDARD%20&amp;%20ADVANCE%20TRAINING%20-%20TENDER%20DOCUMENT.pdf" TargetMode="External"/><Relationship Id="rId338" Type="http://schemas.openxmlformats.org/officeDocument/2006/relationships/hyperlink" Target="https://www.ecdpw.gov.za/wp-content/tender-uploads/department-of-agriculture--mthatha-cbd--final-0035.pdf" TargetMode="External"/><Relationship Id="rId503" Type="http://schemas.openxmlformats.org/officeDocument/2006/relationships/hyperlink" Target="https://greatkeilm.gov.za/web/2026/02/04/rfq-corp-02-2025-26-request-for-supply-delivery-and-assembling-of-a-council-chamber-furniture/" TargetMode="External"/><Relationship Id="rId545" Type="http://schemas.openxmlformats.org/officeDocument/2006/relationships/hyperlink" Target="https://www.siu.org.za/wp-content/uploads/2021/07/Bid-document-Organizational-Culture.pdf" TargetMode="External"/><Relationship Id="rId587" Type="http://schemas.openxmlformats.org/officeDocument/2006/relationships/hyperlink" Target="https://www.matatiele.gov.za/?post_type=job_listing&amp;p=24240" TargetMode="External"/><Relationship Id="rId8" Type="http://schemas.openxmlformats.org/officeDocument/2006/relationships/hyperlink" Target="https://www.etenders.gov.za/home/Download/?blobName=ff75eedc-33dd-4422-ad80-c8b5c3edd20d.pdf&amp;downloadedFileName=Giyani%20Water%20Reticulation%20to%20Villages%20Phase%202A%20-%20Final%20advert%20.pdf" TargetMode="External"/><Relationship Id="rId142" Type="http://schemas.openxmlformats.org/officeDocument/2006/relationships/hyperlink" Target="https://www.etenders.gov.za/home/Download/?blobName=85d3d1ba-e15f-4f0c-b36c-f4b8ebe8d641.pdf&amp;downloadedFileName=REPAIR%20OF%20HEAVY%20MACHINERY%20AND%20TRACTORS.pdf" TargetMode="External"/><Relationship Id="rId184" Type="http://schemas.openxmlformats.org/officeDocument/2006/relationships/hyperlink" Target="https://www.etenders.gov.za/home/Download/?blobName=eff89df7-eee8-47c4-a3e9-8a42ac04e889.pdf&amp;downloadedFileName=TNPA%202026%2006%200005%20114506%20RFP.pdf" TargetMode="External"/><Relationship Id="rId391" Type="http://schemas.openxmlformats.org/officeDocument/2006/relationships/hyperlink" Target="https://www.umzimvubu.gov.za/wp-content/uploads/2025/02/Gravel-Road-S-W-Pipe-Backfill-shallow-detail1.pdf" TargetMode="External"/><Relationship Id="rId405" Type="http://schemas.openxmlformats.org/officeDocument/2006/relationships/hyperlink" Target="https://www.umzimvubu.gov.za/wp-content/uploads/2025/02/FINAL-BOQ-MANXIWENI-AR.pdf" TargetMode="External"/><Relationship Id="rId447" Type="http://schemas.openxmlformats.org/officeDocument/2006/relationships/hyperlink" Target="https://www.mnquma.gov.za/wp-content/uploads/2026/04/AD-STORM-WATER-MASTERPLAN.pdf" TargetMode="External"/><Relationship Id="rId251" Type="http://schemas.openxmlformats.org/officeDocument/2006/relationships/hyperlink" Target="https://www.etenders.gov.za/home/Download/?blobName=e3c62324-ee82-4161-9e37-dab88f4251ed.pdf&amp;downloadedFileName=1.%20Tender%20Doc%20-%20dtic%2002.26-27%20Maintenance%20of%20HPE%20Servers.pdf" TargetMode="External"/><Relationship Id="rId489" Type="http://schemas.openxmlformats.org/officeDocument/2006/relationships/hyperlink" Target="https://greatkeilm.gov.za/web/2026/05/13/tender-tech-comm-21-2025-26-re-advertisement-of-supply-delivery-implementation-and-commissioning-of-server-infrastructure-for-a-period-of-three-years/" TargetMode="External"/><Relationship Id="rId46" Type="http://schemas.openxmlformats.org/officeDocument/2006/relationships/hyperlink" Target="https://www.etenders.gov.za/home/Download/?blobName=28add253-6f63-4c27-b220-669bbc8570b7.zip&amp;downloadedFileName=BID%20DOCUMENT.zip" TargetMode="External"/><Relationship Id="rId293" Type="http://schemas.openxmlformats.org/officeDocument/2006/relationships/hyperlink" Target="https://www.etenders.gov.za/home/Download/?blobName=0bc3b41c-4a2a-4bf0-a939-292487566897.pdf&amp;downloadedFileName=Specification%20to%20appoint%20OHS%20External%20Audit%20(2026).pdf" TargetMode="External"/><Relationship Id="rId307" Type="http://schemas.openxmlformats.org/officeDocument/2006/relationships/hyperlink" Target="https://www.etenders.gov.za/home/Download/?blobName=43b0e267-6805-41f3-90f8-99502717860a.pdf&amp;downloadedFileName=Q2026%20047%20DOC.pdf" TargetMode="External"/><Relationship Id="rId349" Type="http://schemas.openxmlformats.org/officeDocument/2006/relationships/hyperlink" Target="https://www.ecdpw.gov.za/wp-content/tender-uploads/alf5-26-27-0002-term-contract-electical.pdf" TargetMode="External"/><Relationship Id="rId514" Type="http://schemas.openxmlformats.org/officeDocument/2006/relationships/hyperlink" Target="https://www.siu.org.za/wp-content/uploads/2024/12/RE-ISSUE-REQUEST-FOR-QUOTATION-FOR-THE-PANEL-OF-SERVICE-PROVIDERS-FOR-PLUMBING-ELECTRICAL-AND-GENERAL-BUILDING.pdf" TargetMode="External"/><Relationship Id="rId556" Type="http://schemas.openxmlformats.org/officeDocument/2006/relationships/hyperlink" Target="https://www.siu.org.za/wp-content/uploads/2018/06/RFP019-12-2017_010-10-2017.pdf" TargetMode="External"/><Relationship Id="rId88" Type="http://schemas.openxmlformats.org/officeDocument/2006/relationships/hyperlink" Target="https://www.etenders.gov.za/home/Download/?blobName=7892b448-fb2c-4aa3-8b98-ea628da5ab07.pdf&amp;downloadedFileName=RFQ%20Proceedings%20Kruger%202026%20v01.pdf" TargetMode="External"/><Relationship Id="rId111" Type="http://schemas.openxmlformats.org/officeDocument/2006/relationships/hyperlink" Target="https://www.etenders.gov.za/home/Download/?blobName=166ee697-f684-41df-bc5f-5a0f27590462.pdf&amp;downloadedFileName=RFQ%20%20Appointment%20of%20Service%20Provider%20for%20Accredited%20Training%20to%20Landcare%20Contractors.pdf" TargetMode="External"/><Relationship Id="rId153" Type="http://schemas.openxmlformats.org/officeDocument/2006/relationships/hyperlink" Target="https://www.etenders.gov.za/home/Download/?blobName=bcc1af99-3318-4a14-a7f8-0acd92a0447c.pdf&amp;downloadedFileName=Annexure%203%20APPENDICES%20-%20PRASA%20TENDER%20RETURNABLE%20FORMS%20(SCM%20Circular%20Number%2002%20of%20202526)%20Corridor%201C%20(003).pdf" TargetMode="External"/><Relationship Id="rId195" Type="http://schemas.openxmlformats.org/officeDocument/2006/relationships/hyperlink" Target="https://www.etenders.gov.za/home/Download/?blobName=ed507b41-40af-4dc0-9442-4e2da337501e.pdf&amp;downloadedFileName=SIGNED%20INVITATION%20TO%20TENDER%20AS%20AT%2010%20JUNE%202026.pdf" TargetMode="External"/><Relationship Id="rId209" Type="http://schemas.openxmlformats.org/officeDocument/2006/relationships/hyperlink" Target="https://www.etenders.gov.za/home/Download/?blobName=3d24287f-a769-4679-a9e5-469c0471a080.pdf&amp;downloadedFileName=NDoH%2011%202026-2027.pdf" TargetMode="External"/><Relationship Id="rId360" Type="http://schemas.openxmlformats.org/officeDocument/2006/relationships/hyperlink" Target="https://www.umzimvubu.gov.za/wp-content/uploads/2025/02/WEBSITE-HOSTING-AND-MAINTENANCE-SERVICES-FOR-UMZIMVUBU-LOCAL-MUNICIPALITY-FOR-A-PERIOD-OF-3-YEARS-1.pdf" TargetMode="External"/><Relationship Id="rId416" Type="http://schemas.openxmlformats.org/officeDocument/2006/relationships/hyperlink" Target="https://www.umzimvubu.gov.za/wp-content/uploads/2025/02/Cross-section_Concrete21.pdf" TargetMode="External"/><Relationship Id="rId598" Type="http://schemas.openxmlformats.org/officeDocument/2006/relationships/hyperlink" Target="https://www.matatiele.gov.za/?post_type=job_listing&amp;p=18017" TargetMode="External"/><Relationship Id="rId220" Type="http://schemas.openxmlformats.org/officeDocument/2006/relationships/hyperlink" Target="https://www.etenders.gov.za/home/Download/?blobName=bb5065f9-98c9-40e6-ae54-ac1eb0eb9cb8.pdf&amp;downloadedFileName=TMT-ECDoE-2627-SAN60-CL49%20FAIRVIEW%20JSS.pdf" TargetMode="External"/><Relationship Id="rId458" Type="http://schemas.openxmlformats.org/officeDocument/2006/relationships/hyperlink" Target="https://www.mnquma.gov.za/wp-content/uploads/2026/04/REFURBISHMENT-OF-NGQAMAKWE.pdf" TargetMode="External"/><Relationship Id="rId15" Type="http://schemas.openxmlformats.org/officeDocument/2006/relationships/hyperlink" Target="https://www.etenders.gov.za/home/Download/?blobName=280152a9-4d6c-4b1c-9c80-d82bffab86c5.pdf&amp;downloadedFileName=Giyani%20Water%20Reticulation%20to%20Villages%20Phase%202A%20-%20Final%20advert%20.pdf" TargetMode="External"/><Relationship Id="rId57" Type="http://schemas.openxmlformats.org/officeDocument/2006/relationships/hyperlink" Target="https://www.etenders.gov.za/home/Download/?blobName=4b71aec2-d246-4f47-a235-111becf4b5d6.pdf&amp;downloadedFileName=BID%20DOCUMENT%20SECURITY%20SERVICES%202026..pdf" TargetMode="External"/><Relationship Id="rId262" Type="http://schemas.openxmlformats.org/officeDocument/2006/relationships/hyperlink" Target="https://www.etenders.gov.za/home/Download/?blobName=0a795c5e-6b56-474b-b156-99ba22308e95.pdf&amp;downloadedFileName=Bid%20Invitation%20for%20Construction%20of%20Tsweleni%20AR%20and%20Gxwaleni%20Concrete%20Slab.pdf" TargetMode="External"/><Relationship Id="rId318" Type="http://schemas.openxmlformats.org/officeDocument/2006/relationships/hyperlink" Target="https://www.etenders.gov.za/home/Download/?blobName=784558d4-87f2-44b5-90bb-3f266c41b37e.pdf&amp;downloadedFileName=Infection%20Prvention%20and%20control%2019.06%202026%20TN%20(4).pdf" TargetMode="External"/><Relationship Id="rId525" Type="http://schemas.openxmlformats.org/officeDocument/2006/relationships/hyperlink" Target="https://www.siu.org.za/wp-content/uploads/2024/02/BID-DOCUMENT-GRC-SOFTWARE-SOLUTION-002.pdf" TargetMode="External"/><Relationship Id="rId567" Type="http://schemas.openxmlformats.org/officeDocument/2006/relationships/hyperlink" Target="https://www.matatiele.gov.za/job/bid-documents-installation-of-vehicle-accessories-on-three-3-x-single-cabs-electrical-services-bakkies/" TargetMode="External"/><Relationship Id="rId99" Type="http://schemas.openxmlformats.org/officeDocument/2006/relationships/hyperlink" Target="https://www.etenders.gov.za/home/Download/?blobName=696e90eb-168d-4e48-ad42-28d1527bba47.pdf&amp;downloadedFileName=MTN%20Link%20Upgrade%20TOR_RFI_002_2026_27.pdf" TargetMode="External"/><Relationship Id="rId122" Type="http://schemas.openxmlformats.org/officeDocument/2006/relationships/hyperlink" Target="https://www.etenders.gov.za/home/Download/?blobName=fc8394ad-2070-470e-aef2-08f00aad5a36.pdf&amp;downloadedFileName=240-68099512%20Form%20A_Cat%203_%20Fibre%20Optic%20Installation%20and%20Repair.pdf" TargetMode="External"/><Relationship Id="rId164" Type="http://schemas.openxmlformats.org/officeDocument/2006/relationships/hyperlink" Target="https://www.etenders.gov.za/home/Download/?blobName=d08e93b5-cba9-47b6-b3a9-08325b7fe5fe.pdf&amp;downloadedFileName=TNPA%202026%2006%200013%20114514%20RFP.pdf" TargetMode="External"/><Relationship Id="rId371" Type="http://schemas.openxmlformats.org/officeDocument/2006/relationships/hyperlink" Target="https://www.umzimvubu.gov.za/wp-content/uploads/2025/02/Sodladla-Contract-Section-2.pdf" TargetMode="External"/><Relationship Id="rId427" Type="http://schemas.openxmlformats.org/officeDocument/2006/relationships/hyperlink" Target="https://www.umzimvubu.gov.za/wp-content/uploads/2025/02/Capture.jpg" TargetMode="External"/><Relationship Id="rId469" Type="http://schemas.openxmlformats.org/officeDocument/2006/relationships/hyperlink" Target="https://www.mnquma.gov.za/wp-content/uploads/2026/03/ads-QEQE.pdf" TargetMode="External"/><Relationship Id="rId26" Type="http://schemas.openxmlformats.org/officeDocument/2006/relationships/hyperlink" Target="https://www.etenders.gov.za/home/Download/?blobName=e7285443-918c-48a7-9152-1fa3730a23d0.docx&amp;downloadedFileName=2.%20SBD%20Forms.docx" TargetMode="External"/><Relationship Id="rId231" Type="http://schemas.openxmlformats.org/officeDocument/2006/relationships/hyperlink" Target="https://www.etenders.gov.za/home/Download/?blobName=f12e9d9b-ad3e-4498-a70f-433e76a59d72.pdf&amp;downloadedFileName=TMT-ECDoE-2627-SAN60-CL38%20DAZA%20JSS.pdf" TargetMode="External"/><Relationship Id="rId273" Type="http://schemas.openxmlformats.org/officeDocument/2006/relationships/hyperlink" Target="https://www.etenders.gov.za/home/Download/?blobName=583d9b88-038e-4444-a24a-a106db77cbad.pdf&amp;downloadedFileName=Invitation%20to%20Tender%20(ITT)%20Lethabo%20PS.pdf" TargetMode="External"/><Relationship Id="rId329" Type="http://schemas.openxmlformats.org/officeDocument/2006/relationships/hyperlink" Target="https://www.etenders.gov.za/home/Download/?blobName=121d8d04-35d6-482f-b6c4-c5b49a366d61.pdf&amp;downloadedFileName=RFQJW0074SM2026%20%E2%80%93%20Service%20of%20meter%20test%20equipment%20at%20Flow%20Lab,%20Ffennell%20Road%20Depot.pdf" TargetMode="External"/><Relationship Id="rId480" Type="http://schemas.openxmlformats.org/officeDocument/2006/relationships/hyperlink" Target="https://www.mnquma.gov.za/wp-content/uploads/2026/02/AD-LIBRARY.pdf" TargetMode="External"/><Relationship Id="rId536" Type="http://schemas.openxmlformats.org/officeDocument/2006/relationships/hyperlink" Target="https://www.siu.org.za/wp-content/uploads/2022/09/APPOINTMENT-OF-PANEL-OF-EXPERTS-PROCUREMENT-INVESTIGATION-SPECIALIST-POE.14.pdf" TargetMode="External"/><Relationship Id="rId68" Type="http://schemas.openxmlformats.org/officeDocument/2006/relationships/hyperlink" Target="https://www.etenders.gov.za/home/Download/?blobName=fe87543e-10d0-4702-a755-986d2246fdb2.pdf&amp;downloadedFileName=Robertson%20Armed%20Responses.pdf" TargetMode="External"/><Relationship Id="rId133" Type="http://schemas.openxmlformats.org/officeDocument/2006/relationships/hyperlink" Target="https://www.etenders.gov.za/home/Download/?blobName=f5eac916-143e-45fd-9796-571d1ba40c70.pdf&amp;downloadedFileName=2026_022_HEAD%20OFFICE%20HVAC%20MAINTENANCE%20CONTRACT%20FOR%20FIVE%20(5)%20YEARS.pdf" TargetMode="External"/><Relationship Id="rId175" Type="http://schemas.openxmlformats.org/officeDocument/2006/relationships/hyperlink" Target="https://www.etenders.gov.za/home/Download/?blobName=9824e581-e255-4273-b494-570491accb04.pdf&amp;downloadedFileName=TNPA%202026%2006%200023%20114524%20RFP.pdf" TargetMode="External"/><Relationship Id="rId340" Type="http://schemas.openxmlformats.org/officeDocument/2006/relationships/hyperlink" Target="https://www.ecdpw.gov.za/wp-content/tender-uploads/scmu5-2627-0029_-tafalofefe-hospital--water-and-wastewater-treatment-works-.pdf" TargetMode="External"/><Relationship Id="rId578" Type="http://schemas.openxmlformats.org/officeDocument/2006/relationships/hyperlink" Target="https://www.matatiele.gov.za/job/closing-register-for-provision-of-active-directory-audit-software/" TargetMode="External"/><Relationship Id="rId200" Type="http://schemas.openxmlformats.org/officeDocument/2006/relationships/hyperlink" Target="https://www.etenders.gov.za/home/Download/?blobName=647c0f9a-9e11-46ab-973c-b6e5d337b4eb.pdf&amp;downloadedFileName=APPOINTING%20OF%20PANEL%20%20DISCONNECTION%20OF%20ELECTRICAL%20ILLEGAL%20CONNECTIONS%20FOR%20THE%20PERIOD%20OF%2036%20MONTHS%2018%20JUNE%202026%20(15).pdf" TargetMode="External"/><Relationship Id="rId382" Type="http://schemas.openxmlformats.org/officeDocument/2006/relationships/hyperlink" Target="https://www.umzimvubu.gov.za/wp-content/uploads/2025/02/Maphakama-BOQ.pdf" TargetMode="External"/><Relationship Id="rId438" Type="http://schemas.openxmlformats.org/officeDocument/2006/relationships/hyperlink" Target="https://www.mnquma.gov.za/wp-content/uploads/2026/05/Bid-Notice-Supply-and-development-of-Expected-Credit-Loss-ECL-in-accodance-to-GRAP-104-Revised-for-a-period-of-one-year.pdf" TargetMode="External"/><Relationship Id="rId603" Type="http://schemas.openxmlformats.org/officeDocument/2006/relationships/hyperlink" Target="https://www.matatiele.gov.za/job/closing-register-for-cleaning-and-refuse-removal-for-itsokolele/" TargetMode="External"/><Relationship Id="rId242" Type="http://schemas.openxmlformats.org/officeDocument/2006/relationships/hyperlink" Target="https://www.etenders.gov.za/home/Download/?blobName=7b0b89d9-20e2-4fa4-a1ac-3d32d73f7ef3.pdf&amp;downloadedFileName=ZANOKHANYO%20PS%20UNPRICED%20BOQ.pdf" TargetMode="External"/><Relationship Id="rId284" Type="http://schemas.openxmlformats.org/officeDocument/2006/relationships/hyperlink" Target="https://www.etenders.gov.za/home/Download/?blobName=cc0e5f1c-a563-408e-ac50-28628183d756.pdf&amp;downloadedFileName=CIDB%20Bid%20document%20Template%20RFQ%208444%20Maitenance%20of%20Fire%20systems%20for%20period%20of%2036%20months_reviewedDM.pdf" TargetMode="External"/><Relationship Id="rId491" Type="http://schemas.openxmlformats.org/officeDocument/2006/relationships/hyperlink" Target="https://greatkeilm.gov.za/web/2026/05/13/tech-qs-01-2025-26-provision-for-a-panel-of-ten-10-professional-quantity-surveyors-for-a-period-of-three-3-years/" TargetMode="External"/><Relationship Id="rId505" Type="http://schemas.openxmlformats.org/officeDocument/2006/relationships/hyperlink" Target="https://www.labour.gov.za/Tenders/Available-Tenders/Lists/Open%20Tenders/Attachments/538/DAY%20TO%20DAY%20AND%20PEST%20CONTROL%20TENDER%20.pdf" TargetMode="External"/><Relationship Id="rId37" Type="http://schemas.openxmlformats.org/officeDocument/2006/relationships/hyperlink" Target="https://www.etenders.gov.za/home/Download/?blobName=4e019544-f691-482d-b07b-694eae6b7fba.pdf&amp;downloadedFileName=SASSA%2003-26-FAC-NW%20Leasing%20of%20office%20accomodation%20for%20SASSA%20North%20West%20Region%20for%20a%20%20period%20of%20five(5)%20yearas%20in%20Lekwa-Teemane(Bloemhof)%20CBD.pdf" TargetMode="External"/><Relationship Id="rId79" Type="http://schemas.openxmlformats.org/officeDocument/2006/relationships/hyperlink" Target="https://www.etenders.gov.za/home/Download/?blobName=6fc0e90f-ca0f-4d4b-bdc5-04e9554963d8.pdf&amp;downloadedFileName=RE-ADVERT%20SCM11DESIGNANDPRINTANNUAL2026.pdf" TargetMode="External"/><Relationship Id="rId102" Type="http://schemas.openxmlformats.org/officeDocument/2006/relationships/hyperlink" Target="https://www.etenders.gov.za/home/Download/?blobName=72591ed3-1868-4be6-8016-00c41c2ac980.pdf&amp;downloadedFileName=SBD%206.1%20IN%20TERMS%20OF%20PPR2022%20(80-20).pdf" TargetMode="External"/><Relationship Id="rId144" Type="http://schemas.openxmlformats.org/officeDocument/2006/relationships/hyperlink" Target="https://www.etenders.gov.za/home/Download/?blobName=f462c31d-ba92-48a5-945f-861c40b18448.pdf&amp;downloadedFileName=REPAIR%20OF%20SMALL%20EQUIPMENTS..pdf" TargetMode="External"/><Relationship Id="rId547" Type="http://schemas.openxmlformats.org/officeDocument/2006/relationships/hyperlink" Target="https://www.siu.org.za/wp-content/uploads/2021/03/RFP-for-the-Office-accommodation-Nelspruit.pdf" TargetMode="External"/><Relationship Id="rId589" Type="http://schemas.openxmlformats.org/officeDocument/2006/relationships/hyperlink" Target="https://www.matatiele.gov.za/?post_type=job_listing&amp;p=23766" TargetMode="External"/><Relationship Id="rId90" Type="http://schemas.openxmlformats.org/officeDocument/2006/relationships/hyperlink" Target="https://www.etenders.gov.za/home/Download/?blobName=e32db624-f90e-4764-8053-a10698d69a69.pdf&amp;downloadedFileName=RFQ%20BB%2034_2026%20re-advert.pdf" TargetMode="External"/><Relationship Id="rId186" Type="http://schemas.openxmlformats.org/officeDocument/2006/relationships/hyperlink" Target="https://www.etenders.gov.za/home/Download/?blobName=7a789757-f900-4f8c-9c01-90112b47d22a.pdf&amp;downloadedFileName=TNPA%202026%2006%200019%20114520%20RFP.pdf" TargetMode="External"/><Relationship Id="rId351" Type="http://schemas.openxmlformats.org/officeDocument/2006/relationships/hyperlink" Target="https://www.ntabankulu.gov.za/2026/06/19/bid-invitation-for-construction-of-tsweleni-ar-and-gxwaleni-concrete-slab/" TargetMode="External"/><Relationship Id="rId393" Type="http://schemas.openxmlformats.org/officeDocument/2006/relationships/hyperlink" Target="https://www.umzimvubu.gov.za/wp-content/uploads/2025/02/Gravel-Road-S-W-Inlet-detail5.pdf" TargetMode="External"/><Relationship Id="rId407" Type="http://schemas.openxmlformats.org/officeDocument/2006/relationships/hyperlink" Target="https://www.umzimvubu.gov.za/wp-content/uploads/2025/02/Cross-section_gravel4.pdf" TargetMode="External"/><Relationship Id="rId449" Type="http://schemas.openxmlformats.org/officeDocument/2006/relationships/hyperlink" Target="https://www.mnquma.gov.za/wp-content/uploads/2026/04/AD-MZANTSI-MISSION-NOTICE.pdf" TargetMode="External"/><Relationship Id="rId211" Type="http://schemas.openxmlformats.org/officeDocument/2006/relationships/hyperlink" Target="https://www.etenders.gov.za/home/Download/?blobName=04b5af79-3902-4a6b-8144-06a23cf42206.docx&amp;downloadedFileName=240-109253302%20_%20Quality%20Control%20Plan%20or%20Inspection%20Test%20Plan%20(QCP%20or%20ITP)%20rev%202.docx" TargetMode="External"/><Relationship Id="rId253" Type="http://schemas.openxmlformats.org/officeDocument/2006/relationships/hyperlink" Target="https://www.etenders.gov.za/home/Download/?blobName=2abb55e6-d649-41e4-b781-a568c4680754.pdf&amp;downloadedFileName=BID%20DOCUMENT%20ID-3275612.pdf" TargetMode="External"/><Relationship Id="rId295" Type="http://schemas.openxmlformats.org/officeDocument/2006/relationships/hyperlink" Target="https://www.etenders.gov.za/home/Download/?blobName=7a449f7f-b2ac-4ae9-80ad-fca1bf71b7ec.pdf&amp;downloadedFileName=Tender%20document%20-%20scm-tsw-01-2026-2027%20-%20EEDSM%20(003).pdf" TargetMode="External"/><Relationship Id="rId309" Type="http://schemas.openxmlformats.org/officeDocument/2006/relationships/hyperlink" Target="https://www.etenders.gov.za/home/Download/?blobName=0b2a6b94-292c-4798-a9ab-b7fc38262d33.pdf&amp;downloadedFileName=SBD%20SOIL%20CONTAMINATION%20AND%20CLASSIFICATION%20TESTS%20(002).pdf" TargetMode="External"/><Relationship Id="rId460" Type="http://schemas.openxmlformats.org/officeDocument/2006/relationships/hyperlink" Target="https://www.mnquma.gov.za/wp-content/uploads/2026/03/AD-ADVERT-INPUTS.pdf" TargetMode="External"/><Relationship Id="rId516" Type="http://schemas.openxmlformats.org/officeDocument/2006/relationships/hyperlink" Target="https://teams.microsoft.com/l/meetup-join/19%3ameeting_NmY5NzA5NDktZjU2Ni00MjgzLTg1NWUtNTIwYmJjOGUxODlk%40thread.v2/0?context=%7b%22Tid%22%3a%22c1f6dd2f-18af-43dd-b300-4055be8b2ea8%22%2c%22Oid%22%3a%226f73458a-72b0-420f-b6cb-96437f1c3ddb%22%7d" TargetMode="External"/><Relationship Id="rId48" Type="http://schemas.openxmlformats.org/officeDocument/2006/relationships/hyperlink" Target="https://www.etenders.gov.za/home/Download/?blobName=5fbe6d2f-3173-4444-a698-f04eb50d8a58.pdf&amp;downloadedFileName=SCM001-2026%20Microsoft%20Agreement%20Subscriptions%20and%20License%20and%20Microsoft%20Teams%20Operator%20Connect%20Services.pdf" TargetMode="External"/><Relationship Id="rId113" Type="http://schemas.openxmlformats.org/officeDocument/2006/relationships/hyperlink" Target="https://www.etenders.gov.za/home/Download/?blobName=6d056d36-8d6d-4dfe-86bb-d8efd5b3acec.pdf&amp;downloadedFileName=284G-2025-26%20Term%20Tender%20for%20the%20Supply%20Delivery%20and%20Testing%20of%20New%20and%20Regenerated%20Mineral%20Insulating%20Oil%20and%20Lubricants%20for%20Generating%20Power%20Stations_Final%20-%20Print.pdf" TargetMode="External"/><Relationship Id="rId320" Type="http://schemas.openxmlformats.org/officeDocument/2006/relationships/hyperlink" Target="https://www.etenders.gov.za/home/Download/?blobName=5a1761e0-f012-4b96-aa91-5e056dcf49da.pdf&amp;downloadedFileName=PERINATAL%20TRAINING%20(%20K2)%2019.06.2026%20(2).pdf" TargetMode="External"/><Relationship Id="rId558" Type="http://schemas.openxmlformats.org/officeDocument/2006/relationships/hyperlink" Target="https://www.siu.org.za/wp-content/uploads/2018/02/Tender_Advert-RFQ_Cleaning_East_London.zip" TargetMode="External"/><Relationship Id="rId155" Type="http://schemas.openxmlformats.org/officeDocument/2006/relationships/hyperlink" Target="https://www.etenders.gov.za/home/Download/?blobName=325d8d37-92bb-44d8-b9e2-d266fdcfc3fb.pdf&amp;downloadedFileName=RNM0649%20Panel%20of%20Financial%20Consultants%20-%20LATEST.pdf" TargetMode="External"/><Relationship Id="rId197" Type="http://schemas.openxmlformats.org/officeDocument/2006/relationships/hyperlink" Target="https://www.etenders.gov.za/home/Download/?blobName=7c9d4d7a-c40c-49e2-bf35-b299ddb33279.pdf&amp;downloadedFileName=General_Conditions_of_Contract-_July_2011.pdf" TargetMode="External"/><Relationship Id="rId362" Type="http://schemas.openxmlformats.org/officeDocument/2006/relationships/hyperlink" Target="https://www.umzimvubu.gov.za/wp-content/uploads/2025/02/Umndini-Contract-Section-2.pdf" TargetMode="External"/><Relationship Id="rId418" Type="http://schemas.openxmlformats.org/officeDocument/2006/relationships/hyperlink" Target="https://www.umzimvubu.gov.za/wp-content/uploads/2025/02/Cross-section_Concrete2.pdf" TargetMode="External"/><Relationship Id="rId222" Type="http://schemas.openxmlformats.org/officeDocument/2006/relationships/hyperlink" Target="https://www.etenders.gov.za/home/Download/?blobName=34146a37-07f5-4fb7-bcc1-5a653ad56324.pdf&amp;downloadedFileName=TMT-ECDoE-2627-SAN60-CL52%20BAMBILANGA%20SSS.pdf" TargetMode="External"/><Relationship Id="rId264" Type="http://schemas.openxmlformats.org/officeDocument/2006/relationships/hyperlink" Target="https://www.etenders.gov.za/home/Download/?blobName=bacb6e05-41a0-4792-bc28-d0c982c0a81c.pdf&amp;downloadedFileName=ADVERT-TD-01-06-2026-PEST-CONTROL.pdf" TargetMode="External"/><Relationship Id="rId471" Type="http://schemas.openxmlformats.org/officeDocument/2006/relationships/hyperlink" Target="https://www.mnquma.gov.za/wp-content/uploads/2026/03/ads-BUSILA.pdf" TargetMode="External"/><Relationship Id="rId17" Type="http://schemas.openxmlformats.org/officeDocument/2006/relationships/hyperlink" Target="https://www.etenders.gov.za/home/Download/?blobName=ac44edbe-a874-4b6a-afd7-6181815f2f49.pdf&amp;downloadedFileName=Giyani%20Water%20Reticulation%20to%20Villages%20Phase%202A%20-%20Final%20advert%20.pdf" TargetMode="External"/><Relationship Id="rId59" Type="http://schemas.openxmlformats.org/officeDocument/2006/relationships/hyperlink" Target="https://www.etenders.gov.za/home/Download/?blobName=2b3c4198-4597-4cbd-9789-22988ebc8fd3.pdf&amp;downloadedFileName=RFQ%20FOR%20MINOR%20BUILDING%20AND%20REPAIRS%20OF%20CORE%20ROOM%20AT%20KIMBERLEY%20AIRPORT%205609.pdf" TargetMode="External"/><Relationship Id="rId124" Type="http://schemas.openxmlformats.org/officeDocument/2006/relationships/hyperlink" Target="https://www.etenders.gov.za/home/Download/?blobName=b6495a23-146f-4c7d-ad0a-16030ba01b65.pdf&amp;downloadedFileName=JW14427A%20%20GREATER%20ORANGE%20FARM%20PHASE%203A%20WATER%20INFRASTRUCTURE%20UPGRADE.pdf" TargetMode="External"/><Relationship Id="rId527" Type="http://schemas.openxmlformats.org/officeDocument/2006/relationships/hyperlink" Target="https://www.siu.org.za/wp-content/uploads/2023/11/BID-DOCUMENT-CLOSE-ARMED-PROTECTION-SERVICES-21-Nov-2023.pdf" TargetMode="External"/><Relationship Id="rId569" Type="http://schemas.openxmlformats.org/officeDocument/2006/relationships/hyperlink" Target="https://www.matatiele.gov.za/job/bid-document-supply-and-delivery-of-road-signs/" TargetMode="External"/><Relationship Id="rId70" Type="http://schemas.openxmlformats.org/officeDocument/2006/relationships/hyperlink" Target="https://www.etenders.gov.za/home/Download/?blobName=0ca22e94-bdd5-4e92-be9d-699a4e9a2bf3.docx&amp;downloadedFileName=BID%20DOC%20BTO.02.2025%2026%20-%20UPDATING%20AND%20MAINTENANCE%20OF%20THE%20GRAP%20&amp;%20mSCOA%20COMPLIANT%20ASSET%20REGISTERS%20FOR%20A%20PERIOD%20OF%20THREE%20(3)%20YEARS%20(36%20MONTHS).docx" TargetMode="External"/><Relationship Id="rId166" Type="http://schemas.openxmlformats.org/officeDocument/2006/relationships/hyperlink" Target="https://www.etenders.gov.za/home/Download/?blobName=15782178-70e0-4cf0-b2ae-4ab4bc468e1c.pdf&amp;downloadedFileName=TNPA%202026%2006%200029%20114530%20RFP.pdf" TargetMode="External"/><Relationship Id="rId331" Type="http://schemas.openxmlformats.org/officeDocument/2006/relationships/hyperlink" Target="https://www.etenders.gov.za/home/Download/?blobName=708a7410-49b2-4d8e-9d4e-08eb5ae9addb.xlsx&amp;downloadedFileName=Quality%20Assurence%20-240-12248652_List%20of%20Tender%20Returnables_Cat%204_%20Rev%207.xlsx" TargetMode="External"/><Relationship Id="rId373" Type="http://schemas.openxmlformats.org/officeDocument/2006/relationships/hyperlink" Target="https://www.umzimvubu.gov.za/wp-content/uploads/2025/02/Nkungwini-Tender-Document-1.pdf" TargetMode="External"/><Relationship Id="rId429" Type="http://schemas.openxmlformats.org/officeDocument/2006/relationships/hyperlink" Target="https://www.umzimvubu.gov.za/wp-content/uploads/2025/02/BOQ-mamthwani-AR.pdf" TargetMode="External"/><Relationship Id="rId580" Type="http://schemas.openxmlformats.org/officeDocument/2006/relationships/hyperlink" Target="https://www.matatiele.gov.za/job/bids-awarded-in-the-third-quarter-ended-31-march-2026/" TargetMode="External"/><Relationship Id="rId1" Type="http://schemas.openxmlformats.org/officeDocument/2006/relationships/hyperlink" Target="https://www.etenders.gov.za/home/Download/?blobName=1debbfd3-bfd5-48cc-9819-dab8ebf24933.pdf&amp;downloadedFileName=Advert%20for%20PROVISION%20OF%20GROUND%20AND%20GARDENING%20SERVICES%20AT%20MAJUBA%20TVET%20COLLEGE%20SITES%20FOR%20THE%20PERIOD%20OF%20(05)%20YEARS.pdf" TargetMode="External"/><Relationship Id="rId233" Type="http://schemas.openxmlformats.org/officeDocument/2006/relationships/hyperlink" Target="https://www.etenders.gov.za/home/Download/?blobName=c5f1f005-9c3a-4c2e-bfaf-011cece16a1f.pdf&amp;downloadedFileName=ZADUNGENI%20SPS%20UNPRICED%20BOQ.pdf" TargetMode="External"/><Relationship Id="rId440" Type="http://schemas.openxmlformats.org/officeDocument/2006/relationships/hyperlink" Target="https://www.mnquma.gov.za/wp-content/uploads/2026/04/ADVERT-HIRING-FRAME-28.05.pdf" TargetMode="External"/><Relationship Id="rId28" Type="http://schemas.openxmlformats.org/officeDocument/2006/relationships/hyperlink" Target="https://www.etenders.gov.za/home/Download/?blobName=b0045345-d247-464b-af8f-6291bf2de8e9.pdf&amp;downloadedFileName=advert%20for%20Diphagane.pdf" TargetMode="External"/><Relationship Id="rId275" Type="http://schemas.openxmlformats.org/officeDocument/2006/relationships/hyperlink" Target="https://www.etenders.gov.za/home/Download/?blobName=031b0901-6d88-451f-a40d-105dceb02e53.pdf&amp;downloadedFileName=2.%20Technical%20Functionality%20Evaluation%20Criteria%20for%20Supply%20and%20Installation%20of%20UPS.pdf" TargetMode="External"/><Relationship Id="rId300" Type="http://schemas.openxmlformats.org/officeDocument/2006/relationships/hyperlink" Target="https://www.etenders.gov.za/home/Download/?blobName=814f87b6-aa9e-4821-9dc9-6128ed3bde50.pdf&amp;downloadedFileName=SANParks%20RFQ%20No.289579_Designated%20Aviation%20Medical%20Examiner_Air%20Services_19.06.2026.pdf" TargetMode="External"/><Relationship Id="rId482" Type="http://schemas.openxmlformats.org/officeDocument/2006/relationships/hyperlink" Target="https://www.mnquma.gov.za/wp-content/uploads/2026/02/ADVERT-ACCOMODATION.pdf" TargetMode="External"/><Relationship Id="rId538" Type="http://schemas.openxmlformats.org/officeDocument/2006/relationships/hyperlink" Target="https://www.siu.org.za/wp-content/uploads/2022/07/Bid-document-Organizational-Culture-Tender.pdf" TargetMode="External"/><Relationship Id="rId81" Type="http://schemas.openxmlformats.org/officeDocument/2006/relationships/hyperlink" Target="https://www.etenders.gov.za/home/Download/?blobName=735e87f4-8622-4266-b530-484b9727cea2.pdf&amp;downloadedFileName=WCKBG2630SL%20-%20Notification%20of%20Tender%20Advertised%20and%20Awarded.pdf" TargetMode="External"/><Relationship Id="rId135" Type="http://schemas.openxmlformats.org/officeDocument/2006/relationships/hyperlink" Target="https://www.etenders.gov.za/home/Download/?blobName=7bab3762-e349-4a6c-91e1-f75418cdc63d.pdf&amp;downloadedFileName=2026-063-Tender%20Document.pdf" TargetMode="External"/><Relationship Id="rId177" Type="http://schemas.openxmlformats.org/officeDocument/2006/relationships/hyperlink" Target="https://www.etenders.gov.za/home/Download/?blobName=b9531e7a-9057-4d86-af2b-b25dda3ba8b1.pdf&amp;downloadedFileName=TNPA%202026%2006%200009%20114510%20RFP.pdf" TargetMode="External"/><Relationship Id="rId342" Type="http://schemas.openxmlformats.org/officeDocument/2006/relationships/hyperlink" Target="https://www.ecdpw.gov.za/wp-content/tender-uploads/department-of-social-development-local-area-office--mthatha-cbd--final-0032.pdf" TargetMode="External"/><Relationship Id="rId384" Type="http://schemas.openxmlformats.org/officeDocument/2006/relationships/hyperlink" Target="https://www.umzimvubu.gov.za/wp-content/uploads/2025/02/mamtwani-Tender-Document.pdf" TargetMode="External"/><Relationship Id="rId591" Type="http://schemas.openxmlformats.org/officeDocument/2006/relationships/hyperlink" Target="https://www.matatiele.gov.za/?post_type=job_listing&amp;p=24596" TargetMode="External"/><Relationship Id="rId605" Type="http://schemas.openxmlformats.org/officeDocument/2006/relationships/hyperlink" Target="https://www.matatiele.gov.za/job/closing-register-for-6-service-providers-for-storm-water-of-36-months/" TargetMode="External"/><Relationship Id="rId202" Type="http://schemas.openxmlformats.org/officeDocument/2006/relationships/hyperlink" Target="https://www.etenders.gov.za/home/Download/?blobName=d02586e4-35bb-41f5-a00b-52347925b406.pdf&amp;downloadedFileName=Advertisement%20of%20Bid%202026%20Final.pdf" TargetMode="External"/><Relationship Id="rId244" Type="http://schemas.openxmlformats.org/officeDocument/2006/relationships/hyperlink" Target="https://www.etenders.gov.za/home/Download/?blobName=76a8982c-5e57-425a-87b8-10b344444aff.pdf&amp;downloadedFileName=ST%20GEORGE%27S%20SSS%20UNPRICED%20BOQ.pdf" TargetMode="External"/><Relationship Id="rId39" Type="http://schemas.openxmlformats.org/officeDocument/2006/relationships/hyperlink" Target="https://www.etenders.gov.za/home/Download/?blobName=1861694d-61fe-40c9-9a43-6871ff02aaf3.pdf&amp;downloadedFileName=Advert%20for%20the%20week%204137-26.pdf" TargetMode="External"/><Relationship Id="rId286" Type="http://schemas.openxmlformats.org/officeDocument/2006/relationships/hyperlink" Target="https://www.etenders.gov.za/home/Download/?blobName=2c1458bd-14c4-4b6e-a026-bbdf331088a1.pdf&amp;downloadedFileName=laptops%20for%20ilembe.pdf" TargetMode="External"/><Relationship Id="rId451" Type="http://schemas.openxmlformats.org/officeDocument/2006/relationships/hyperlink" Target="https://www.mnquma.gov.za/wp-content/uploads/2026/04/AD-ERECTION-STREET-LIGHTS-NOTICE.pdf" TargetMode="External"/><Relationship Id="rId493" Type="http://schemas.openxmlformats.org/officeDocument/2006/relationships/hyperlink" Target="https://greatkeilm.gov.za/web/2026/05/13/tender-bto-22-2025-26-provision-of-insurance-for-municipal-assets-and-public-liability-for-a-period-of-three-3-years/" TargetMode="External"/><Relationship Id="rId507" Type="http://schemas.openxmlformats.org/officeDocument/2006/relationships/hyperlink" Target="https://www.labour.gov.za/Tenders/Available-Tenders/Lists/Open%20Tenders/Attachments/537/Approved%20Deep%20cleaning%20tender%20specification%20advert%20date%2005%20June%202026.pdf" TargetMode="External"/><Relationship Id="rId549" Type="http://schemas.openxmlformats.org/officeDocument/2006/relationships/hyperlink" Target="https://www.siu.org.za/wp-content/uploads/2021/01/Tender-document-Local-Goverment-Survey-TOR.pdf" TargetMode="External"/><Relationship Id="rId50" Type="http://schemas.openxmlformats.org/officeDocument/2006/relationships/hyperlink" Target="https://www.etenders.gov.za/home/Download/?blobName=345123eb-ced9-452d-ba30-020b87f3a7da.pdf&amp;downloadedFileName=Terms%20of%20reference%20for%20the%20panel%20of%20catering%20and%20decor.pdf" TargetMode="External"/><Relationship Id="rId104" Type="http://schemas.openxmlformats.org/officeDocument/2006/relationships/hyperlink" Target="https://www.etenders.gov.za/home/Download/?blobName=ff0ef783-6c30-4ffd-baf6-4a2cb99298ae.pdf&amp;downloadedFileName=RFQJW111TN26%20-%20JOB%20EVALUATION%20AND%20GRADING%20SERVICES.pdf" TargetMode="External"/><Relationship Id="rId146" Type="http://schemas.openxmlformats.org/officeDocument/2006/relationships/hyperlink" Target="https://www.etenders.gov.za/home/Download/?blobName=fb556cf4-e025-4e58-8f03-a6a6db4801e7.pdf&amp;downloadedFileName=SUPPLY%20OF%20%20CUTTING%20EDGES%20AND%20REPAIR%20OF%20HYDRAULIC%20PIPES%20AND%20HYDRAULIC%20CYLENDERS..pdf" TargetMode="External"/><Relationship Id="rId188" Type="http://schemas.openxmlformats.org/officeDocument/2006/relationships/hyperlink" Target="https://www.etenders.gov.za/home/Download/?blobName=3a5d4ec6-96c1-45ab-b074-065adc763899.pdf&amp;downloadedFileName=Bid%20Document%20MT01-2026%20AWS%20Hosting%20Term%20Contract.pdf" TargetMode="External"/><Relationship Id="rId311" Type="http://schemas.openxmlformats.org/officeDocument/2006/relationships/hyperlink" Target="https://www.etenders.gov.za/home/Download/?blobName=b764fa57-0b89-4dc2-92d1-3fba2be814ca.pdf&amp;downloadedFileName=PLAY%20THERAPY%20%2019.06.2026%20TN%20(1)%20Edited.pdf" TargetMode="External"/><Relationship Id="rId353" Type="http://schemas.openxmlformats.org/officeDocument/2006/relationships/hyperlink" Target="https://www.ntabankulu.gov.za/2026/06/17/closing-register-for-provision-of-security-services/" TargetMode="External"/><Relationship Id="rId395" Type="http://schemas.openxmlformats.org/officeDocument/2006/relationships/hyperlink" Target="https://www.umzimvubu.gov.za/wp-content/uploads/2025/02/Gravel-Road-S-W-Inlet-detail3.pdf" TargetMode="External"/><Relationship Id="rId409" Type="http://schemas.openxmlformats.org/officeDocument/2006/relationships/hyperlink" Target="https://www.umzimvubu.gov.za/wp-content/uploads/2025/02/Cross-section_gravel2.pdf" TargetMode="External"/><Relationship Id="rId560" Type="http://schemas.openxmlformats.org/officeDocument/2006/relationships/hyperlink" Target="https://www.siu.org.za/wp-content/uploads/2017/11/Travel_management.zip" TargetMode="External"/><Relationship Id="rId92" Type="http://schemas.openxmlformats.org/officeDocument/2006/relationships/hyperlink" Target="https://www.etenders.gov.za/home/Download/?blobName=6b926275-6033-40d5-ad9c-8972e11dc435.pdf&amp;downloadedFileName=Q2026%2003%20Bid%20document%20-%20DMC%20communication%20system.pdf" TargetMode="External"/><Relationship Id="rId213" Type="http://schemas.openxmlformats.org/officeDocument/2006/relationships/hyperlink" Target="https://www.etenders.gov.za/home/Download/?blobName=ac1571a3-050a-43f8-8d33-4567b27a8f42.pdf&amp;downloadedFileName=Q4-2026-27%20REPAIR%20AND%20MAINTENANCE%20OF%20THE%20STRUISBAAU%20MUNICIPAL%20STORE%20-%20TENDER%20DOCUMENT.pdf" TargetMode="External"/><Relationship Id="rId420" Type="http://schemas.openxmlformats.org/officeDocument/2006/relationships/hyperlink" Target="https://www.umzimvubu.gov.za/wp-content/uploads/2025/02/CENTULE-Contract-Section-2.pdf" TargetMode="External"/><Relationship Id="rId255" Type="http://schemas.openxmlformats.org/officeDocument/2006/relationships/hyperlink" Target="https://www.etenders.gov.za/home/Download/?blobName=19d0026b-1d83-44e5-a584-a7a09911aed8.pdf&amp;downloadedFileName=BID%20DOCUMENT%20PF27.2026.pdf" TargetMode="External"/><Relationship Id="rId297" Type="http://schemas.openxmlformats.org/officeDocument/2006/relationships/hyperlink" Target="https://www.etenders.gov.za/home/Download/?blobName=3ce35ee4-ad37-4891-a019-9f01832caeb8.pdf&amp;downloadedFileName=Solicitation%20ID%20RFI_OBP003_2026_27%20Request%20for%20Information%20Jun%2019%202026.pdf" TargetMode="External"/><Relationship Id="rId462" Type="http://schemas.openxmlformats.org/officeDocument/2006/relationships/hyperlink" Target="https://www.mnquma.gov.za/wp-content/uploads/2026/03/AD-BRANDING.pdf" TargetMode="External"/><Relationship Id="rId518" Type="http://schemas.openxmlformats.org/officeDocument/2006/relationships/hyperlink" Target="https://www.siu.org.za/wp-content/uploads/2024/10/BID-DOCUMENT-PROVISION-OF-A-WIDE-AREA-NETWORK-DATA-TELEPHONE-SEVICES-WITH-MAINTENANCE-SUPPORT.pdf" TargetMode="External"/><Relationship Id="rId115" Type="http://schemas.openxmlformats.org/officeDocument/2006/relationships/hyperlink" Target="https://www.etenders.gov.za/home/Download/?blobName=d923aa28-e810-4cd5-b8f8-c3b37f9f7c2a.pdf&amp;downloadedFileName=Tender%20Document%20for%20Panel%20of%20Architects%20and%20Civil_Structural%20and%20Electrical%20Engineering%20consultants%202026.pdf" TargetMode="External"/><Relationship Id="rId157" Type="http://schemas.openxmlformats.org/officeDocument/2006/relationships/hyperlink" Target="https://www.etenders.gov.za/home/Download/?blobName=3dcb9fce-97eb-41fa-a85e-0a4a472ae3da.pdf&amp;downloadedFileName=Magik%20and%20ESRI%20Technology%20Maintenance%20v1.0%20-SDLI%20-Annexure%20N%20-.pdf" TargetMode="External"/><Relationship Id="rId322" Type="http://schemas.openxmlformats.org/officeDocument/2006/relationships/hyperlink" Target="https://www.etenders.gov.za/home/Download/?blobName=8043a6ef-95d8-440e-b525-f524e0a8997c.pdf&amp;downloadedFileName=RFQJW075KM26-Design,%20fabricate,%20supply,%20install%20and%20commission.pdf" TargetMode="External"/><Relationship Id="rId364" Type="http://schemas.openxmlformats.org/officeDocument/2006/relationships/hyperlink" Target="https://www.umzimvubu.gov.za/wp-content/uploads/2025/02/TENDER-DOCUMENT-SUPPLY-AND-DELIVERY-OF-CLEANING-MATERIAL-AT-UMZIMVUBU-LOCAL-MUNICIPALITY-FOR-THE-PERIOD-OF-3-YEARS.pdf" TargetMode="External"/><Relationship Id="rId61" Type="http://schemas.openxmlformats.org/officeDocument/2006/relationships/hyperlink" Target="https://www.etenders.gov.za/home/Download/?blobName=8811678f-a66b-4ee4-837c-0b250ad7028b.pdf&amp;downloadedFileName=1.%20KKDM%2011-25%20Tender%20Document-PANEL%20OF%20ATTORNEYS.pdf" TargetMode="External"/><Relationship Id="rId199" Type="http://schemas.openxmlformats.org/officeDocument/2006/relationships/hyperlink" Target="https://www.etenders.gov.za/home/Download/?blobName=cdf0baee-bf4f-4f8e-b8b2-f02099d9cc13.pdf&amp;downloadedFileName=WCGHCC0057-2026%20Bid%20Document%20as%20at%2019.06.2026.pdf" TargetMode="External"/><Relationship Id="rId571" Type="http://schemas.openxmlformats.org/officeDocument/2006/relationships/hyperlink" Target="https://www.matatiele.gov.za/job/opening-and-closing-register-provision-of-active-direction-audit-software/" TargetMode="External"/><Relationship Id="rId19" Type="http://schemas.openxmlformats.org/officeDocument/2006/relationships/hyperlink" Target="https://www.etenders.gov.za/home/Download/?blobName=c952ea03-da57-49de-8b49-01e48b28ee9e.pdf&amp;downloadedFileName=Giyani%20Water%20Reticulation%20to%20Villages%20Phase%202A%20-%20Final%20advert%20.pdf" TargetMode="External"/><Relationship Id="rId224" Type="http://schemas.openxmlformats.org/officeDocument/2006/relationships/hyperlink" Target="https://www.etenders.gov.za/home/Download/?blobName=0e0a4440-f5f7-4391-8058-447d7719607e.pdf&amp;downloadedFileName=LUDEKE%20JSS%20UNPRICED%20BOQ.pdf" TargetMode="External"/><Relationship Id="rId266" Type="http://schemas.openxmlformats.org/officeDocument/2006/relationships/hyperlink" Target="https://www.etenders.gov.za/home/Download/?blobName=362632ea-0caa-49c9-aaed-1858a52f700d.pdf&amp;downloadedFileName=advert%20BS08-06-2026%20Erf%20297%20Kwazamokuhle.pdf" TargetMode="External"/><Relationship Id="rId431" Type="http://schemas.openxmlformats.org/officeDocument/2006/relationships/hyperlink" Target="https://www.umzimvubu.gov.za/wp-content/uploads/2025/02/Advert-for-Radio-services-for-Umzimvubu-local-Municipality.pdf" TargetMode="External"/><Relationship Id="rId473" Type="http://schemas.openxmlformats.org/officeDocument/2006/relationships/hyperlink" Target="https://www.mnquma.gov.za/wp-content/uploads/2026/03/Bid-Notice-Sub-Construction-of-Electrical-Works-for-the-Upgrading-of-Msobomvu-Sports-Ground-Phase-2.pdf" TargetMode="External"/><Relationship Id="rId529" Type="http://schemas.openxmlformats.org/officeDocument/2006/relationships/hyperlink" Target="https://www.siu.org.za/wp-content/uploads/2023/10/BID-DOCUMENT-TRAVEL-MANAGEMENT-SERVICES-RFP-013-09-2023-FIN-SIU.pdf" TargetMode="External"/><Relationship Id="rId30" Type="http://schemas.openxmlformats.org/officeDocument/2006/relationships/hyperlink" Target="https://www.etenders.gov.za/home/Download/?blobName=3aa712ed-2810-4aca-979a-da8b21b7e522.pdf&amp;downloadedFileName=advert%20for%20electricities.pdf" TargetMode="External"/><Relationship Id="rId126" Type="http://schemas.openxmlformats.org/officeDocument/2006/relationships/hyperlink" Target="https://www.etenders.gov.za/home/Download/?blobName=66c90126-f003-45e2-bdf6-4c0c1f9b52ca.pdf&amp;downloadedFileName=19%20JUNE%202026.pdf" TargetMode="External"/><Relationship Id="rId168" Type="http://schemas.openxmlformats.org/officeDocument/2006/relationships/hyperlink" Target="https://www.etenders.gov.za/home/Download/?blobName=27cd6ff2-0a83-4353-a520-e571f759f722.pdf&amp;downloadedFileName=TNPA%202026%2006%200030%20114531%20RFP.pdf" TargetMode="External"/><Relationship Id="rId333" Type="http://schemas.openxmlformats.org/officeDocument/2006/relationships/hyperlink" Target="https://www.etenders.gov.za/home/Download/?blobName=79ab23eb-477b-48c8-bc53-d137e1a3b61f.pdf&amp;downloadedFileName=LDPWRI%20BM%2020654%20HVAC..pdf" TargetMode="External"/><Relationship Id="rId540" Type="http://schemas.openxmlformats.org/officeDocument/2006/relationships/hyperlink" Target="https://www.siu.org.za/wp-content/uploads/2022/07/Tender-Document-and-TOR-Provision-of-Office-Accommodation-for-SIU-Office-in-Kimberly2.pdf" TargetMode="External"/><Relationship Id="rId72" Type="http://schemas.openxmlformats.org/officeDocument/2006/relationships/hyperlink" Target="https://www.etenders.gov.za/home/Download/?blobName=311eefa2-9533-4285-ae41-3125d3314459.pdf&amp;downloadedFileName=Invitation%20-%20Zeerust%20Supplier%20Forum%20_02072026.pdf" TargetMode="External"/><Relationship Id="rId375" Type="http://schemas.openxmlformats.org/officeDocument/2006/relationships/hyperlink" Target="https://www.umzimvubu.gov.za/wp-content/uploads/2025/02/NKUNGWINI-BOQ.pdf" TargetMode="External"/><Relationship Id="rId582" Type="http://schemas.openxmlformats.org/officeDocument/2006/relationships/hyperlink" Target="https://www.matatiele.gov.za/?post_type=job_listing&amp;p=24575" TargetMode="External"/><Relationship Id="rId3" Type="http://schemas.openxmlformats.org/officeDocument/2006/relationships/hyperlink" Target="https://www.etenders.gov.za/home/Download/?blobName=822effce-63d3-4ef3-b75c-03cdcac572ce.pdf&amp;downloadedFileName=GMT061%20of%2025-26%20Tender%20document_18%20June%202026_%20Final.pdf" TargetMode="External"/><Relationship Id="rId235" Type="http://schemas.openxmlformats.org/officeDocument/2006/relationships/hyperlink" Target="https://www.etenders.gov.za/home/Download/?blobName=71fc472b-cd84-4244-8fd1-110247866bc3.pdf&amp;downloadedFileName=QHAYIYA%20SSS%20UNPRICED%20BOQ.pdf" TargetMode="External"/><Relationship Id="rId277" Type="http://schemas.openxmlformats.org/officeDocument/2006/relationships/hyperlink" Target="https://www.etenders.gov.za/home/Download/?blobName=f4ddf7d5-13be-4af7-a52e-03cd227b7d65.pdf&amp;downloadedFileName=Appendix%20C%20-%20Cleaning%20Consumables.pdf" TargetMode="External"/><Relationship Id="rId400" Type="http://schemas.openxmlformats.org/officeDocument/2006/relationships/hyperlink" Target="https://www.umzimvubu.gov.za/wp-content/uploads/2025/02/Gravel-headwall-detail4.pdf" TargetMode="External"/><Relationship Id="rId442" Type="http://schemas.openxmlformats.org/officeDocument/2006/relationships/hyperlink" Target="https://www.mnquma.gov.za/wp-content/uploads/2026/04/Bid-Notice-Online-Property-Verification-Platform-for-a-Period-of-Three-Years.pdf" TargetMode="External"/><Relationship Id="rId484" Type="http://schemas.openxmlformats.org/officeDocument/2006/relationships/hyperlink" Target="https://www.mnquma.gov.za/wp-content/uploads/2026/01/FURNITURE-LIBRARY-AD.pdf" TargetMode="External"/><Relationship Id="rId137" Type="http://schemas.openxmlformats.org/officeDocument/2006/relationships/hyperlink" Target="https://www.etenders.gov.za/home/Download/?blobName=1d2c3e28-96dc-4c2c-aae1-a2e031682a82.pdf&amp;downloadedFileName=advert%20%20BS06-06-2026%20LEASING%20OF%20WASTE%20TRANSFER%20STATIONS%20FOR%20RECYCLING%20PURPOSE%20RE%20ADVERT.pdf" TargetMode="External"/><Relationship Id="rId302" Type="http://schemas.openxmlformats.org/officeDocument/2006/relationships/hyperlink" Target="https://www.etenders.gov.za/home/Download/?blobName=f86312f2-9f04-4a0e-86e3-0e8ef2dd0ff8.pdf&amp;downloadedFileName=RFQ%20TO%20APPOINT%20A%20PASTEL%20CONSULTANT%20FOR%205%20YEARS%2022%2006%202026.pdf" TargetMode="External"/><Relationship Id="rId344" Type="http://schemas.openxmlformats.org/officeDocument/2006/relationships/hyperlink" Target="https://www.ecdpw.gov.za/wp-content/tender-uploads/0002-9.pdf" TargetMode="External"/><Relationship Id="rId41" Type="http://schemas.openxmlformats.org/officeDocument/2006/relationships/hyperlink" Target="https://www.etenders.gov.za/home/Download/?blobName=f71aafd7-a3a1-4540-a48c-d6325792fea7.pdf&amp;downloadedFileName=RFB%20RAF%202026%2000037%20RAF%20Website%20Enhancement.pdf" TargetMode="External"/><Relationship Id="rId83" Type="http://schemas.openxmlformats.org/officeDocument/2006/relationships/hyperlink" Target="https://www.etenders.gov.za/home/Download/?blobName=f7c1259b-f8c4-4650-91fd-5c7b49493f78.pdf&amp;downloadedFileName=DFFEQ%2064%20Latex%20Gloves%20PDF.pdf" TargetMode="External"/><Relationship Id="rId179" Type="http://schemas.openxmlformats.org/officeDocument/2006/relationships/hyperlink" Target="https://www.etenders.gov.za/home/Download/?blobName=1a4b8d61-031a-4adb-ae3a-9c0ee745f288.pdf&amp;downloadedFileName=TNPA%202026%2006%200010%20114511%20RFP.pdf" TargetMode="External"/><Relationship Id="rId386" Type="http://schemas.openxmlformats.org/officeDocument/2006/relationships/hyperlink" Target="https://www.umzimvubu.gov.za/wp-content/uploads/2025/02/Gravel-Road-S-W-Pipe-Backfill-shallow-detail5.pdf" TargetMode="External"/><Relationship Id="rId551" Type="http://schemas.openxmlformats.org/officeDocument/2006/relationships/hyperlink" Target="https://www.siu.org.za/wp-content/uploads/2018/10/Tender-Advert-oFFICE-PACE-plK-Reissue_2.pdf" TargetMode="External"/><Relationship Id="rId593" Type="http://schemas.openxmlformats.org/officeDocument/2006/relationships/hyperlink" Target="https://www.matatiele.gov.za/?post_type=job_listing&amp;p=24744" TargetMode="External"/><Relationship Id="rId607" Type="http://schemas.openxmlformats.org/officeDocument/2006/relationships/hyperlink" Target="https://www.matatiele.gov.za/?post_type=job_listing&amp;p=24772" TargetMode="External"/><Relationship Id="rId190" Type="http://schemas.openxmlformats.org/officeDocument/2006/relationships/hyperlink" Target="https://www.etenders.gov.za/home/Download/?blobName=82aa5bd9-4fe4-48ff-ab52-6afc72be18e9.pdf&amp;downloadedFileName=RFP060126%20-%20Tender%20Document.pdf" TargetMode="External"/><Relationship Id="rId204" Type="http://schemas.openxmlformats.org/officeDocument/2006/relationships/hyperlink" Target="https://www.etenders.gov.za/home/Download/?blobName=f5f5f9ee-6e9f-4c6c-8b2b-cacd27471648.zip&amp;downloadedFileName=FOSPHB_RFP_12_2627.zip" TargetMode="External"/><Relationship Id="rId246" Type="http://schemas.openxmlformats.org/officeDocument/2006/relationships/hyperlink" Target="https://www.etenders.gov.za/home/Download/?blobName=26824627-144f-48f3-b1c0-640d99aa9d30.pdf&amp;downloadedFileName=TMT-ECDoE-2627-SAN60-CL35%20ZWELAKHE%20SSS.pdf" TargetMode="External"/><Relationship Id="rId288" Type="http://schemas.openxmlformats.org/officeDocument/2006/relationships/hyperlink" Target="https://www.etenders.gov.za/home/Download/?blobName=455f650b-5a96-4bcb-8515-0a41b8959fb5.DOC&amp;downloadedFileName=SBD%204%20MUSEUM%20(1).DOC" TargetMode="External"/><Relationship Id="rId411" Type="http://schemas.openxmlformats.org/officeDocument/2006/relationships/hyperlink" Target="https://www.umzimvubu.gov.za/wp-content/uploads/2025/02/Cross-section_gravel.pdf" TargetMode="External"/><Relationship Id="rId453" Type="http://schemas.openxmlformats.org/officeDocument/2006/relationships/hyperlink" Target="https://www.mnquma.gov.za/wp-content/uploads/2026/04/AD-INEP-NOTICE.pdf" TargetMode="External"/><Relationship Id="rId509" Type="http://schemas.openxmlformats.org/officeDocument/2006/relationships/hyperlink" Target="https://www.siu.org.za/wp-content/uploads/2025/12/RFP-Bid-Document-for-Close-Armed-Protection-services-v2.docx" TargetMode="External"/><Relationship Id="rId106" Type="http://schemas.openxmlformats.org/officeDocument/2006/relationships/hyperlink" Target="https://www.etenders.gov.za/home/Download/?blobName=817ebc77-10e4-4054-85e2-d8264f89f88d.pdf&amp;downloadedFileName=Bid%20Document%20-%20Appointment%20of%20SP%20review%20of%20the%20MMSEZ%20Structure.pdf" TargetMode="External"/><Relationship Id="rId313" Type="http://schemas.openxmlformats.org/officeDocument/2006/relationships/hyperlink" Target="https://www.etenders.gov.za/home/Download/?blobName=6b2ddf1e-ec43-4993-93be-4b661942dcea.pdf&amp;downloadedFileName=220706%20-%20specifications.pdf" TargetMode="External"/><Relationship Id="rId495" Type="http://schemas.openxmlformats.org/officeDocument/2006/relationships/hyperlink" Target="https://greatkeilm.gov.za/web/2026/04/29/rfq-bto-10-2025-26-request-for-supply-and-delivery-of-laptops-and-laptop-bags/" TargetMode="External"/><Relationship Id="rId10" Type="http://schemas.openxmlformats.org/officeDocument/2006/relationships/hyperlink" Target="https://www.etenders.gov.za/home/Download/?blobName=e0fd5d6a-ebc0-4d41-8d0b-e7da53144af0.pdf&amp;downloadedFileName=Giyani%20Water%20Reticulation%20to%20Villages%20Phase%202A%20-%20Final%20advert%20.pdf" TargetMode="External"/><Relationship Id="rId52" Type="http://schemas.openxmlformats.org/officeDocument/2006/relationships/hyperlink" Target="https://www.etenders.gov.za/home/Download/?blobName=9ff9df8d-e534-410b-8341-1208592461c3.pdf&amp;downloadedFileName=E2752GXMPMATR%20Invitation%20to%20Tender%20(ITT)%20-%20upgrading%20of%20Parimeter%20Security%20fence%20at%20Matimba%20PS.pdf" TargetMode="External"/><Relationship Id="rId94" Type="http://schemas.openxmlformats.org/officeDocument/2006/relationships/hyperlink" Target="https://www.etenders.gov.za/home/Download/?blobName=ce6ea233-96b4-4e82-b64f-9a55e30a8fa0.pdf&amp;downloadedFileName=SUPPLY%20AND%20DELIVERY%20OF%20PROMOTIONAL%20ITEMS.pdf" TargetMode="External"/><Relationship Id="rId148" Type="http://schemas.openxmlformats.org/officeDocument/2006/relationships/hyperlink" Target="https://www.etenders.gov.za/home/Download/?blobName=fcda410f-e096-44a3-8be2-c44b13905e5d.pdf&amp;downloadedFileName=SUPPLY,FITTING%20AND%20REPAIRS%20OF%20TYRES.pdf" TargetMode="External"/><Relationship Id="rId355" Type="http://schemas.openxmlformats.org/officeDocument/2006/relationships/hyperlink" Target="https://www.ntabankulu.gov.za/2026/06/03/closing-register-for-construction-of-fenced-mathole-pre-school-with-ablution-facilities/" TargetMode="External"/><Relationship Id="rId397" Type="http://schemas.openxmlformats.org/officeDocument/2006/relationships/hyperlink" Target="https://www.umzimvubu.gov.za/wp-content/uploads/2025/02/Gravel-Road-S-W-Inlet-detail1.pdf" TargetMode="External"/><Relationship Id="rId520" Type="http://schemas.openxmlformats.org/officeDocument/2006/relationships/hyperlink" Target="https://www.siu.org.za/wp-content/uploads/2024/09/RFI-Document-RFI-SIU001-2024-INTEGRATED-LIFE-SAFETY-AND-SECURITY-SOLUTION.pdf" TargetMode="External"/><Relationship Id="rId562" Type="http://schemas.openxmlformats.org/officeDocument/2006/relationships/hyperlink" Target="https://amahlathi.gov.za/event/rfq-appointment-of-a-suitable-service-provider-for-the-delivery-facilitation-assessment-moderation-and-learner-support-for-the-certificate-municipal-finance-management-nqf-level-6/" TargetMode="External"/><Relationship Id="rId215" Type="http://schemas.openxmlformats.org/officeDocument/2006/relationships/hyperlink" Target="https://www.etenders.gov.za/home/Download/?blobName=bd6c1a10-b489-4dca-b2c4-2953184ce6bb.pdf&amp;downloadedFileName=SC2662.2026%20Advert.pdf" TargetMode="External"/><Relationship Id="rId257" Type="http://schemas.openxmlformats.org/officeDocument/2006/relationships/hyperlink" Target="https://www.etenders.gov.za/home/Download/?blobName=f9ba2b27-e7d3-4d8e-8fb2-3d618f66ca38.pdf&amp;downloadedFileName=General%20Conditions%20of%20Contract.pdf" TargetMode="External"/><Relationship Id="rId422" Type="http://schemas.openxmlformats.org/officeDocument/2006/relationships/hyperlink" Target="https://www.umzimvubu.gov.za/wp-content/uploads/2025/02/Capture5.jpg" TargetMode="External"/><Relationship Id="rId464" Type="http://schemas.openxmlformats.org/officeDocument/2006/relationships/hyperlink" Target="https://www.mnquma.gov.za/wp-content/uploads/2026/03/ads-NDUVENI.pdf" TargetMode="External"/><Relationship Id="rId299" Type="http://schemas.openxmlformats.org/officeDocument/2006/relationships/hyperlink" Target="https://www.etenders.gov.za/home/Download/?blobName=96d822e8-a1a5-4da8-82ed-4408caf89e3e.pdf&amp;downloadedFileName=Request%20for%20Business%20Process%20Mapping%20Services.pdf" TargetMode="External"/><Relationship Id="rId63" Type="http://schemas.openxmlformats.org/officeDocument/2006/relationships/hyperlink" Target="https://www.etenders.gov.za/home/Download/?blobName=fc277663-1c61-4ad7-98cd-1b49cf211de2.pdf&amp;downloadedFileName=3.%20KKDM%2013-25%20UPDATE%20THE%20ASSET%20REGISTER.pdf" TargetMode="External"/><Relationship Id="rId159" Type="http://schemas.openxmlformats.org/officeDocument/2006/relationships/hyperlink" Target="https://www.etenders.gov.za/home/Download/?blobName=d7af7f4f-a95a-4ec0-91a3-fa8b18892529.pdf&amp;downloadedFileName=DARD08.2026.pdf" TargetMode="External"/><Relationship Id="rId366" Type="http://schemas.openxmlformats.org/officeDocument/2006/relationships/hyperlink" Target="https://www.umzimvubu.gov.za/wp-content/uploads/2025/02/Tender-Document-Provision-of-Vetting-and-Screening-Services-1.pdf" TargetMode="External"/><Relationship Id="rId573" Type="http://schemas.openxmlformats.org/officeDocument/2006/relationships/hyperlink" Target="https://www.matatiele.gov.za/job/closing-register-for-printing-and-mailing-statements-78/" TargetMode="External"/><Relationship Id="rId226" Type="http://schemas.openxmlformats.org/officeDocument/2006/relationships/hyperlink" Target="https://www.etenders.gov.za/home/Download/?blobName=dafa4c23-9b03-48f9-bc98-7f3a31cf47c2.pdf&amp;downloadedFileName=TMT-ECDoE-2627-SAN60-CL57%20NJONGOZABANTU%20SSS.pdf" TargetMode="External"/><Relationship Id="rId433" Type="http://schemas.openxmlformats.org/officeDocument/2006/relationships/hyperlink" Target="https://www.winniemmlm.gov.za/wp-content/uploads/2023/02/WMM-LM-MBD-FORMS-2023.pdf.pdf" TargetMode="External"/><Relationship Id="rId74" Type="http://schemas.openxmlformats.org/officeDocument/2006/relationships/hyperlink" Target="https://www.etenders.gov.za/home/Download/?blobName=5046b531-1f31-441e-844d-09c117de9fae.pdf&amp;downloadedFileName=240-12248652%20(Rev%207)_List%20of%20Tender%20Returnables-ESupply%20and%20Delivery%20of%20electrical%20heater%20elements%20For%20Kendal%20Power%20Station.pdf" TargetMode="External"/><Relationship Id="rId377" Type="http://schemas.openxmlformats.org/officeDocument/2006/relationships/hyperlink" Target="https://www.umzimvubu.gov.za/wp-content/uploads/2025/02/Ndindindi-Contract-Section-2.pdf" TargetMode="External"/><Relationship Id="rId500" Type="http://schemas.openxmlformats.org/officeDocument/2006/relationships/hyperlink" Target="https://greatkeilm.gov.za/web/2026/03/06/invitation-to-tender-for-three-disaster-roads-projects/" TargetMode="External"/><Relationship Id="rId584" Type="http://schemas.openxmlformats.org/officeDocument/2006/relationships/hyperlink" Target="https://www.matatiele.gov.za/?post_type=job_listing&amp;p=24279" TargetMode="External"/><Relationship Id="rId5" Type="http://schemas.openxmlformats.org/officeDocument/2006/relationships/hyperlink" Target="https://www.etenders.gov.za/home/Download/?blobName=aa42ef56-627e-43ee-8472-b8b52e5ca98b.pdf&amp;downloadedFileName=Advert%20for%20Provision%20of%20internet%20services%20-%20End%20Point-%203%20Tier.pdf" TargetMode="External"/><Relationship Id="rId237" Type="http://schemas.openxmlformats.org/officeDocument/2006/relationships/hyperlink" Target="https://www.etenders.gov.za/home/Download/?blobName=a2d6cffb-4cb4-44a8-8ccf-c427ca8391f9.pdf&amp;downloadedFileName=TMT-ECDoE-2627-SAN60-CL44%20TSOLOMNQA%20HS.pdf" TargetMode="External"/><Relationship Id="rId444" Type="http://schemas.openxmlformats.org/officeDocument/2006/relationships/hyperlink" Target="https://www.mnquma.gov.za/wp-content/uploads/2026/04/AD-SIRHOSHENI-NOTICE.pdf" TargetMode="External"/><Relationship Id="rId290" Type="http://schemas.openxmlformats.org/officeDocument/2006/relationships/hyperlink" Target="https://www.etenders.gov.za/home/Download/?blobName=7532eccf-8ff1-4c59-a26b-6c3bba646369.pdf&amp;downloadedFileName=ADDENDUM%20BREIFING%20FOR%20PANEL%20OF%20CONSULTANTS%20(002).pdf" TargetMode="External"/><Relationship Id="rId304" Type="http://schemas.openxmlformats.org/officeDocument/2006/relationships/hyperlink" Target="https://www.etenders.gov.za/home/Download/?blobName=22a500ca-0aab-4b1b-977c-4e081a313b8d.pdf&amp;downloadedFileName=Q2026%20036%20DOC.pdf" TargetMode="External"/><Relationship Id="rId388" Type="http://schemas.openxmlformats.org/officeDocument/2006/relationships/hyperlink" Target="https://www.umzimvubu.gov.za/wp-content/uploads/2025/02/Gravel-Road-S-W-Pipe-Backfill-shallow-detail3.pdf" TargetMode="External"/><Relationship Id="rId511" Type="http://schemas.openxmlformats.org/officeDocument/2006/relationships/hyperlink" Target="https://www.siu.org.za/wp-content/uploads/2025/09/RFP-DOCUMENT-FOR-EMPLOYEE-WELLNESS-PROGRAMME.pdf" TargetMode="External"/><Relationship Id="rId609" Type="http://schemas.openxmlformats.org/officeDocument/2006/relationships/hyperlink" Target="https://www.matatiele.gov.za/?post_type=job_listing&amp;p=24155" TargetMode="External"/><Relationship Id="rId85" Type="http://schemas.openxmlformats.org/officeDocument/2006/relationships/hyperlink" Target="https://www.etenders.gov.za/home/Download/?blobName=d2a969c7-b262-4e78-870c-1bdbfd7a5817.pdf&amp;downloadedFileName=Publication%20of%20Names%20of%20Biders%20iro%20advertised%20Competitive%20Bids.pdf" TargetMode="External"/><Relationship Id="rId150" Type="http://schemas.openxmlformats.org/officeDocument/2006/relationships/hyperlink" Target="https://www.etenders.gov.za/home/Download/?blobName=4f5554ec-e57c-4606-8732-1e4673006365.pdf&amp;downloadedFileName=278G-2025-26%20-%20FINAL%20TENDER%20DOC.pdf" TargetMode="External"/><Relationship Id="rId595" Type="http://schemas.openxmlformats.org/officeDocument/2006/relationships/hyperlink" Target="https://www.matatiele.gov.za/?post_type=job_listing&amp;p=18023" TargetMode="External"/><Relationship Id="rId248" Type="http://schemas.openxmlformats.org/officeDocument/2006/relationships/hyperlink" Target="https://www.etenders.gov.za/home/Download/?blobName=0b12355a-82b0-448d-aa3d-7909a3759eb3.pdf&amp;downloadedFileName=INVITATION%20TO%20BID%20DHA09-2026.pdf" TargetMode="External"/><Relationship Id="rId455" Type="http://schemas.openxmlformats.org/officeDocument/2006/relationships/hyperlink" Target="https://www.mnquma.gov.za/wp-content/uploads/2026/04/PAVING-ZIZAMELE-NOTICE.pdf" TargetMode="External"/><Relationship Id="rId12" Type="http://schemas.openxmlformats.org/officeDocument/2006/relationships/hyperlink" Target="https://www.etenders.gov.za/home/Download/?blobName=6259c7a5-5913-45da-ac0a-0c6715b34390.pdf&amp;downloadedFileName=Giyani%20Water%20Reticulation%20to%20Villages%20Phase%202A%20-%20Final%20advert%20.pdf" TargetMode="External"/><Relationship Id="rId108" Type="http://schemas.openxmlformats.org/officeDocument/2006/relationships/hyperlink" Target="https://www.etenders.gov.za/home/Download/?blobName=34c8d000-d4c3-45f4-9b09-21aa8ef5dc0d.pdf&amp;downloadedFileName=RFQ%2003-06-2026%20Appointment%20of%20a%20service%20provider%20to%20provide%20engine%20software%20licenses%20renewal%20for%20IT%20Infrastructure%20monitoing,%20auditing%20and%20reporting.pdf" TargetMode="External"/><Relationship Id="rId315" Type="http://schemas.openxmlformats.org/officeDocument/2006/relationships/hyperlink" Target="https://www.etenders.gov.za/home/Download/?blobName=8b7cc0b4-7117-4c6a-a841-c446f8e592b3.pdf&amp;downloadedFileName=Annexure%20A-%20ToR%20Response%20handling%20(SP).pdf" TargetMode="External"/><Relationship Id="rId522" Type="http://schemas.openxmlformats.org/officeDocument/2006/relationships/hyperlink" Target="https://www.siu.org.za/wp-content/uploads/2024/05/BID-DOCUMENT-Security-Services-.pdf" TargetMode="External"/><Relationship Id="rId96" Type="http://schemas.openxmlformats.org/officeDocument/2006/relationships/hyperlink" Target="https://www.etenders.gov.za/home/Download/?blobName=f7698570-b5d0-4e22-b23b-f4ceed27177c.pdf&amp;downloadedFileName=CLEANING%20DOC..pdf" TargetMode="External"/><Relationship Id="rId161" Type="http://schemas.openxmlformats.org/officeDocument/2006/relationships/hyperlink" Target="https://www.etenders.gov.za/home/Download/?blobName=5b6a56ba-ea5d-4fc0-8d28-a254f22126c4.pdf&amp;downloadedFileName=TNPA%202026%2006%200026%20114527%20RFP.pdf" TargetMode="External"/><Relationship Id="rId399" Type="http://schemas.openxmlformats.org/officeDocument/2006/relationships/hyperlink" Target="https://www.umzimvubu.gov.za/wp-content/uploads/2025/02/Gravel-headwall-detail5.pdf" TargetMode="External"/><Relationship Id="rId259" Type="http://schemas.openxmlformats.org/officeDocument/2006/relationships/hyperlink" Target="https://www.etenders.gov.za/home/Download/?blobName=822fc972-a73d-47dd-93e1-cf466bf529e9.pdf&amp;downloadedFileName=Tender%20Document%20-%20g%20FleeT%2013%2010%202025.pdf" TargetMode="External"/><Relationship Id="rId466" Type="http://schemas.openxmlformats.org/officeDocument/2006/relationships/hyperlink" Target="https://www.mnquma.gov.za/wp-content/uploads/2026/03/TYINIRHA-ACCESS.pdf" TargetMode="External"/><Relationship Id="rId23" Type="http://schemas.openxmlformats.org/officeDocument/2006/relationships/hyperlink" Target="https://www.etenders.gov.za/home/Download/?blobName=8dff74dc-a66b-4a7a-9d9b-2eb0c5c82aa9.pdf&amp;downloadedFileName=Giyani%20Water%20Reticulation%20to%20Villages%20Phase%202A%20-%20Final%20advert%20.pdf" TargetMode="External"/><Relationship Id="rId119" Type="http://schemas.openxmlformats.org/officeDocument/2006/relationships/hyperlink" Target="https://www.etenders.gov.za/home/Download/?blobName=9dc16a51-d7ac-448a-be60-ac4104c4a16d.pdf&amp;downloadedFileName=RFB%20RAF%202026%2000038%20Cleaning%20Services.pdf" TargetMode="External"/><Relationship Id="rId326" Type="http://schemas.openxmlformats.org/officeDocument/2006/relationships/hyperlink" Target="https://www.etenders.gov.za/home/Download/?blobName=f97269d4-b01d-4b71-8dda-a70595499343.pdf&amp;downloadedFileName=RFQJW113TN26%20-%20TRAVEL%20AND%20ACCOMMODATION.pdf" TargetMode="External"/><Relationship Id="rId533" Type="http://schemas.openxmlformats.org/officeDocument/2006/relationships/hyperlink" Target="https://www.siu.org.za/wp-content/uploads/2022/10/RFP-for-the-Office-accommodation-Nelspruit-final.pdf" TargetMode="External"/><Relationship Id="rId172" Type="http://schemas.openxmlformats.org/officeDocument/2006/relationships/hyperlink" Target="https://www.etenders.gov.za/home/Download/?blobName=761d6681-21d9-4fbc-b881-24e61492c110.pdf&amp;downloadedFileName=TNPA%202026%2006%200007%20114508%20RFP.pdf" TargetMode="External"/><Relationship Id="rId477" Type="http://schemas.openxmlformats.org/officeDocument/2006/relationships/hyperlink" Target="https://www.mnquma.gov.za/wp-content/uploads/2026/02/IDP-PRINTING-AD.pdf" TargetMode="External"/><Relationship Id="rId600" Type="http://schemas.openxmlformats.org/officeDocument/2006/relationships/hyperlink" Target="https://www.matatiele.gov.za/?post_type=job_listing&amp;p=18012" TargetMode="External"/><Relationship Id="rId337" Type="http://schemas.openxmlformats.org/officeDocument/2006/relationships/hyperlink" Target="https://www.ecdpw.gov.za/wp-content/tender-uploads/bcm5-2627-0013.pdf" TargetMode="External"/><Relationship Id="rId34" Type="http://schemas.openxmlformats.org/officeDocument/2006/relationships/hyperlink" Target="https://www.etenders.gov.za/home/Download/?blobName=998a10fb-8fd2-46ab-8144-8566c62ec760.pdf&amp;downloadedFileName=Giyani%20Water%20Reticulation%20to%20Villages%20Phase%202A%20-%20Final%20advert%20.pdf" TargetMode="External"/><Relationship Id="rId544" Type="http://schemas.openxmlformats.org/officeDocument/2006/relationships/hyperlink" Target="https://www.siu.org.za/wp-content/uploads/2021/07/Bid-Document-for-the-Panel-of-Legal-Experts.pdf" TargetMode="External"/><Relationship Id="rId183" Type="http://schemas.openxmlformats.org/officeDocument/2006/relationships/hyperlink" Target="https://www.etenders.gov.za/home/Download/?blobName=c7d8e374-d8c3-49d8-9cd6-e87000b4051d.pdf&amp;downloadedFileName=TNPA%202026%2006%200017%20114518%20RFP.pdf" TargetMode="External"/><Relationship Id="rId390" Type="http://schemas.openxmlformats.org/officeDocument/2006/relationships/hyperlink" Target="https://www.umzimvubu.gov.za/wp-content/uploads/2025/02/Gravel-Road-S-W-Pipe-Backfill-shallow-detail2.pdf" TargetMode="External"/><Relationship Id="rId404" Type="http://schemas.openxmlformats.org/officeDocument/2006/relationships/hyperlink" Target="https://www.umzimvubu.gov.za/wp-content/uploads/2025/02/Gravel-headwall-detail.pdf" TargetMode="External"/><Relationship Id="rId250" Type="http://schemas.openxmlformats.org/officeDocument/2006/relationships/hyperlink" Target="https://www.etenders.gov.za/home/Download/?blobName=a3cfa0ec-4b66-442d-b807-4821ea9ea363.pdf&amp;downloadedFileName=ST%20MARGARET%20SSS%20UNPRICED%20BOQ.pdf" TargetMode="External"/><Relationship Id="rId488" Type="http://schemas.openxmlformats.org/officeDocument/2006/relationships/hyperlink" Target="https://greatkeilm.gov.za/web/2026/06/01/rfq-comm-08-2025-26-request-for-fencing-of-kei-mouth-transfer-station/" TargetMode="External"/><Relationship Id="rId45" Type="http://schemas.openxmlformats.org/officeDocument/2006/relationships/hyperlink" Target="https://www.etenders.gov.za/home/Download/?blobName=7e33e6d8-8bbf-4ae6-abe8-42751452cdbb.pdf&amp;downloadedFileName=Tender%20document%20Valves%2011.06.26%20Final.pdf" TargetMode="External"/><Relationship Id="rId110" Type="http://schemas.openxmlformats.org/officeDocument/2006/relationships/hyperlink" Target="https://www.etenders.gov.za/home/Download/?blobName=da1871de-fa95-46f3-86be-1f28f5159c05.docx&amp;downloadedFileName=SBD%206.1%20IN%20TERMS%20OF%20PPR2022.docx" TargetMode="External"/><Relationship Id="rId348" Type="http://schemas.openxmlformats.org/officeDocument/2006/relationships/hyperlink" Target="https://www.ecdpw.gov.za/wp-content/tender-uploads/alf5-26-27-0003-term-contract-plumbing.pdf" TargetMode="External"/><Relationship Id="rId555" Type="http://schemas.openxmlformats.org/officeDocument/2006/relationships/hyperlink" Target="https://www.siu.org.za/wp-content/uploads/2018/06/RFP019-12-2017_010-10-2017.pdf" TargetMode="External"/><Relationship Id="rId194" Type="http://schemas.openxmlformats.org/officeDocument/2006/relationships/hyperlink" Target="https://www.etenders.gov.za/home/Download/?blobName=0714e589-74e5-4556-8f57-c311befd7b42.pdf&amp;downloadedFileName=SIGNED%20INVITATION%20TO%20TENDER%20AS%20AT%2010%20JUNE%202026.pdf" TargetMode="External"/><Relationship Id="rId208" Type="http://schemas.openxmlformats.org/officeDocument/2006/relationships/hyperlink" Target="https://www.etenders.gov.za/home/Download/?blobName=414efeea-4d6d-4cab-8511-3c5107443391.pdf&amp;downloadedFileName=BID%20DOCUMENT_%20NERSA-2627-ICT-MSH-BID009.pdf" TargetMode="External"/><Relationship Id="rId415" Type="http://schemas.openxmlformats.org/officeDocument/2006/relationships/hyperlink" Target="https://www.umzimvubu.gov.za/wp-content/uploads/2025/02/Cross-section_Concrete22.pdf" TargetMode="External"/><Relationship Id="rId261" Type="http://schemas.openxmlformats.org/officeDocument/2006/relationships/hyperlink" Target="https://www.etenders.gov.za/home/Download/?blobName=a73a264f-ab5f-4d11-827b-3513de4f398b.pdf&amp;downloadedFileName=Bid%20Invitation%20for%20Construction%20of%20Tsweleni%20AR%20and%20Gxwaleni%20Concrete%20Slab.pdf" TargetMode="External"/><Relationship Id="rId499" Type="http://schemas.openxmlformats.org/officeDocument/2006/relationships/hyperlink" Target="https://greatkeilm.gov.za/web/2026/03/09/invitation-tender-tech-civ01-2025-26-provision-for-a-panel-of-ten-10-professional-civil-engineering-consultants-for-a-period-of-three-3-years/" TargetMode="External"/><Relationship Id="rId56" Type="http://schemas.openxmlformats.org/officeDocument/2006/relationships/hyperlink" Target="https://www.etenders.gov.za/home/Download/?blobName=9fc63584-b150-432a-90a0-02a6e311d68a.docx&amp;downloadedFileName=TENDER%20DOCUMENT%20FOR%20TURNKEY%20PROPOSAL.docx" TargetMode="External"/><Relationship Id="rId359" Type="http://schemas.openxmlformats.org/officeDocument/2006/relationships/hyperlink" Target="https://www.ntabankulu.gov.za/2026/05/21/supply-and-delivery-of-diesel-for-12-months/" TargetMode="External"/><Relationship Id="rId566" Type="http://schemas.openxmlformats.org/officeDocument/2006/relationships/hyperlink" Target="https://www.matatiele.gov.za/job/advert-for-road-signs-127/" TargetMode="External"/><Relationship Id="rId121" Type="http://schemas.openxmlformats.org/officeDocument/2006/relationships/hyperlink" Target="https://www.etenders.gov.za/home/Download/?blobName=68103135-cfef-4b24-84c0-41a63891c6d7.pdf&amp;downloadedFileName=BID%20NOTICE%20BV1174.pdf" TargetMode="External"/><Relationship Id="rId219" Type="http://schemas.openxmlformats.org/officeDocument/2006/relationships/hyperlink" Target="https://www.etenders.gov.za/home/Download/?blobName=4e499bd7-f211-4371-bacc-c71513ab4690.pdf&amp;downloadedFileName=RW10410343%20final%20document%20-%2019%20June%202026.pdf" TargetMode="External"/><Relationship Id="rId426" Type="http://schemas.openxmlformats.org/officeDocument/2006/relationships/hyperlink" Target="https://www.umzimvubu.gov.za/wp-content/uploads/2025/02/Capture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3"/>
  <sheetViews>
    <sheetView workbookViewId="0"/>
  </sheetViews>
  <sheetFormatPr defaultRowHeight="14.4" x14ac:dyDescent="0.3"/>
  <cols>
    <col min="1" max="1" width="13.21875" bestFit="1" customWidth="1"/>
    <col min="4" max="4" width="18.21875" bestFit="1" customWidth="1"/>
    <col min="5" max="5" width="14"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6" x14ac:dyDescent="0.3">
      <c r="A2" s="2">
        <v>46191</v>
      </c>
      <c r="B2">
        <v>502</v>
      </c>
      <c r="C2" t="s">
        <v>22</v>
      </c>
      <c r="D2" s="2">
        <v>46191</v>
      </c>
      <c r="E2" s="2">
        <v>46230</v>
      </c>
      <c r="F2" t="s">
        <v>23</v>
      </c>
      <c r="G2" t="s">
        <v>24</v>
      </c>
      <c r="H2" t="s">
        <v>25</v>
      </c>
      <c r="I2" t="s">
        <v>26</v>
      </c>
      <c r="J2" t="s">
        <v>27</v>
      </c>
      <c r="K2" t="s">
        <v>28</v>
      </c>
      <c r="L2" t="s">
        <v>29</v>
      </c>
      <c r="M2" t="s">
        <v>30</v>
      </c>
      <c r="N2" t="s">
        <v>31</v>
      </c>
      <c r="O2" t="s">
        <v>31</v>
      </c>
      <c r="P2" t="s">
        <v>32</v>
      </c>
      <c r="Q2" s="3" t="s">
        <v>33</v>
      </c>
    </row>
    <row r="3" spans="1:22" ht="15.6" x14ac:dyDescent="0.3">
      <c r="A3" s="2">
        <v>46191</v>
      </c>
      <c r="B3">
        <v>501</v>
      </c>
      <c r="C3" t="s">
        <v>34</v>
      </c>
      <c r="D3" s="2">
        <v>46191</v>
      </c>
      <c r="E3" s="2">
        <v>46230</v>
      </c>
      <c r="F3" t="s">
        <v>23</v>
      </c>
      <c r="G3" t="s">
        <v>24</v>
      </c>
      <c r="H3" t="s">
        <v>35</v>
      </c>
      <c r="I3" t="s">
        <v>26</v>
      </c>
      <c r="J3" t="s">
        <v>27</v>
      </c>
      <c r="K3" t="s">
        <v>28</v>
      </c>
      <c r="L3" t="s">
        <v>29</v>
      </c>
      <c r="M3" t="s">
        <v>36</v>
      </c>
      <c r="N3" t="s">
        <v>31</v>
      </c>
      <c r="O3" t="s">
        <v>31</v>
      </c>
      <c r="P3" t="s">
        <v>37</v>
      </c>
      <c r="Q3" s="3" t="s">
        <v>38</v>
      </c>
    </row>
    <row r="4" spans="1:22" ht="15.6" x14ac:dyDescent="0.3">
      <c r="A4" s="2">
        <v>46191</v>
      </c>
      <c r="B4">
        <v>500</v>
      </c>
      <c r="C4" t="s">
        <v>39</v>
      </c>
      <c r="D4" s="2">
        <v>46191</v>
      </c>
      <c r="E4" s="2">
        <v>46230</v>
      </c>
      <c r="F4" t="s">
        <v>23</v>
      </c>
      <c r="G4" t="s">
        <v>24</v>
      </c>
      <c r="H4" t="s">
        <v>40</v>
      </c>
      <c r="I4" t="s">
        <v>26</v>
      </c>
      <c r="J4" t="s">
        <v>41</v>
      </c>
      <c r="K4" t="s">
        <v>42</v>
      </c>
      <c r="L4" t="s">
        <v>29</v>
      </c>
      <c r="M4" t="s">
        <v>30</v>
      </c>
      <c r="N4" t="s">
        <v>31</v>
      </c>
      <c r="O4" t="s">
        <v>31</v>
      </c>
      <c r="P4" t="s">
        <v>43</v>
      </c>
      <c r="Q4" s="3" t="s">
        <v>44</v>
      </c>
    </row>
    <row r="5" spans="1:22" ht="15.6" x14ac:dyDescent="0.3">
      <c r="A5" s="2">
        <v>46191</v>
      </c>
      <c r="B5">
        <v>499</v>
      </c>
      <c r="C5" t="s">
        <v>45</v>
      </c>
      <c r="D5" s="2">
        <v>46191</v>
      </c>
      <c r="E5" s="2">
        <v>46234</v>
      </c>
      <c r="F5" t="s">
        <v>23</v>
      </c>
      <c r="G5" t="s">
        <v>24</v>
      </c>
      <c r="H5" t="s">
        <v>46</v>
      </c>
      <c r="I5" t="s">
        <v>26</v>
      </c>
      <c r="J5" t="s">
        <v>47</v>
      </c>
      <c r="K5" t="s">
        <v>48</v>
      </c>
      <c r="L5" t="s">
        <v>29</v>
      </c>
      <c r="M5" t="s">
        <v>49</v>
      </c>
      <c r="N5" t="s">
        <v>31</v>
      </c>
      <c r="O5" t="s">
        <v>31</v>
      </c>
      <c r="P5" t="s">
        <v>50</v>
      </c>
      <c r="Q5" s="3" t="s">
        <v>51</v>
      </c>
    </row>
    <row r="6" spans="1:22" ht="15.6" x14ac:dyDescent="0.3">
      <c r="A6" s="2">
        <v>46191</v>
      </c>
      <c r="B6">
        <v>498</v>
      </c>
      <c r="C6" t="s">
        <v>52</v>
      </c>
      <c r="D6" s="2">
        <v>46191</v>
      </c>
      <c r="E6" s="2">
        <v>46226</v>
      </c>
      <c r="F6" t="s">
        <v>23</v>
      </c>
      <c r="G6" t="s">
        <v>24</v>
      </c>
      <c r="H6" t="s">
        <v>53</v>
      </c>
      <c r="I6" t="s">
        <v>26</v>
      </c>
      <c r="J6" t="s">
        <v>27</v>
      </c>
      <c r="K6" t="s">
        <v>28</v>
      </c>
      <c r="L6" t="s">
        <v>29</v>
      </c>
      <c r="M6" t="s">
        <v>36</v>
      </c>
      <c r="N6" t="s">
        <v>31</v>
      </c>
      <c r="O6" t="s">
        <v>31</v>
      </c>
      <c r="P6" t="s">
        <v>54</v>
      </c>
      <c r="Q6" s="3" t="s">
        <v>55</v>
      </c>
    </row>
    <row r="7" spans="1:22" ht="15.6" x14ac:dyDescent="0.3">
      <c r="A7" s="2">
        <v>46191</v>
      </c>
      <c r="B7">
        <v>497</v>
      </c>
      <c r="C7" t="s">
        <v>56</v>
      </c>
      <c r="D7" s="2">
        <v>46191</v>
      </c>
      <c r="E7" s="2">
        <v>46226</v>
      </c>
      <c r="F7" t="s">
        <v>23</v>
      </c>
      <c r="G7" t="s">
        <v>24</v>
      </c>
      <c r="H7" t="s">
        <v>57</v>
      </c>
      <c r="I7" t="s">
        <v>26</v>
      </c>
      <c r="J7" t="s">
        <v>27</v>
      </c>
      <c r="K7" t="s">
        <v>28</v>
      </c>
      <c r="L7" t="s">
        <v>29</v>
      </c>
      <c r="M7" t="s">
        <v>36</v>
      </c>
      <c r="N7" t="s">
        <v>31</v>
      </c>
      <c r="O7" t="s">
        <v>31</v>
      </c>
      <c r="P7" t="s">
        <v>54</v>
      </c>
      <c r="Q7" s="3" t="s">
        <v>58</v>
      </c>
    </row>
    <row r="8" spans="1:22" ht="15.6" x14ac:dyDescent="0.3">
      <c r="A8" s="2">
        <v>46191</v>
      </c>
      <c r="B8">
        <v>496</v>
      </c>
      <c r="C8" t="s">
        <v>59</v>
      </c>
      <c r="D8" s="2">
        <v>46191</v>
      </c>
      <c r="E8" s="2">
        <v>46225</v>
      </c>
      <c r="F8" t="s">
        <v>23</v>
      </c>
      <c r="G8" t="s">
        <v>24</v>
      </c>
      <c r="H8" t="s">
        <v>60</v>
      </c>
      <c r="I8" t="s">
        <v>26</v>
      </c>
      <c r="J8" t="s">
        <v>61</v>
      </c>
      <c r="K8" t="s">
        <v>62</v>
      </c>
      <c r="L8" t="s">
        <v>29</v>
      </c>
      <c r="M8" t="s">
        <v>63</v>
      </c>
      <c r="N8" t="s">
        <v>29</v>
      </c>
      <c r="O8" t="s">
        <v>29</v>
      </c>
      <c r="P8" t="s">
        <v>64</v>
      </c>
      <c r="Q8" s="3" t="s">
        <v>65</v>
      </c>
    </row>
    <row r="9" spans="1:22" ht="15.6" x14ac:dyDescent="0.3">
      <c r="A9" s="2">
        <v>46191</v>
      </c>
      <c r="B9">
        <v>495</v>
      </c>
      <c r="C9" t="s">
        <v>66</v>
      </c>
      <c r="D9" s="2">
        <v>46191</v>
      </c>
      <c r="E9" s="2">
        <v>46225</v>
      </c>
      <c r="F9" t="s">
        <v>23</v>
      </c>
      <c r="G9" t="s">
        <v>24</v>
      </c>
      <c r="H9" t="s">
        <v>67</v>
      </c>
      <c r="I9" t="s">
        <v>26</v>
      </c>
      <c r="J9" t="s">
        <v>61</v>
      </c>
      <c r="K9" t="s">
        <v>62</v>
      </c>
      <c r="L9" t="s">
        <v>29</v>
      </c>
      <c r="M9" t="s">
        <v>63</v>
      </c>
      <c r="N9" t="s">
        <v>29</v>
      </c>
      <c r="O9" t="s">
        <v>29</v>
      </c>
      <c r="P9" t="s">
        <v>64</v>
      </c>
      <c r="Q9" s="3" t="s">
        <v>68</v>
      </c>
    </row>
    <row r="10" spans="1:22" ht="15.6" x14ac:dyDescent="0.3">
      <c r="A10" s="2">
        <v>46191</v>
      </c>
      <c r="B10">
        <v>494</v>
      </c>
      <c r="C10" t="s">
        <v>69</v>
      </c>
      <c r="D10" s="2">
        <v>46191</v>
      </c>
      <c r="E10" s="2">
        <v>46225</v>
      </c>
      <c r="F10" t="s">
        <v>23</v>
      </c>
      <c r="G10" t="s">
        <v>24</v>
      </c>
      <c r="H10" t="s">
        <v>70</v>
      </c>
      <c r="I10" t="s">
        <v>26</v>
      </c>
      <c r="J10" t="s">
        <v>61</v>
      </c>
      <c r="K10" t="s">
        <v>62</v>
      </c>
      <c r="L10" t="s">
        <v>29</v>
      </c>
      <c r="M10" t="s">
        <v>63</v>
      </c>
      <c r="N10" t="s">
        <v>29</v>
      </c>
      <c r="O10" t="s">
        <v>29</v>
      </c>
      <c r="P10" t="s">
        <v>64</v>
      </c>
      <c r="Q10" s="3" t="s">
        <v>71</v>
      </c>
    </row>
    <row r="11" spans="1:22" ht="15.6" x14ac:dyDescent="0.3">
      <c r="A11" s="2">
        <v>46191</v>
      </c>
      <c r="B11">
        <v>493</v>
      </c>
      <c r="C11" t="s">
        <v>72</v>
      </c>
      <c r="D11" s="2">
        <v>46191</v>
      </c>
      <c r="E11" s="2">
        <v>46225</v>
      </c>
      <c r="F11" t="s">
        <v>23</v>
      </c>
      <c r="G11" t="s">
        <v>24</v>
      </c>
      <c r="H11" t="s">
        <v>73</v>
      </c>
      <c r="I11" t="s">
        <v>26</v>
      </c>
      <c r="J11" t="s">
        <v>61</v>
      </c>
      <c r="K11" t="s">
        <v>62</v>
      </c>
      <c r="L11" t="s">
        <v>29</v>
      </c>
      <c r="M11" t="s">
        <v>63</v>
      </c>
      <c r="N11" t="s">
        <v>29</v>
      </c>
      <c r="O11" t="s">
        <v>29</v>
      </c>
      <c r="P11" t="s">
        <v>64</v>
      </c>
      <c r="Q11" s="3" t="s">
        <v>74</v>
      </c>
    </row>
    <row r="12" spans="1:22" ht="15.6" x14ac:dyDescent="0.3">
      <c r="A12" s="2">
        <v>46191</v>
      </c>
      <c r="B12">
        <v>492</v>
      </c>
      <c r="C12" t="s">
        <v>75</v>
      </c>
      <c r="D12" s="2">
        <v>46191</v>
      </c>
      <c r="E12" s="2">
        <v>46225</v>
      </c>
      <c r="F12" t="s">
        <v>23</v>
      </c>
      <c r="G12" t="s">
        <v>24</v>
      </c>
      <c r="H12" t="s">
        <v>76</v>
      </c>
      <c r="I12" t="s">
        <v>26</v>
      </c>
      <c r="J12" t="s">
        <v>61</v>
      </c>
      <c r="K12" t="s">
        <v>62</v>
      </c>
      <c r="L12" t="s">
        <v>29</v>
      </c>
      <c r="M12" t="s">
        <v>63</v>
      </c>
      <c r="N12" t="s">
        <v>29</v>
      </c>
      <c r="O12" t="s">
        <v>29</v>
      </c>
      <c r="P12" t="s">
        <v>64</v>
      </c>
      <c r="Q12" s="3" t="s">
        <v>77</v>
      </c>
    </row>
    <row r="13" spans="1:22" ht="15.6" x14ac:dyDescent="0.3">
      <c r="A13" s="2">
        <v>46191</v>
      </c>
      <c r="B13">
        <v>491</v>
      </c>
      <c r="C13" t="s">
        <v>78</v>
      </c>
      <c r="D13" s="2">
        <v>46191</v>
      </c>
      <c r="E13" s="2">
        <v>46225</v>
      </c>
      <c r="F13" t="s">
        <v>23</v>
      </c>
      <c r="G13" t="s">
        <v>24</v>
      </c>
      <c r="H13" t="s">
        <v>79</v>
      </c>
      <c r="I13" t="s">
        <v>26</v>
      </c>
      <c r="J13" t="s">
        <v>61</v>
      </c>
      <c r="K13" t="s">
        <v>62</v>
      </c>
      <c r="L13" t="s">
        <v>29</v>
      </c>
      <c r="M13" t="s">
        <v>63</v>
      </c>
      <c r="N13" t="s">
        <v>29</v>
      </c>
      <c r="O13" t="s">
        <v>29</v>
      </c>
      <c r="P13" t="s">
        <v>64</v>
      </c>
      <c r="Q13" s="3" t="s">
        <v>80</v>
      </c>
    </row>
    <row r="14" spans="1:22" ht="15.6" x14ac:dyDescent="0.3">
      <c r="A14" s="2">
        <v>46191</v>
      </c>
      <c r="B14">
        <v>490</v>
      </c>
      <c r="C14" t="s">
        <v>81</v>
      </c>
      <c r="D14" s="2">
        <v>46191</v>
      </c>
      <c r="E14" s="2">
        <v>46225</v>
      </c>
      <c r="F14" t="s">
        <v>23</v>
      </c>
      <c r="G14" t="s">
        <v>24</v>
      </c>
      <c r="H14" t="s">
        <v>82</v>
      </c>
      <c r="I14" t="s">
        <v>26</v>
      </c>
      <c r="J14" t="s">
        <v>61</v>
      </c>
      <c r="K14" t="s">
        <v>62</v>
      </c>
      <c r="L14" t="s">
        <v>29</v>
      </c>
      <c r="M14" t="s">
        <v>63</v>
      </c>
      <c r="N14" t="s">
        <v>29</v>
      </c>
      <c r="O14" t="s">
        <v>29</v>
      </c>
      <c r="P14" t="s">
        <v>64</v>
      </c>
      <c r="Q14" s="3" t="s">
        <v>83</v>
      </c>
    </row>
    <row r="15" spans="1:22" ht="15.6" x14ac:dyDescent="0.3">
      <c r="A15" s="2">
        <v>46191</v>
      </c>
      <c r="B15">
        <v>489</v>
      </c>
      <c r="C15" t="s">
        <v>84</v>
      </c>
      <c r="D15" s="2">
        <v>46191</v>
      </c>
      <c r="E15" s="2">
        <v>46225</v>
      </c>
      <c r="F15" t="s">
        <v>23</v>
      </c>
      <c r="G15" t="s">
        <v>24</v>
      </c>
      <c r="H15" t="s">
        <v>85</v>
      </c>
      <c r="I15" t="s">
        <v>26</v>
      </c>
      <c r="J15" t="s">
        <v>61</v>
      </c>
      <c r="K15" t="s">
        <v>62</v>
      </c>
      <c r="L15" t="s">
        <v>29</v>
      </c>
      <c r="M15" t="s">
        <v>63</v>
      </c>
      <c r="N15" t="s">
        <v>29</v>
      </c>
      <c r="O15" t="s">
        <v>29</v>
      </c>
      <c r="P15" t="s">
        <v>64</v>
      </c>
      <c r="Q15" s="3" t="s">
        <v>86</v>
      </c>
    </row>
    <row r="16" spans="1:22" ht="15.6" x14ac:dyDescent="0.3">
      <c r="A16" s="2">
        <v>46191</v>
      </c>
      <c r="B16">
        <v>488</v>
      </c>
      <c r="C16" t="s">
        <v>87</v>
      </c>
      <c r="D16" s="2">
        <v>46191</v>
      </c>
      <c r="E16" s="2">
        <v>46225</v>
      </c>
      <c r="F16" t="s">
        <v>23</v>
      </c>
      <c r="G16" t="s">
        <v>24</v>
      </c>
      <c r="H16" t="s">
        <v>88</v>
      </c>
      <c r="I16" t="s">
        <v>26</v>
      </c>
      <c r="J16" t="s">
        <v>61</v>
      </c>
      <c r="K16" t="s">
        <v>62</v>
      </c>
      <c r="L16" t="s">
        <v>29</v>
      </c>
      <c r="M16" t="s">
        <v>63</v>
      </c>
      <c r="N16" t="s">
        <v>29</v>
      </c>
      <c r="O16" t="s">
        <v>29</v>
      </c>
      <c r="P16" t="s">
        <v>64</v>
      </c>
      <c r="Q16" s="3" t="s">
        <v>89</v>
      </c>
    </row>
    <row r="17" spans="1:17" ht="15.6" x14ac:dyDescent="0.3">
      <c r="A17" s="2">
        <v>46191</v>
      </c>
      <c r="B17">
        <v>487</v>
      </c>
      <c r="C17" t="s">
        <v>90</v>
      </c>
      <c r="D17" s="2">
        <v>46191</v>
      </c>
      <c r="E17" s="2">
        <v>46225</v>
      </c>
      <c r="F17" t="s">
        <v>23</v>
      </c>
      <c r="G17" t="s">
        <v>24</v>
      </c>
      <c r="H17" t="s">
        <v>91</v>
      </c>
      <c r="I17" t="s">
        <v>26</v>
      </c>
      <c r="J17" t="s">
        <v>61</v>
      </c>
      <c r="K17" t="s">
        <v>62</v>
      </c>
      <c r="L17" t="s">
        <v>29</v>
      </c>
      <c r="M17" t="s">
        <v>63</v>
      </c>
      <c r="N17" t="s">
        <v>29</v>
      </c>
      <c r="O17" t="s">
        <v>29</v>
      </c>
      <c r="P17" t="s">
        <v>64</v>
      </c>
      <c r="Q17" s="3" t="s">
        <v>92</v>
      </c>
    </row>
    <row r="18" spans="1:17" ht="15.6" x14ac:dyDescent="0.3">
      <c r="A18" s="2">
        <v>46191</v>
      </c>
      <c r="B18">
        <v>486</v>
      </c>
      <c r="C18" t="s">
        <v>93</v>
      </c>
      <c r="D18" s="2">
        <v>46191</v>
      </c>
      <c r="E18" s="2">
        <v>46225</v>
      </c>
      <c r="F18" t="s">
        <v>23</v>
      </c>
      <c r="G18" t="s">
        <v>24</v>
      </c>
      <c r="H18" t="s">
        <v>94</v>
      </c>
      <c r="I18" t="s">
        <v>26</v>
      </c>
      <c r="J18" t="s">
        <v>61</v>
      </c>
      <c r="K18" t="s">
        <v>62</v>
      </c>
      <c r="L18" t="s">
        <v>29</v>
      </c>
      <c r="M18" t="s">
        <v>63</v>
      </c>
      <c r="N18" t="s">
        <v>29</v>
      </c>
      <c r="O18" t="s">
        <v>29</v>
      </c>
      <c r="P18" t="s">
        <v>64</v>
      </c>
      <c r="Q18" s="3" t="s">
        <v>95</v>
      </c>
    </row>
    <row r="19" spans="1:17" ht="15.6" x14ac:dyDescent="0.3">
      <c r="A19" s="2">
        <v>46191</v>
      </c>
      <c r="B19">
        <v>485</v>
      </c>
      <c r="C19" t="s">
        <v>96</v>
      </c>
      <c r="D19" s="2">
        <v>46191</v>
      </c>
      <c r="E19" s="2">
        <v>46225</v>
      </c>
      <c r="F19" t="s">
        <v>23</v>
      </c>
      <c r="G19" t="s">
        <v>24</v>
      </c>
      <c r="H19" t="s">
        <v>97</v>
      </c>
      <c r="I19" t="s">
        <v>26</v>
      </c>
      <c r="J19" t="s">
        <v>61</v>
      </c>
      <c r="K19" t="s">
        <v>62</v>
      </c>
      <c r="L19" t="s">
        <v>29</v>
      </c>
      <c r="M19" t="s">
        <v>63</v>
      </c>
      <c r="N19" t="s">
        <v>29</v>
      </c>
      <c r="O19" t="s">
        <v>29</v>
      </c>
      <c r="P19" t="s">
        <v>64</v>
      </c>
      <c r="Q19" s="3" t="s">
        <v>98</v>
      </c>
    </row>
    <row r="20" spans="1:17" ht="15.6" x14ac:dyDescent="0.3">
      <c r="A20" s="2">
        <v>46191</v>
      </c>
      <c r="B20">
        <v>484</v>
      </c>
      <c r="C20" t="s">
        <v>99</v>
      </c>
      <c r="D20" s="2">
        <v>46191</v>
      </c>
      <c r="E20" s="2">
        <v>46225</v>
      </c>
      <c r="F20" t="s">
        <v>23</v>
      </c>
      <c r="G20" t="s">
        <v>24</v>
      </c>
      <c r="H20" t="s">
        <v>100</v>
      </c>
      <c r="I20" t="s">
        <v>26</v>
      </c>
      <c r="J20" t="s">
        <v>61</v>
      </c>
      <c r="K20" t="s">
        <v>62</v>
      </c>
      <c r="L20" t="s">
        <v>29</v>
      </c>
      <c r="M20" t="s">
        <v>63</v>
      </c>
      <c r="N20" t="s">
        <v>29</v>
      </c>
      <c r="O20" t="s">
        <v>29</v>
      </c>
      <c r="P20" t="s">
        <v>64</v>
      </c>
      <c r="Q20" s="3" t="s">
        <v>101</v>
      </c>
    </row>
    <row r="21" spans="1:17" ht="15.6" x14ac:dyDescent="0.3">
      <c r="A21" s="2">
        <v>46191</v>
      </c>
      <c r="B21">
        <v>483</v>
      </c>
      <c r="C21" t="s">
        <v>102</v>
      </c>
      <c r="D21" s="2">
        <v>46191</v>
      </c>
      <c r="E21" s="2">
        <v>46225</v>
      </c>
      <c r="F21" t="s">
        <v>23</v>
      </c>
      <c r="G21" t="s">
        <v>24</v>
      </c>
      <c r="H21" t="s">
        <v>103</v>
      </c>
      <c r="I21" t="s">
        <v>26</v>
      </c>
      <c r="J21" t="s">
        <v>61</v>
      </c>
      <c r="K21" t="s">
        <v>62</v>
      </c>
      <c r="L21" t="s">
        <v>29</v>
      </c>
      <c r="M21" t="s">
        <v>63</v>
      </c>
      <c r="N21" t="s">
        <v>29</v>
      </c>
      <c r="O21" t="s">
        <v>29</v>
      </c>
      <c r="P21" t="s">
        <v>64</v>
      </c>
      <c r="Q21" s="3" t="s">
        <v>104</v>
      </c>
    </row>
    <row r="22" spans="1:17" ht="15.6" x14ac:dyDescent="0.3">
      <c r="A22" s="2">
        <v>46191</v>
      </c>
      <c r="B22">
        <v>482</v>
      </c>
      <c r="C22" t="s">
        <v>105</v>
      </c>
      <c r="D22" s="2">
        <v>46191</v>
      </c>
      <c r="E22" s="2">
        <v>46225</v>
      </c>
      <c r="F22" t="s">
        <v>23</v>
      </c>
      <c r="G22" t="s">
        <v>24</v>
      </c>
      <c r="H22" t="s">
        <v>106</v>
      </c>
      <c r="I22" t="s">
        <v>26</v>
      </c>
      <c r="J22" t="s">
        <v>61</v>
      </c>
      <c r="K22" t="s">
        <v>62</v>
      </c>
      <c r="L22" t="s">
        <v>29</v>
      </c>
      <c r="M22" t="s">
        <v>63</v>
      </c>
      <c r="N22" t="s">
        <v>29</v>
      </c>
      <c r="O22" t="s">
        <v>29</v>
      </c>
      <c r="P22" t="s">
        <v>64</v>
      </c>
      <c r="Q22" s="3" t="s">
        <v>107</v>
      </c>
    </row>
    <row r="23" spans="1:17" ht="15.6" x14ac:dyDescent="0.3">
      <c r="A23" s="2">
        <v>46191</v>
      </c>
      <c r="B23">
        <v>481</v>
      </c>
      <c r="C23" t="s">
        <v>108</v>
      </c>
      <c r="D23" s="2">
        <v>46191</v>
      </c>
      <c r="E23" s="2">
        <v>46225</v>
      </c>
      <c r="F23" t="s">
        <v>23</v>
      </c>
      <c r="G23" t="s">
        <v>24</v>
      </c>
      <c r="H23" t="s">
        <v>109</v>
      </c>
      <c r="I23" t="s">
        <v>26</v>
      </c>
      <c r="J23" t="s">
        <v>61</v>
      </c>
      <c r="K23" t="s">
        <v>62</v>
      </c>
      <c r="L23" t="s">
        <v>29</v>
      </c>
      <c r="M23" t="s">
        <v>63</v>
      </c>
      <c r="N23" t="s">
        <v>29</v>
      </c>
      <c r="O23" t="s">
        <v>29</v>
      </c>
      <c r="P23" t="s">
        <v>64</v>
      </c>
      <c r="Q23" s="3" t="s">
        <v>110</v>
      </c>
    </row>
    <row r="24" spans="1:17" ht="15.6" x14ac:dyDescent="0.3">
      <c r="A24" s="2">
        <v>46191</v>
      </c>
      <c r="B24">
        <v>480</v>
      </c>
      <c r="C24" t="s">
        <v>111</v>
      </c>
      <c r="D24" s="2">
        <v>46191</v>
      </c>
      <c r="E24" s="2">
        <v>46225</v>
      </c>
      <c r="F24" t="s">
        <v>23</v>
      </c>
      <c r="G24" t="s">
        <v>24</v>
      </c>
      <c r="H24" t="s">
        <v>112</v>
      </c>
      <c r="I24" t="s">
        <v>26</v>
      </c>
      <c r="J24" t="s">
        <v>61</v>
      </c>
      <c r="K24" t="s">
        <v>62</v>
      </c>
      <c r="L24" t="s">
        <v>29</v>
      </c>
      <c r="M24" t="s">
        <v>63</v>
      </c>
      <c r="N24" t="s">
        <v>29</v>
      </c>
      <c r="O24" t="s">
        <v>29</v>
      </c>
      <c r="P24" t="s">
        <v>64</v>
      </c>
      <c r="Q24" s="3" t="s">
        <v>113</v>
      </c>
    </row>
    <row r="25" spans="1:17" ht="15.6" x14ac:dyDescent="0.3">
      <c r="A25" s="2">
        <v>46191</v>
      </c>
      <c r="B25">
        <v>479</v>
      </c>
      <c r="C25" t="s">
        <v>114</v>
      </c>
      <c r="D25" s="2">
        <v>46191</v>
      </c>
      <c r="E25" s="2">
        <v>46225</v>
      </c>
      <c r="F25" t="s">
        <v>23</v>
      </c>
      <c r="G25" t="s">
        <v>24</v>
      </c>
      <c r="H25" t="s">
        <v>115</v>
      </c>
      <c r="I25" t="s">
        <v>26</v>
      </c>
      <c r="J25" t="s">
        <v>61</v>
      </c>
      <c r="K25" t="s">
        <v>62</v>
      </c>
      <c r="L25" t="s">
        <v>29</v>
      </c>
      <c r="M25" t="s">
        <v>63</v>
      </c>
      <c r="N25" t="s">
        <v>29</v>
      </c>
      <c r="O25" t="s">
        <v>29</v>
      </c>
      <c r="P25" t="s">
        <v>64</v>
      </c>
      <c r="Q25" s="3" t="s">
        <v>116</v>
      </c>
    </row>
    <row r="26" spans="1:17" ht="15.6" x14ac:dyDescent="0.3">
      <c r="A26" s="2">
        <v>46191</v>
      </c>
      <c r="B26">
        <v>478</v>
      </c>
      <c r="C26" t="s">
        <v>117</v>
      </c>
      <c r="D26" s="2">
        <v>46191</v>
      </c>
      <c r="E26" s="2">
        <v>46223</v>
      </c>
      <c r="F26" t="s">
        <v>23</v>
      </c>
      <c r="G26" t="s">
        <v>24</v>
      </c>
      <c r="H26" t="s">
        <v>118</v>
      </c>
      <c r="I26" t="s">
        <v>26</v>
      </c>
      <c r="J26" t="s">
        <v>119</v>
      </c>
      <c r="K26" t="s">
        <v>28</v>
      </c>
      <c r="L26" t="s">
        <v>29</v>
      </c>
      <c r="M26" t="s">
        <v>120</v>
      </c>
      <c r="N26" t="s">
        <v>29</v>
      </c>
      <c r="O26" t="s">
        <v>29</v>
      </c>
      <c r="P26" t="s">
        <v>64</v>
      </c>
      <c r="Q26" s="3" t="s">
        <v>121</v>
      </c>
    </row>
    <row r="27" spans="1:17" ht="15.6" x14ac:dyDescent="0.3">
      <c r="A27" s="2">
        <v>46191</v>
      </c>
      <c r="B27">
        <v>477</v>
      </c>
      <c r="C27" t="s">
        <v>122</v>
      </c>
      <c r="D27" s="2">
        <v>46191</v>
      </c>
      <c r="E27" s="2">
        <v>46225</v>
      </c>
      <c r="F27" t="s">
        <v>123</v>
      </c>
      <c r="G27" t="s">
        <v>124</v>
      </c>
      <c r="H27" t="s">
        <v>125</v>
      </c>
      <c r="I27" t="s">
        <v>26</v>
      </c>
      <c r="J27" t="s">
        <v>126</v>
      </c>
      <c r="K27" t="s">
        <v>127</v>
      </c>
      <c r="L27" t="s">
        <v>29</v>
      </c>
      <c r="M27" t="s">
        <v>128</v>
      </c>
      <c r="N27" t="s">
        <v>31</v>
      </c>
      <c r="O27" t="s">
        <v>31</v>
      </c>
      <c r="P27" t="s">
        <v>129</v>
      </c>
      <c r="Q27" s="3" t="s">
        <v>130</v>
      </c>
    </row>
    <row r="28" spans="1:17" ht="15.6" x14ac:dyDescent="0.3">
      <c r="A28" s="2">
        <v>46191</v>
      </c>
      <c r="B28">
        <v>476</v>
      </c>
      <c r="C28" t="s">
        <v>131</v>
      </c>
      <c r="D28" s="2">
        <v>46191</v>
      </c>
      <c r="E28" s="2">
        <v>46225</v>
      </c>
      <c r="F28" t="s">
        <v>23</v>
      </c>
      <c r="G28" t="s">
        <v>24</v>
      </c>
      <c r="H28" t="s">
        <v>132</v>
      </c>
      <c r="I28" t="s">
        <v>26</v>
      </c>
      <c r="J28" t="s">
        <v>133</v>
      </c>
      <c r="K28" t="s">
        <v>62</v>
      </c>
      <c r="L28" t="s">
        <v>29</v>
      </c>
      <c r="M28" t="s">
        <v>134</v>
      </c>
      <c r="N28" t="s">
        <v>31</v>
      </c>
      <c r="O28" t="s">
        <v>31</v>
      </c>
      <c r="P28" t="s">
        <v>135</v>
      </c>
      <c r="Q28" s="3" t="s">
        <v>136</v>
      </c>
    </row>
    <row r="29" spans="1:17" ht="15.6" x14ac:dyDescent="0.3">
      <c r="A29" s="2">
        <v>46191</v>
      </c>
      <c r="B29">
        <v>475</v>
      </c>
      <c r="C29" t="s">
        <v>137</v>
      </c>
      <c r="D29" s="2">
        <v>46191</v>
      </c>
      <c r="E29" s="2">
        <v>46225</v>
      </c>
      <c r="F29" t="s">
        <v>23</v>
      </c>
      <c r="G29" t="s">
        <v>24</v>
      </c>
      <c r="H29" t="s">
        <v>138</v>
      </c>
      <c r="I29" t="s">
        <v>26</v>
      </c>
      <c r="J29" t="s">
        <v>133</v>
      </c>
      <c r="K29" t="s">
        <v>62</v>
      </c>
      <c r="L29" t="s">
        <v>29</v>
      </c>
      <c r="M29" t="s">
        <v>134</v>
      </c>
      <c r="N29" t="s">
        <v>31</v>
      </c>
      <c r="O29" t="s">
        <v>31</v>
      </c>
      <c r="P29" t="s">
        <v>135</v>
      </c>
      <c r="Q29" s="3" t="s">
        <v>139</v>
      </c>
    </row>
    <row r="30" spans="1:17" ht="15.6" x14ac:dyDescent="0.3">
      <c r="A30" s="2">
        <v>46191</v>
      </c>
      <c r="B30">
        <v>474</v>
      </c>
      <c r="C30" t="s">
        <v>140</v>
      </c>
      <c r="D30" s="2">
        <v>46191</v>
      </c>
      <c r="E30" s="2">
        <v>46225</v>
      </c>
      <c r="F30" t="s">
        <v>23</v>
      </c>
      <c r="G30" t="s">
        <v>24</v>
      </c>
      <c r="H30" t="s">
        <v>141</v>
      </c>
      <c r="I30" t="s">
        <v>26</v>
      </c>
      <c r="J30" t="s">
        <v>133</v>
      </c>
      <c r="K30" t="s">
        <v>62</v>
      </c>
      <c r="L30" t="s">
        <v>29</v>
      </c>
      <c r="M30" t="s">
        <v>134</v>
      </c>
      <c r="N30" t="s">
        <v>31</v>
      </c>
      <c r="O30" t="s">
        <v>31</v>
      </c>
      <c r="P30" t="s">
        <v>135</v>
      </c>
      <c r="Q30" s="3" t="s">
        <v>142</v>
      </c>
    </row>
    <row r="31" spans="1:17" ht="15.6" x14ac:dyDescent="0.3">
      <c r="A31" s="2">
        <v>46191</v>
      </c>
      <c r="B31">
        <v>473</v>
      </c>
      <c r="C31" t="s">
        <v>143</v>
      </c>
      <c r="D31" s="2">
        <v>46191</v>
      </c>
      <c r="E31" s="2">
        <v>46225</v>
      </c>
      <c r="F31" t="s">
        <v>23</v>
      </c>
      <c r="G31" t="s">
        <v>24</v>
      </c>
      <c r="H31" t="s">
        <v>144</v>
      </c>
      <c r="I31" t="s">
        <v>26</v>
      </c>
      <c r="J31" t="s">
        <v>133</v>
      </c>
      <c r="K31" t="s">
        <v>62</v>
      </c>
      <c r="L31" t="s">
        <v>29</v>
      </c>
      <c r="M31" t="s">
        <v>134</v>
      </c>
      <c r="N31" t="s">
        <v>31</v>
      </c>
      <c r="O31" t="s">
        <v>31</v>
      </c>
      <c r="P31" t="s">
        <v>135</v>
      </c>
      <c r="Q31" s="3" t="s">
        <v>145</v>
      </c>
    </row>
    <row r="32" spans="1:17" ht="15.6" x14ac:dyDescent="0.3">
      <c r="A32" s="2">
        <v>46191</v>
      </c>
      <c r="B32">
        <v>472</v>
      </c>
      <c r="C32" t="s">
        <v>146</v>
      </c>
      <c r="D32" s="2">
        <v>46191</v>
      </c>
      <c r="E32" s="2">
        <v>46225</v>
      </c>
      <c r="F32" t="s">
        <v>23</v>
      </c>
      <c r="G32" t="s">
        <v>147</v>
      </c>
      <c r="H32" t="s">
        <v>148</v>
      </c>
      <c r="I32" t="s">
        <v>26</v>
      </c>
      <c r="J32" t="s">
        <v>149</v>
      </c>
      <c r="K32" t="s">
        <v>150</v>
      </c>
      <c r="L32" t="s">
        <v>29</v>
      </c>
      <c r="M32" t="s">
        <v>30</v>
      </c>
      <c r="N32" t="s">
        <v>29</v>
      </c>
      <c r="O32" t="s">
        <v>29</v>
      </c>
      <c r="P32" t="s">
        <v>64</v>
      </c>
      <c r="Q32" s="3" t="s">
        <v>151</v>
      </c>
    </row>
    <row r="33" spans="1:17" ht="15.6" x14ac:dyDescent="0.3">
      <c r="A33" s="2">
        <v>46191</v>
      </c>
      <c r="B33">
        <v>471</v>
      </c>
      <c r="C33" t="s">
        <v>152</v>
      </c>
      <c r="D33" s="2">
        <v>46191</v>
      </c>
      <c r="E33" s="2">
        <v>46225</v>
      </c>
      <c r="F33" t="s">
        <v>23</v>
      </c>
      <c r="G33" t="s">
        <v>24</v>
      </c>
      <c r="H33" t="s">
        <v>153</v>
      </c>
      <c r="I33" t="s">
        <v>26</v>
      </c>
      <c r="J33" t="s">
        <v>61</v>
      </c>
      <c r="K33" t="s">
        <v>62</v>
      </c>
      <c r="L33" t="s">
        <v>29</v>
      </c>
      <c r="M33" t="s">
        <v>63</v>
      </c>
      <c r="N33" t="s">
        <v>29</v>
      </c>
      <c r="O33" t="s">
        <v>29</v>
      </c>
      <c r="P33" t="s">
        <v>64</v>
      </c>
      <c r="Q33" s="3" t="s">
        <v>154</v>
      </c>
    </row>
    <row r="34" spans="1:17" ht="15.6" x14ac:dyDescent="0.3">
      <c r="A34" s="2">
        <v>46191</v>
      </c>
      <c r="B34">
        <v>470</v>
      </c>
      <c r="C34" t="s">
        <v>155</v>
      </c>
      <c r="D34" s="2">
        <v>46191</v>
      </c>
      <c r="E34" s="2">
        <v>46225</v>
      </c>
      <c r="F34" t="s">
        <v>23</v>
      </c>
      <c r="G34" t="s">
        <v>24</v>
      </c>
      <c r="H34" t="s">
        <v>156</v>
      </c>
      <c r="I34" t="s">
        <v>26</v>
      </c>
      <c r="J34" t="s">
        <v>61</v>
      </c>
      <c r="K34" t="s">
        <v>62</v>
      </c>
      <c r="L34" t="s">
        <v>29</v>
      </c>
      <c r="M34" t="s">
        <v>63</v>
      </c>
      <c r="N34" t="s">
        <v>29</v>
      </c>
      <c r="O34" t="s">
        <v>29</v>
      </c>
      <c r="P34" t="s">
        <v>64</v>
      </c>
      <c r="Q34" s="3" t="s">
        <v>157</v>
      </c>
    </row>
    <row r="35" spans="1:17" ht="15.6" x14ac:dyDescent="0.3">
      <c r="A35" s="2">
        <v>46191</v>
      </c>
      <c r="B35">
        <v>469</v>
      </c>
      <c r="C35" t="s">
        <v>158</v>
      </c>
      <c r="D35" s="2">
        <v>46191</v>
      </c>
      <c r="E35" s="2">
        <v>46225</v>
      </c>
      <c r="F35" t="s">
        <v>123</v>
      </c>
      <c r="G35" t="s">
        <v>24</v>
      </c>
      <c r="H35" t="s">
        <v>159</v>
      </c>
      <c r="I35" t="s">
        <v>26</v>
      </c>
      <c r="J35" t="s">
        <v>61</v>
      </c>
      <c r="K35" t="s">
        <v>62</v>
      </c>
      <c r="L35" t="s">
        <v>29</v>
      </c>
      <c r="M35" t="s">
        <v>63</v>
      </c>
      <c r="N35" t="s">
        <v>29</v>
      </c>
      <c r="O35" t="s">
        <v>29</v>
      </c>
      <c r="P35" t="s">
        <v>64</v>
      </c>
      <c r="Q35" s="3" t="s">
        <v>160</v>
      </c>
    </row>
    <row r="36" spans="1:17" ht="15.6" x14ac:dyDescent="0.3">
      <c r="A36" s="2">
        <v>46191</v>
      </c>
      <c r="B36">
        <v>468</v>
      </c>
      <c r="C36" t="s">
        <v>161</v>
      </c>
      <c r="D36" s="2">
        <v>46191</v>
      </c>
      <c r="E36" s="2">
        <v>46223</v>
      </c>
      <c r="F36" t="s">
        <v>23</v>
      </c>
      <c r="G36" t="s">
        <v>24</v>
      </c>
      <c r="H36" t="s">
        <v>162</v>
      </c>
      <c r="I36" t="s">
        <v>26</v>
      </c>
      <c r="J36" t="s">
        <v>27</v>
      </c>
      <c r="K36" t="s">
        <v>28</v>
      </c>
      <c r="L36" t="s">
        <v>29</v>
      </c>
      <c r="M36" t="s">
        <v>163</v>
      </c>
      <c r="N36" t="s">
        <v>29</v>
      </c>
      <c r="O36" t="s">
        <v>29</v>
      </c>
      <c r="P36" t="s">
        <v>64</v>
      </c>
      <c r="Q36" s="3" t="s">
        <v>164</v>
      </c>
    </row>
    <row r="37" spans="1:17" ht="15.6" x14ac:dyDescent="0.3">
      <c r="A37" s="2">
        <v>46191</v>
      </c>
      <c r="B37">
        <v>467</v>
      </c>
      <c r="C37" t="s">
        <v>165</v>
      </c>
      <c r="D37" s="2">
        <v>46191</v>
      </c>
      <c r="E37" s="2">
        <v>46223</v>
      </c>
      <c r="F37" t="s">
        <v>23</v>
      </c>
      <c r="G37" t="s">
        <v>24</v>
      </c>
      <c r="H37" t="s">
        <v>166</v>
      </c>
      <c r="I37" t="s">
        <v>26</v>
      </c>
      <c r="J37" t="s">
        <v>27</v>
      </c>
      <c r="K37" t="s">
        <v>28</v>
      </c>
      <c r="L37" t="s">
        <v>29</v>
      </c>
      <c r="M37" t="s">
        <v>163</v>
      </c>
      <c r="N37" t="s">
        <v>29</v>
      </c>
      <c r="O37" t="s">
        <v>29</v>
      </c>
      <c r="P37" t="s">
        <v>64</v>
      </c>
      <c r="Q37" s="3" t="s">
        <v>167</v>
      </c>
    </row>
    <row r="38" spans="1:17" ht="15.6" x14ac:dyDescent="0.3">
      <c r="A38" s="2">
        <v>46191</v>
      </c>
      <c r="B38">
        <v>466</v>
      </c>
      <c r="C38" t="s">
        <v>168</v>
      </c>
      <c r="D38" s="2">
        <v>46191</v>
      </c>
      <c r="E38" s="2">
        <v>46216</v>
      </c>
      <c r="F38" t="s">
        <v>123</v>
      </c>
      <c r="G38" t="s">
        <v>24</v>
      </c>
      <c r="H38" t="s">
        <v>169</v>
      </c>
      <c r="I38" t="s">
        <v>26</v>
      </c>
      <c r="J38" t="s">
        <v>170</v>
      </c>
      <c r="K38" t="s">
        <v>127</v>
      </c>
      <c r="L38" t="s">
        <v>29</v>
      </c>
      <c r="M38" t="s">
        <v>171</v>
      </c>
      <c r="N38" t="s">
        <v>31</v>
      </c>
      <c r="O38" t="s">
        <v>29</v>
      </c>
      <c r="P38" t="s">
        <v>172</v>
      </c>
      <c r="Q38" s="3" t="s">
        <v>173</v>
      </c>
    </row>
    <row r="39" spans="1:17" ht="15.6" x14ac:dyDescent="0.3">
      <c r="A39" s="2">
        <v>46191</v>
      </c>
      <c r="B39">
        <v>465</v>
      </c>
      <c r="C39" t="s">
        <v>174</v>
      </c>
      <c r="D39" s="2">
        <v>46191</v>
      </c>
      <c r="E39" s="2">
        <v>46218</v>
      </c>
      <c r="F39" t="s">
        <v>23</v>
      </c>
      <c r="G39" t="s">
        <v>24</v>
      </c>
      <c r="H39" t="s">
        <v>175</v>
      </c>
      <c r="I39" t="s">
        <v>26</v>
      </c>
      <c r="J39" t="s">
        <v>176</v>
      </c>
      <c r="K39" t="s">
        <v>48</v>
      </c>
      <c r="L39" t="s">
        <v>29</v>
      </c>
      <c r="M39" t="s">
        <v>177</v>
      </c>
      <c r="N39" t="s">
        <v>31</v>
      </c>
      <c r="O39" t="s">
        <v>31</v>
      </c>
      <c r="P39" t="s">
        <v>178</v>
      </c>
      <c r="Q39" s="3" t="s">
        <v>179</v>
      </c>
    </row>
    <row r="40" spans="1:17" ht="15.6" x14ac:dyDescent="0.3">
      <c r="A40" s="2">
        <v>46191</v>
      </c>
      <c r="B40">
        <v>464</v>
      </c>
      <c r="C40" t="s">
        <v>180</v>
      </c>
      <c r="D40" s="2">
        <v>46191</v>
      </c>
      <c r="E40" s="2">
        <v>46220</v>
      </c>
      <c r="F40" t="s">
        <v>181</v>
      </c>
      <c r="G40" t="s">
        <v>24</v>
      </c>
      <c r="H40" t="s">
        <v>182</v>
      </c>
      <c r="I40" t="s">
        <v>26</v>
      </c>
      <c r="J40" t="s">
        <v>183</v>
      </c>
      <c r="K40" t="s">
        <v>184</v>
      </c>
      <c r="L40" t="s">
        <v>29</v>
      </c>
      <c r="M40" t="s">
        <v>171</v>
      </c>
      <c r="N40" t="s">
        <v>31</v>
      </c>
      <c r="O40" t="s">
        <v>31</v>
      </c>
      <c r="P40" t="s">
        <v>185</v>
      </c>
      <c r="Q40" s="3" t="s">
        <v>186</v>
      </c>
    </row>
    <row r="41" spans="1:17" ht="15.6" x14ac:dyDescent="0.3">
      <c r="A41" s="2">
        <v>46191</v>
      </c>
      <c r="B41">
        <v>463</v>
      </c>
      <c r="C41" t="s">
        <v>187</v>
      </c>
      <c r="D41" s="2">
        <v>46191</v>
      </c>
      <c r="E41" s="2">
        <v>46220</v>
      </c>
      <c r="F41" t="s">
        <v>123</v>
      </c>
      <c r="G41" t="s">
        <v>24</v>
      </c>
      <c r="H41" t="s">
        <v>188</v>
      </c>
      <c r="I41" t="s">
        <v>26</v>
      </c>
      <c r="J41" t="s">
        <v>189</v>
      </c>
      <c r="K41" t="s">
        <v>28</v>
      </c>
      <c r="L41" t="s">
        <v>29</v>
      </c>
      <c r="M41" t="s">
        <v>190</v>
      </c>
      <c r="N41" t="s">
        <v>31</v>
      </c>
      <c r="O41" t="s">
        <v>31</v>
      </c>
      <c r="P41" t="s">
        <v>191</v>
      </c>
      <c r="Q41" s="3" t="s">
        <v>192</v>
      </c>
    </row>
    <row r="42" spans="1:17" ht="15.6" x14ac:dyDescent="0.3">
      <c r="A42" s="2">
        <v>46191</v>
      </c>
      <c r="B42">
        <v>462</v>
      </c>
      <c r="C42" t="s">
        <v>193</v>
      </c>
      <c r="D42" s="2">
        <v>46191</v>
      </c>
      <c r="E42" s="2">
        <v>46220</v>
      </c>
      <c r="F42" t="s">
        <v>123</v>
      </c>
      <c r="G42" t="s">
        <v>147</v>
      </c>
      <c r="H42" t="s">
        <v>194</v>
      </c>
      <c r="I42" t="s">
        <v>26</v>
      </c>
      <c r="J42" t="s">
        <v>195</v>
      </c>
      <c r="K42" t="s">
        <v>184</v>
      </c>
      <c r="L42" t="s">
        <v>29</v>
      </c>
      <c r="M42" t="s">
        <v>36</v>
      </c>
      <c r="N42" t="s">
        <v>31</v>
      </c>
      <c r="O42" t="s">
        <v>29</v>
      </c>
      <c r="P42" t="s">
        <v>196</v>
      </c>
      <c r="Q42" s="3" t="s">
        <v>197</v>
      </c>
    </row>
    <row r="43" spans="1:17" ht="15.6" x14ac:dyDescent="0.3">
      <c r="A43" s="2">
        <v>46191</v>
      </c>
      <c r="B43">
        <v>461</v>
      </c>
      <c r="C43" t="s">
        <v>198</v>
      </c>
      <c r="D43" s="2">
        <v>46191</v>
      </c>
      <c r="E43" s="2">
        <v>46220</v>
      </c>
      <c r="F43" t="s">
        <v>181</v>
      </c>
      <c r="G43" t="s">
        <v>124</v>
      </c>
      <c r="H43" t="s">
        <v>198</v>
      </c>
      <c r="I43" t="s">
        <v>26</v>
      </c>
      <c r="J43" t="s">
        <v>199</v>
      </c>
      <c r="K43" t="s">
        <v>42</v>
      </c>
      <c r="L43" t="s">
        <v>29</v>
      </c>
      <c r="M43" t="s">
        <v>200</v>
      </c>
      <c r="N43" t="s">
        <v>31</v>
      </c>
      <c r="O43" t="s">
        <v>29</v>
      </c>
      <c r="P43" t="s">
        <v>201</v>
      </c>
      <c r="Q43" s="3" t="s">
        <v>202</v>
      </c>
    </row>
    <row r="44" spans="1:17" ht="15.6" x14ac:dyDescent="0.3">
      <c r="A44" s="2">
        <v>46191</v>
      </c>
      <c r="B44">
        <v>460</v>
      </c>
      <c r="C44" t="s">
        <v>203</v>
      </c>
      <c r="D44" s="2">
        <v>46191</v>
      </c>
      <c r="E44" s="2">
        <v>46213</v>
      </c>
      <c r="F44" t="s">
        <v>204</v>
      </c>
      <c r="G44" t="s">
        <v>147</v>
      </c>
      <c r="H44" t="s">
        <v>205</v>
      </c>
      <c r="I44" t="s">
        <v>26</v>
      </c>
      <c r="J44" t="s">
        <v>206</v>
      </c>
      <c r="K44" t="s">
        <v>207</v>
      </c>
      <c r="L44" t="s">
        <v>29</v>
      </c>
      <c r="M44" t="s">
        <v>208</v>
      </c>
      <c r="N44" t="s">
        <v>29</v>
      </c>
      <c r="O44" t="s">
        <v>29</v>
      </c>
      <c r="P44" t="s">
        <v>64</v>
      </c>
      <c r="Q44" s="3" t="s">
        <v>209</v>
      </c>
    </row>
    <row r="45" spans="1:17" ht="15.6" x14ac:dyDescent="0.3">
      <c r="A45" s="2">
        <v>46191</v>
      </c>
      <c r="B45">
        <v>459</v>
      </c>
      <c r="C45" t="s">
        <v>210</v>
      </c>
      <c r="D45" s="2">
        <v>46191</v>
      </c>
      <c r="E45" s="2">
        <v>46220</v>
      </c>
      <c r="F45" t="s">
        <v>211</v>
      </c>
      <c r="G45" t="s">
        <v>24</v>
      </c>
      <c r="H45" t="s">
        <v>212</v>
      </c>
      <c r="I45" t="s">
        <v>26</v>
      </c>
      <c r="J45" t="s">
        <v>213</v>
      </c>
      <c r="K45" t="s">
        <v>42</v>
      </c>
      <c r="L45" t="s">
        <v>29</v>
      </c>
      <c r="M45" t="s">
        <v>214</v>
      </c>
      <c r="N45" t="s">
        <v>29</v>
      </c>
      <c r="O45" t="s">
        <v>29</v>
      </c>
      <c r="P45" t="s">
        <v>64</v>
      </c>
      <c r="Q45" s="3" t="s">
        <v>215</v>
      </c>
    </row>
    <row r="46" spans="1:17" ht="15.6" x14ac:dyDescent="0.3">
      <c r="A46" s="2">
        <v>46191</v>
      </c>
      <c r="B46">
        <v>458</v>
      </c>
      <c r="C46" t="s">
        <v>216</v>
      </c>
      <c r="D46" s="2">
        <v>46191</v>
      </c>
      <c r="E46" s="2">
        <v>46213</v>
      </c>
      <c r="F46" t="s">
        <v>123</v>
      </c>
      <c r="G46" t="s">
        <v>24</v>
      </c>
      <c r="H46" t="s">
        <v>217</v>
      </c>
      <c r="I46" t="s">
        <v>26</v>
      </c>
      <c r="J46" t="s">
        <v>218</v>
      </c>
      <c r="K46" t="s">
        <v>150</v>
      </c>
      <c r="L46" t="s">
        <v>29</v>
      </c>
      <c r="M46" t="s">
        <v>134</v>
      </c>
      <c r="N46" t="s">
        <v>31</v>
      </c>
      <c r="O46" t="s">
        <v>31</v>
      </c>
      <c r="P46" t="s">
        <v>219</v>
      </c>
      <c r="Q46" s="3" t="s">
        <v>220</v>
      </c>
    </row>
    <row r="47" spans="1:17" ht="15.6" x14ac:dyDescent="0.3">
      <c r="A47" s="2">
        <v>46191</v>
      </c>
      <c r="B47">
        <v>457</v>
      </c>
      <c r="C47" t="s">
        <v>221</v>
      </c>
      <c r="D47" s="2">
        <v>46191</v>
      </c>
      <c r="E47" s="2">
        <v>46213</v>
      </c>
      <c r="F47" t="s">
        <v>123</v>
      </c>
      <c r="G47" t="s">
        <v>24</v>
      </c>
      <c r="H47" t="s">
        <v>222</v>
      </c>
      <c r="I47" t="s">
        <v>26</v>
      </c>
      <c r="J47" t="s">
        <v>223</v>
      </c>
      <c r="K47" t="s">
        <v>207</v>
      </c>
      <c r="L47" t="s">
        <v>29</v>
      </c>
      <c r="M47" t="s">
        <v>190</v>
      </c>
      <c r="N47" t="s">
        <v>31</v>
      </c>
      <c r="O47" t="s">
        <v>31</v>
      </c>
      <c r="P47" t="s">
        <v>224</v>
      </c>
      <c r="Q47" s="3" t="s">
        <v>225</v>
      </c>
    </row>
    <row r="48" spans="1:17" ht="15.6" x14ac:dyDescent="0.3">
      <c r="A48" s="2">
        <v>46191</v>
      </c>
      <c r="B48">
        <v>456</v>
      </c>
      <c r="C48" t="s">
        <v>226</v>
      </c>
      <c r="D48" s="2">
        <v>46191</v>
      </c>
      <c r="E48" s="2">
        <v>46213</v>
      </c>
      <c r="F48" t="s">
        <v>123</v>
      </c>
      <c r="G48" t="s">
        <v>227</v>
      </c>
      <c r="H48" t="s">
        <v>228</v>
      </c>
      <c r="I48" t="s">
        <v>26</v>
      </c>
      <c r="J48" t="s">
        <v>195</v>
      </c>
      <c r="K48" t="s">
        <v>184</v>
      </c>
      <c r="L48" t="s">
        <v>29</v>
      </c>
      <c r="M48" t="s">
        <v>36</v>
      </c>
      <c r="N48" t="s">
        <v>29</v>
      </c>
      <c r="O48" t="s">
        <v>29</v>
      </c>
      <c r="P48" t="s">
        <v>64</v>
      </c>
      <c r="Q48" s="3" t="s">
        <v>229</v>
      </c>
    </row>
    <row r="49" spans="1:17" ht="15.6" x14ac:dyDescent="0.3">
      <c r="A49" s="2">
        <v>46191</v>
      </c>
      <c r="B49">
        <v>455</v>
      </c>
      <c r="C49" t="s">
        <v>230</v>
      </c>
      <c r="D49" s="2">
        <v>46191</v>
      </c>
      <c r="E49" s="2">
        <v>46213</v>
      </c>
      <c r="F49" t="s">
        <v>123</v>
      </c>
      <c r="G49" t="s">
        <v>24</v>
      </c>
      <c r="H49" t="s">
        <v>231</v>
      </c>
      <c r="I49" t="s">
        <v>26</v>
      </c>
      <c r="J49" t="s">
        <v>232</v>
      </c>
      <c r="K49" t="s">
        <v>42</v>
      </c>
      <c r="L49" t="s">
        <v>29</v>
      </c>
      <c r="M49" t="s">
        <v>233</v>
      </c>
      <c r="N49" t="s">
        <v>29</v>
      </c>
      <c r="O49" t="s">
        <v>29</v>
      </c>
      <c r="P49" t="s">
        <v>64</v>
      </c>
      <c r="Q49" s="3" t="s">
        <v>234</v>
      </c>
    </row>
    <row r="50" spans="1:17" ht="15.6" x14ac:dyDescent="0.3">
      <c r="A50" s="2">
        <v>46191</v>
      </c>
      <c r="B50">
        <v>454</v>
      </c>
      <c r="C50" t="s">
        <v>235</v>
      </c>
      <c r="D50" s="2">
        <v>46191</v>
      </c>
      <c r="E50" s="2">
        <v>46212</v>
      </c>
      <c r="F50" t="s">
        <v>23</v>
      </c>
      <c r="G50" t="s">
        <v>24</v>
      </c>
      <c r="H50" t="s">
        <v>236</v>
      </c>
      <c r="I50" t="s">
        <v>26</v>
      </c>
      <c r="J50" t="s">
        <v>237</v>
      </c>
      <c r="K50" t="s">
        <v>28</v>
      </c>
      <c r="L50" t="s">
        <v>29</v>
      </c>
      <c r="M50" t="s">
        <v>238</v>
      </c>
      <c r="N50" t="s">
        <v>31</v>
      </c>
      <c r="O50" t="s">
        <v>31</v>
      </c>
      <c r="P50" t="s">
        <v>239</v>
      </c>
      <c r="Q50" s="3" t="s">
        <v>240</v>
      </c>
    </row>
    <row r="51" spans="1:17" ht="15.6" x14ac:dyDescent="0.3">
      <c r="A51" s="2">
        <v>46191</v>
      </c>
      <c r="B51">
        <v>453</v>
      </c>
      <c r="C51" t="s">
        <v>241</v>
      </c>
      <c r="D51" s="2">
        <v>46191</v>
      </c>
      <c r="E51" s="2">
        <v>46213</v>
      </c>
      <c r="F51" t="s">
        <v>123</v>
      </c>
      <c r="G51" t="s">
        <v>24</v>
      </c>
      <c r="H51" t="s">
        <v>242</v>
      </c>
      <c r="I51" t="s">
        <v>26</v>
      </c>
      <c r="J51" t="s">
        <v>243</v>
      </c>
      <c r="K51" t="s">
        <v>207</v>
      </c>
      <c r="L51" t="s">
        <v>29</v>
      </c>
      <c r="M51" t="s">
        <v>244</v>
      </c>
      <c r="N51" t="s">
        <v>29</v>
      </c>
      <c r="O51" t="s">
        <v>29</v>
      </c>
      <c r="P51" t="s">
        <v>64</v>
      </c>
      <c r="Q51" s="3" t="s">
        <v>245</v>
      </c>
    </row>
    <row r="52" spans="1:17" ht="15.6" x14ac:dyDescent="0.3">
      <c r="A52" s="2">
        <v>46191</v>
      </c>
      <c r="B52">
        <v>452</v>
      </c>
      <c r="C52" t="s">
        <v>246</v>
      </c>
      <c r="D52" s="2">
        <v>46191</v>
      </c>
      <c r="E52" s="2">
        <v>46213</v>
      </c>
      <c r="F52" t="s">
        <v>23</v>
      </c>
      <c r="G52" t="s">
        <v>24</v>
      </c>
      <c r="H52" t="s">
        <v>247</v>
      </c>
      <c r="I52" t="s">
        <v>26</v>
      </c>
      <c r="J52" t="s">
        <v>248</v>
      </c>
      <c r="K52" t="s">
        <v>62</v>
      </c>
      <c r="L52" t="s">
        <v>29</v>
      </c>
      <c r="M52" t="s">
        <v>30</v>
      </c>
      <c r="N52" t="s">
        <v>31</v>
      </c>
      <c r="O52" t="s">
        <v>31</v>
      </c>
      <c r="P52" t="s">
        <v>249</v>
      </c>
      <c r="Q52" s="3" t="s">
        <v>250</v>
      </c>
    </row>
    <row r="53" spans="1:17" ht="15.6" x14ac:dyDescent="0.3">
      <c r="A53" s="2">
        <v>46191</v>
      </c>
      <c r="B53">
        <v>451</v>
      </c>
      <c r="C53" t="s">
        <v>251</v>
      </c>
      <c r="D53" s="2">
        <v>46191</v>
      </c>
      <c r="E53" s="2">
        <v>46213</v>
      </c>
      <c r="F53" t="s">
        <v>123</v>
      </c>
      <c r="G53" t="s">
        <v>252</v>
      </c>
      <c r="H53" t="s">
        <v>253</v>
      </c>
      <c r="I53" t="s">
        <v>26</v>
      </c>
      <c r="J53" t="s">
        <v>199</v>
      </c>
      <c r="K53" t="s">
        <v>62</v>
      </c>
      <c r="L53" t="s">
        <v>29</v>
      </c>
      <c r="M53" t="s">
        <v>254</v>
      </c>
      <c r="N53" t="s">
        <v>31</v>
      </c>
      <c r="O53" t="s">
        <v>31</v>
      </c>
      <c r="P53" t="s">
        <v>255</v>
      </c>
      <c r="Q53" s="3" t="s">
        <v>256</v>
      </c>
    </row>
    <row r="54" spans="1:17" ht="15.6" x14ac:dyDescent="0.3">
      <c r="A54" s="2">
        <v>46191</v>
      </c>
      <c r="B54">
        <v>450</v>
      </c>
      <c r="C54" t="s">
        <v>257</v>
      </c>
      <c r="D54" s="2">
        <v>46191</v>
      </c>
      <c r="E54" s="2">
        <v>46213</v>
      </c>
      <c r="F54" t="s">
        <v>258</v>
      </c>
      <c r="G54" t="s">
        <v>147</v>
      </c>
      <c r="H54" t="s">
        <v>259</v>
      </c>
      <c r="I54" t="s">
        <v>26</v>
      </c>
      <c r="J54" t="s">
        <v>206</v>
      </c>
      <c r="K54" t="s">
        <v>207</v>
      </c>
      <c r="L54" t="s">
        <v>29</v>
      </c>
      <c r="M54" t="s">
        <v>208</v>
      </c>
      <c r="N54" t="s">
        <v>29</v>
      </c>
      <c r="O54" t="s">
        <v>29</v>
      </c>
      <c r="P54" t="s">
        <v>64</v>
      </c>
      <c r="Q54" s="3" t="s">
        <v>260</v>
      </c>
    </row>
    <row r="55" spans="1:17" ht="15.6" x14ac:dyDescent="0.3">
      <c r="A55" s="2">
        <v>46191</v>
      </c>
      <c r="B55">
        <v>449</v>
      </c>
      <c r="C55" t="s">
        <v>261</v>
      </c>
      <c r="D55" s="2">
        <v>46191</v>
      </c>
      <c r="E55" s="2">
        <v>46213</v>
      </c>
      <c r="F55" t="s">
        <v>23</v>
      </c>
      <c r="G55" t="s">
        <v>147</v>
      </c>
      <c r="H55" t="s">
        <v>262</v>
      </c>
      <c r="I55" t="s">
        <v>26</v>
      </c>
      <c r="J55" t="s">
        <v>206</v>
      </c>
      <c r="K55" t="s">
        <v>207</v>
      </c>
      <c r="L55" t="s">
        <v>29</v>
      </c>
      <c r="M55" t="s">
        <v>208</v>
      </c>
      <c r="N55" t="s">
        <v>29</v>
      </c>
      <c r="O55" t="s">
        <v>29</v>
      </c>
      <c r="P55" t="s">
        <v>64</v>
      </c>
      <c r="Q55" s="3" t="s">
        <v>263</v>
      </c>
    </row>
    <row r="56" spans="1:17" ht="15.6" x14ac:dyDescent="0.3">
      <c r="A56" s="2">
        <v>46191</v>
      </c>
      <c r="B56">
        <v>448</v>
      </c>
      <c r="C56" t="s">
        <v>264</v>
      </c>
      <c r="D56" s="2">
        <v>46191</v>
      </c>
      <c r="E56" s="2">
        <v>46212</v>
      </c>
      <c r="F56" t="s">
        <v>123</v>
      </c>
      <c r="G56" t="s">
        <v>24</v>
      </c>
      <c r="H56" t="s">
        <v>265</v>
      </c>
      <c r="I56" t="s">
        <v>26</v>
      </c>
      <c r="J56" t="s">
        <v>218</v>
      </c>
      <c r="K56" t="s">
        <v>150</v>
      </c>
      <c r="L56" t="s">
        <v>29</v>
      </c>
      <c r="M56" t="s">
        <v>134</v>
      </c>
      <c r="N56" t="s">
        <v>31</v>
      </c>
      <c r="O56" t="s">
        <v>31</v>
      </c>
      <c r="P56" t="s">
        <v>219</v>
      </c>
      <c r="Q56" s="3" t="s">
        <v>266</v>
      </c>
    </row>
    <row r="57" spans="1:17" ht="15.6" x14ac:dyDescent="0.3">
      <c r="A57" s="2">
        <v>46191</v>
      </c>
      <c r="B57">
        <v>447</v>
      </c>
      <c r="C57" t="s">
        <v>267</v>
      </c>
      <c r="D57" s="2">
        <v>46191</v>
      </c>
      <c r="E57" s="2">
        <v>46212</v>
      </c>
      <c r="F57" t="s">
        <v>23</v>
      </c>
      <c r="G57" t="s">
        <v>24</v>
      </c>
      <c r="H57" t="s">
        <v>268</v>
      </c>
      <c r="I57" t="s">
        <v>26</v>
      </c>
      <c r="J57" t="s">
        <v>269</v>
      </c>
      <c r="K57" t="s">
        <v>28</v>
      </c>
      <c r="L57" t="s">
        <v>29</v>
      </c>
      <c r="M57" t="s">
        <v>270</v>
      </c>
      <c r="N57" t="s">
        <v>31</v>
      </c>
      <c r="O57" t="s">
        <v>31</v>
      </c>
      <c r="P57" t="s">
        <v>271</v>
      </c>
      <c r="Q57" s="3" t="s">
        <v>272</v>
      </c>
    </row>
    <row r="58" spans="1:17" ht="15.6" x14ac:dyDescent="0.3">
      <c r="A58" s="2">
        <v>46191</v>
      </c>
      <c r="B58">
        <v>446</v>
      </c>
      <c r="C58" t="s">
        <v>273</v>
      </c>
      <c r="D58" s="2">
        <v>46191</v>
      </c>
      <c r="E58" s="2">
        <v>46211</v>
      </c>
      <c r="F58" t="s">
        <v>123</v>
      </c>
      <c r="G58" t="s">
        <v>24</v>
      </c>
      <c r="H58" t="s">
        <v>274</v>
      </c>
      <c r="I58" t="s">
        <v>26</v>
      </c>
      <c r="J58" t="s">
        <v>275</v>
      </c>
      <c r="K58" t="s">
        <v>62</v>
      </c>
      <c r="L58" t="s">
        <v>29</v>
      </c>
      <c r="M58" t="s">
        <v>190</v>
      </c>
      <c r="N58" t="s">
        <v>29</v>
      </c>
      <c r="O58" t="s">
        <v>29</v>
      </c>
      <c r="P58" t="s">
        <v>64</v>
      </c>
      <c r="Q58" s="3" t="s">
        <v>276</v>
      </c>
    </row>
    <row r="59" spans="1:17" ht="15.6" x14ac:dyDescent="0.3">
      <c r="A59" s="2">
        <v>46191</v>
      </c>
      <c r="B59">
        <v>445</v>
      </c>
      <c r="C59" t="s">
        <v>277</v>
      </c>
      <c r="D59" s="2">
        <v>46191</v>
      </c>
      <c r="E59" s="2">
        <v>46211</v>
      </c>
      <c r="F59" t="s">
        <v>211</v>
      </c>
      <c r="G59" t="s">
        <v>252</v>
      </c>
      <c r="H59" t="s">
        <v>278</v>
      </c>
      <c r="I59" t="s">
        <v>26</v>
      </c>
      <c r="J59" t="s">
        <v>279</v>
      </c>
      <c r="K59" t="s">
        <v>42</v>
      </c>
      <c r="L59" t="s">
        <v>29</v>
      </c>
      <c r="M59" t="s">
        <v>171</v>
      </c>
      <c r="N59" t="s">
        <v>31</v>
      </c>
      <c r="O59" t="s">
        <v>31</v>
      </c>
      <c r="P59" t="s">
        <v>280</v>
      </c>
      <c r="Q59" s="3" t="s">
        <v>281</v>
      </c>
    </row>
    <row r="60" spans="1:17" ht="15.6" x14ac:dyDescent="0.3">
      <c r="A60" s="2">
        <v>46191</v>
      </c>
      <c r="B60">
        <v>444</v>
      </c>
      <c r="C60" t="s">
        <v>282</v>
      </c>
      <c r="D60" s="2">
        <v>46191</v>
      </c>
      <c r="E60" s="2">
        <v>46209</v>
      </c>
      <c r="F60" t="s">
        <v>211</v>
      </c>
      <c r="G60" t="s">
        <v>252</v>
      </c>
      <c r="H60" t="s">
        <v>283</v>
      </c>
      <c r="I60" t="s">
        <v>26</v>
      </c>
      <c r="J60" t="s">
        <v>279</v>
      </c>
      <c r="K60" t="s">
        <v>284</v>
      </c>
      <c r="L60" t="s">
        <v>29</v>
      </c>
      <c r="M60" t="s">
        <v>171</v>
      </c>
      <c r="N60" t="s">
        <v>29</v>
      </c>
      <c r="O60" t="s">
        <v>29</v>
      </c>
      <c r="P60" t="s">
        <v>64</v>
      </c>
      <c r="Q60" s="3" t="s">
        <v>285</v>
      </c>
    </row>
    <row r="61" spans="1:17" ht="15.6" x14ac:dyDescent="0.3">
      <c r="A61" s="2">
        <v>46191</v>
      </c>
      <c r="B61">
        <v>443</v>
      </c>
      <c r="C61" t="s">
        <v>286</v>
      </c>
      <c r="D61" s="2">
        <v>46191</v>
      </c>
      <c r="E61" s="2">
        <v>46212</v>
      </c>
      <c r="F61" t="s">
        <v>123</v>
      </c>
      <c r="G61" t="s">
        <v>24</v>
      </c>
      <c r="H61" t="s">
        <v>287</v>
      </c>
      <c r="I61" t="s">
        <v>26</v>
      </c>
      <c r="J61" t="s">
        <v>288</v>
      </c>
      <c r="K61" t="s">
        <v>207</v>
      </c>
      <c r="L61" t="s">
        <v>29</v>
      </c>
      <c r="M61" t="s">
        <v>289</v>
      </c>
      <c r="N61" t="s">
        <v>31</v>
      </c>
      <c r="O61" t="s">
        <v>31</v>
      </c>
      <c r="P61" t="s">
        <v>290</v>
      </c>
      <c r="Q61" s="3" t="s">
        <v>291</v>
      </c>
    </row>
    <row r="62" spans="1:17" ht="15.6" x14ac:dyDescent="0.3">
      <c r="A62" s="2">
        <v>46191</v>
      </c>
      <c r="B62">
        <v>442</v>
      </c>
      <c r="C62" t="s">
        <v>292</v>
      </c>
      <c r="D62" s="2">
        <v>46191</v>
      </c>
      <c r="E62" s="2">
        <v>46211</v>
      </c>
      <c r="F62" t="s">
        <v>181</v>
      </c>
      <c r="G62" t="s">
        <v>293</v>
      </c>
      <c r="H62" t="s">
        <v>294</v>
      </c>
      <c r="I62" t="s">
        <v>26</v>
      </c>
      <c r="J62" t="s">
        <v>295</v>
      </c>
      <c r="K62" t="s">
        <v>127</v>
      </c>
      <c r="L62" t="s">
        <v>29</v>
      </c>
      <c r="M62" t="s">
        <v>214</v>
      </c>
      <c r="N62" t="s">
        <v>31</v>
      </c>
      <c r="O62" t="s">
        <v>31</v>
      </c>
      <c r="P62" t="s">
        <v>296</v>
      </c>
      <c r="Q62" s="3" t="s">
        <v>297</v>
      </c>
    </row>
    <row r="63" spans="1:17" ht="15.6" x14ac:dyDescent="0.3">
      <c r="A63" s="2">
        <v>46191</v>
      </c>
      <c r="B63">
        <v>441</v>
      </c>
      <c r="C63" t="s">
        <v>298</v>
      </c>
      <c r="D63" s="2">
        <v>46191</v>
      </c>
      <c r="E63" s="2">
        <v>46211</v>
      </c>
      <c r="F63" t="s">
        <v>123</v>
      </c>
      <c r="G63" t="s">
        <v>252</v>
      </c>
      <c r="H63" t="s">
        <v>299</v>
      </c>
      <c r="I63" t="s">
        <v>26</v>
      </c>
      <c r="J63" t="s">
        <v>295</v>
      </c>
      <c r="K63" t="s">
        <v>127</v>
      </c>
      <c r="L63" t="s">
        <v>29</v>
      </c>
      <c r="M63" t="s">
        <v>300</v>
      </c>
      <c r="N63" t="s">
        <v>31</v>
      </c>
      <c r="O63" t="s">
        <v>31</v>
      </c>
      <c r="P63" t="s">
        <v>296</v>
      </c>
      <c r="Q63" s="3" t="s">
        <v>301</v>
      </c>
    </row>
    <row r="64" spans="1:17" ht="15.6" x14ac:dyDescent="0.3">
      <c r="A64" s="2">
        <v>46191</v>
      </c>
      <c r="B64">
        <v>440</v>
      </c>
      <c r="C64" t="s">
        <v>302</v>
      </c>
      <c r="D64" s="2">
        <v>46191</v>
      </c>
      <c r="E64" s="2">
        <v>46211</v>
      </c>
      <c r="F64" t="s">
        <v>23</v>
      </c>
      <c r="G64" t="s">
        <v>252</v>
      </c>
      <c r="H64" t="s">
        <v>303</v>
      </c>
      <c r="I64" t="s">
        <v>26</v>
      </c>
      <c r="J64" t="s">
        <v>295</v>
      </c>
      <c r="K64" t="s">
        <v>127</v>
      </c>
      <c r="L64" t="s">
        <v>29</v>
      </c>
      <c r="M64" t="s">
        <v>304</v>
      </c>
      <c r="N64" t="s">
        <v>31</v>
      </c>
      <c r="O64" t="s">
        <v>31</v>
      </c>
      <c r="P64" t="s">
        <v>296</v>
      </c>
      <c r="Q64" s="3" t="s">
        <v>305</v>
      </c>
    </row>
    <row r="65" spans="1:17" ht="15.6" x14ac:dyDescent="0.3">
      <c r="A65" s="2">
        <v>46191</v>
      </c>
      <c r="B65">
        <v>439</v>
      </c>
      <c r="C65" t="s">
        <v>306</v>
      </c>
      <c r="D65" s="2">
        <v>46191</v>
      </c>
      <c r="E65" s="2">
        <v>46212</v>
      </c>
      <c r="F65" t="s">
        <v>307</v>
      </c>
      <c r="G65" t="s">
        <v>24</v>
      </c>
      <c r="H65" t="s">
        <v>308</v>
      </c>
      <c r="I65" t="s">
        <v>26</v>
      </c>
      <c r="J65" t="s">
        <v>309</v>
      </c>
      <c r="K65" t="s">
        <v>207</v>
      </c>
      <c r="L65" t="s">
        <v>29</v>
      </c>
      <c r="M65" t="s">
        <v>310</v>
      </c>
      <c r="N65" t="s">
        <v>31</v>
      </c>
      <c r="O65" t="s">
        <v>31</v>
      </c>
      <c r="P65" t="s">
        <v>311</v>
      </c>
      <c r="Q65" s="3" t="s">
        <v>312</v>
      </c>
    </row>
    <row r="66" spans="1:17" ht="15.6" x14ac:dyDescent="0.3">
      <c r="A66" s="2">
        <v>46191</v>
      </c>
      <c r="B66">
        <v>438</v>
      </c>
      <c r="C66" t="s">
        <v>313</v>
      </c>
      <c r="D66" s="2">
        <v>46191</v>
      </c>
      <c r="E66" s="2">
        <v>46205</v>
      </c>
      <c r="F66" t="s">
        <v>23</v>
      </c>
      <c r="G66" t="s">
        <v>252</v>
      </c>
      <c r="H66" t="s">
        <v>314</v>
      </c>
      <c r="I66" t="s">
        <v>26</v>
      </c>
      <c r="J66" t="s">
        <v>315</v>
      </c>
      <c r="K66" t="s">
        <v>42</v>
      </c>
      <c r="L66" t="s">
        <v>29</v>
      </c>
      <c r="M66" t="s">
        <v>177</v>
      </c>
      <c r="N66" t="s">
        <v>31</v>
      </c>
      <c r="O66" t="s">
        <v>31</v>
      </c>
      <c r="P66" t="s">
        <v>316</v>
      </c>
      <c r="Q66" s="3" t="s">
        <v>317</v>
      </c>
    </row>
    <row r="67" spans="1:17" ht="15.6" x14ac:dyDescent="0.3">
      <c r="A67" s="2">
        <v>46191</v>
      </c>
      <c r="B67">
        <v>437</v>
      </c>
      <c r="C67" t="s">
        <v>318</v>
      </c>
      <c r="D67" s="2">
        <v>46191</v>
      </c>
      <c r="E67" s="2">
        <v>46205</v>
      </c>
      <c r="F67" t="s">
        <v>23</v>
      </c>
      <c r="G67" t="s">
        <v>24</v>
      </c>
      <c r="H67" t="s">
        <v>319</v>
      </c>
      <c r="I67" t="s">
        <v>26</v>
      </c>
      <c r="J67" t="s">
        <v>119</v>
      </c>
      <c r="K67" t="s">
        <v>28</v>
      </c>
      <c r="L67" t="s">
        <v>29</v>
      </c>
      <c r="M67" t="s">
        <v>128</v>
      </c>
      <c r="N67" t="s">
        <v>29</v>
      </c>
      <c r="O67" t="s">
        <v>29</v>
      </c>
      <c r="P67" t="s">
        <v>64</v>
      </c>
      <c r="Q67" s="3" t="s">
        <v>320</v>
      </c>
    </row>
    <row r="68" spans="1:17" ht="15.6" x14ac:dyDescent="0.3">
      <c r="A68" s="2">
        <v>46191</v>
      </c>
      <c r="B68">
        <v>436</v>
      </c>
      <c r="C68" t="s">
        <v>321</v>
      </c>
      <c r="D68" s="2">
        <v>46191</v>
      </c>
      <c r="E68" s="2">
        <v>46205</v>
      </c>
      <c r="F68" t="s">
        <v>23</v>
      </c>
      <c r="G68" t="s">
        <v>252</v>
      </c>
      <c r="H68" t="s">
        <v>322</v>
      </c>
      <c r="I68" t="s">
        <v>26</v>
      </c>
      <c r="J68" t="s">
        <v>315</v>
      </c>
      <c r="K68" t="s">
        <v>42</v>
      </c>
      <c r="L68" t="s">
        <v>29</v>
      </c>
      <c r="M68" t="s">
        <v>177</v>
      </c>
      <c r="N68" t="s">
        <v>31</v>
      </c>
      <c r="O68" t="s">
        <v>31</v>
      </c>
      <c r="P68" t="s">
        <v>323</v>
      </c>
      <c r="Q68" s="3" t="s">
        <v>324</v>
      </c>
    </row>
    <row r="69" spans="1:17" ht="15.6" x14ac:dyDescent="0.3">
      <c r="A69" s="2">
        <v>46191</v>
      </c>
      <c r="B69">
        <v>435</v>
      </c>
      <c r="C69" t="s">
        <v>325</v>
      </c>
      <c r="D69" s="2">
        <v>46191</v>
      </c>
      <c r="E69" s="2">
        <v>46205</v>
      </c>
      <c r="F69" t="s">
        <v>23</v>
      </c>
      <c r="G69" t="s">
        <v>252</v>
      </c>
      <c r="H69" t="s">
        <v>326</v>
      </c>
      <c r="I69" t="s">
        <v>26</v>
      </c>
      <c r="J69" t="s">
        <v>315</v>
      </c>
      <c r="K69" t="s">
        <v>42</v>
      </c>
      <c r="L69" t="s">
        <v>29</v>
      </c>
      <c r="M69" t="s">
        <v>177</v>
      </c>
      <c r="N69" t="s">
        <v>31</v>
      </c>
      <c r="O69" t="s">
        <v>31</v>
      </c>
      <c r="P69" t="s">
        <v>327</v>
      </c>
      <c r="Q69" s="3" t="s">
        <v>328</v>
      </c>
    </row>
    <row r="70" spans="1:17" ht="15.6" x14ac:dyDescent="0.3">
      <c r="A70" s="2">
        <v>46191</v>
      </c>
      <c r="B70">
        <v>434</v>
      </c>
      <c r="C70" t="s">
        <v>329</v>
      </c>
      <c r="D70" s="2">
        <v>46191</v>
      </c>
      <c r="E70" s="2">
        <v>46206</v>
      </c>
      <c r="F70" t="s">
        <v>330</v>
      </c>
      <c r="G70" t="s">
        <v>252</v>
      </c>
      <c r="H70" t="s">
        <v>331</v>
      </c>
      <c r="I70" t="s">
        <v>26</v>
      </c>
      <c r="J70" t="s">
        <v>279</v>
      </c>
      <c r="K70" t="s">
        <v>184</v>
      </c>
      <c r="L70" t="s">
        <v>29</v>
      </c>
      <c r="M70" t="s">
        <v>254</v>
      </c>
      <c r="N70" t="s">
        <v>29</v>
      </c>
      <c r="O70" t="s">
        <v>29</v>
      </c>
      <c r="P70" t="s">
        <v>64</v>
      </c>
      <c r="Q70" s="3" t="s">
        <v>332</v>
      </c>
    </row>
    <row r="71" spans="1:17" ht="15.6" x14ac:dyDescent="0.3">
      <c r="A71" s="2">
        <v>46191</v>
      </c>
      <c r="B71">
        <v>433</v>
      </c>
      <c r="C71" t="s">
        <v>333</v>
      </c>
      <c r="D71" s="2">
        <v>46191</v>
      </c>
      <c r="E71" s="2">
        <v>46209</v>
      </c>
      <c r="F71" t="s">
        <v>23</v>
      </c>
      <c r="G71" t="s">
        <v>24</v>
      </c>
      <c r="H71" t="s">
        <v>334</v>
      </c>
      <c r="I71" t="s">
        <v>26</v>
      </c>
      <c r="J71" t="s">
        <v>335</v>
      </c>
      <c r="K71" t="s">
        <v>62</v>
      </c>
      <c r="L71" t="s">
        <v>29</v>
      </c>
      <c r="M71" t="s">
        <v>336</v>
      </c>
      <c r="N71" t="s">
        <v>29</v>
      </c>
      <c r="O71" t="s">
        <v>29</v>
      </c>
      <c r="P71" t="s">
        <v>337</v>
      </c>
      <c r="Q71" s="3" t="s">
        <v>338</v>
      </c>
    </row>
    <row r="72" spans="1:17" ht="15.6" x14ac:dyDescent="0.3">
      <c r="A72" s="2">
        <v>46191</v>
      </c>
      <c r="B72">
        <v>432</v>
      </c>
      <c r="C72" t="s">
        <v>339</v>
      </c>
      <c r="D72" s="2">
        <v>46191</v>
      </c>
      <c r="E72" s="2">
        <v>46206</v>
      </c>
      <c r="F72" t="s">
        <v>340</v>
      </c>
      <c r="G72" t="s">
        <v>147</v>
      </c>
      <c r="H72" t="s">
        <v>341</v>
      </c>
      <c r="I72" t="s">
        <v>26</v>
      </c>
      <c r="J72" t="s">
        <v>342</v>
      </c>
      <c r="K72" t="s">
        <v>207</v>
      </c>
      <c r="L72" t="s">
        <v>29</v>
      </c>
      <c r="M72" t="s">
        <v>343</v>
      </c>
      <c r="N72" t="s">
        <v>31</v>
      </c>
      <c r="O72" t="s">
        <v>31</v>
      </c>
      <c r="P72" t="s">
        <v>344</v>
      </c>
      <c r="Q72" s="3" t="s">
        <v>345</v>
      </c>
    </row>
    <row r="73" spans="1:17" ht="15.6" x14ac:dyDescent="0.3">
      <c r="A73" s="2">
        <v>46191</v>
      </c>
      <c r="B73">
        <v>431</v>
      </c>
      <c r="C73" t="s">
        <v>346</v>
      </c>
      <c r="D73" s="2">
        <v>46191</v>
      </c>
      <c r="E73" s="2">
        <v>46205</v>
      </c>
      <c r="F73" t="s">
        <v>347</v>
      </c>
      <c r="G73" t="s">
        <v>124</v>
      </c>
      <c r="H73" t="s">
        <v>348</v>
      </c>
      <c r="I73" t="s">
        <v>26</v>
      </c>
      <c r="J73" t="s">
        <v>199</v>
      </c>
      <c r="K73" t="s">
        <v>127</v>
      </c>
      <c r="L73" t="s">
        <v>29</v>
      </c>
      <c r="M73" t="s">
        <v>30</v>
      </c>
      <c r="N73" t="s">
        <v>29</v>
      </c>
      <c r="O73" t="s">
        <v>29</v>
      </c>
      <c r="P73" t="s">
        <v>64</v>
      </c>
      <c r="Q73" s="3" t="s">
        <v>349</v>
      </c>
    </row>
    <row r="74" spans="1:17" ht="15.6" x14ac:dyDescent="0.3">
      <c r="A74" s="2">
        <v>46191</v>
      </c>
      <c r="B74">
        <v>430</v>
      </c>
      <c r="C74" t="s">
        <v>350</v>
      </c>
      <c r="D74" s="2">
        <v>46191</v>
      </c>
      <c r="E74" s="2">
        <v>46209</v>
      </c>
      <c r="F74" t="s">
        <v>23</v>
      </c>
      <c r="G74" t="s">
        <v>252</v>
      </c>
      <c r="H74" t="s">
        <v>351</v>
      </c>
      <c r="I74" t="s">
        <v>26</v>
      </c>
      <c r="J74" t="s">
        <v>352</v>
      </c>
      <c r="K74" t="s">
        <v>28</v>
      </c>
      <c r="L74" t="s">
        <v>29</v>
      </c>
      <c r="M74" t="s">
        <v>200</v>
      </c>
      <c r="N74" t="s">
        <v>29</v>
      </c>
      <c r="O74" t="s">
        <v>29</v>
      </c>
      <c r="P74" t="s">
        <v>64</v>
      </c>
      <c r="Q74" s="3" t="s">
        <v>353</v>
      </c>
    </row>
    <row r="75" spans="1:17" ht="15.6" x14ac:dyDescent="0.3">
      <c r="A75" s="2">
        <v>46191</v>
      </c>
      <c r="B75">
        <v>429</v>
      </c>
      <c r="C75" t="s">
        <v>354</v>
      </c>
      <c r="D75" s="2">
        <v>46191</v>
      </c>
      <c r="E75" s="2">
        <v>46206</v>
      </c>
      <c r="F75" t="s">
        <v>181</v>
      </c>
      <c r="G75" t="s">
        <v>24</v>
      </c>
      <c r="H75" t="s">
        <v>355</v>
      </c>
      <c r="I75" t="s">
        <v>26</v>
      </c>
      <c r="J75" t="s">
        <v>199</v>
      </c>
      <c r="K75" t="s">
        <v>48</v>
      </c>
      <c r="L75" t="s">
        <v>29</v>
      </c>
      <c r="M75" t="s">
        <v>356</v>
      </c>
      <c r="N75" t="s">
        <v>29</v>
      </c>
      <c r="O75" t="s">
        <v>29</v>
      </c>
      <c r="P75" t="s">
        <v>64</v>
      </c>
      <c r="Q75" s="3" t="s">
        <v>357</v>
      </c>
    </row>
    <row r="76" spans="1:17" ht="15.6" x14ac:dyDescent="0.3">
      <c r="A76" s="2">
        <v>46191</v>
      </c>
      <c r="B76">
        <v>428</v>
      </c>
      <c r="C76" t="s">
        <v>358</v>
      </c>
      <c r="D76" s="2">
        <v>46191</v>
      </c>
      <c r="E76" s="2">
        <v>46202</v>
      </c>
      <c r="F76" t="s">
        <v>23</v>
      </c>
      <c r="G76" t="s">
        <v>252</v>
      </c>
      <c r="H76" t="s">
        <v>359</v>
      </c>
      <c r="I76" t="s">
        <v>26</v>
      </c>
      <c r="J76" t="s">
        <v>360</v>
      </c>
      <c r="K76" t="s">
        <v>28</v>
      </c>
      <c r="L76" t="s">
        <v>29</v>
      </c>
      <c r="M76" t="s">
        <v>356</v>
      </c>
      <c r="N76" t="s">
        <v>31</v>
      </c>
      <c r="O76" t="s">
        <v>29</v>
      </c>
      <c r="P76" t="s">
        <v>361</v>
      </c>
      <c r="Q76" s="3" t="s">
        <v>362</v>
      </c>
    </row>
    <row r="77" spans="1:17" ht="15.6" x14ac:dyDescent="0.3">
      <c r="A77" s="2">
        <v>46191</v>
      </c>
      <c r="B77">
        <v>427</v>
      </c>
      <c r="C77" t="s">
        <v>363</v>
      </c>
      <c r="D77" s="2">
        <v>46191</v>
      </c>
      <c r="E77" s="2">
        <v>46205</v>
      </c>
      <c r="F77" t="s">
        <v>123</v>
      </c>
      <c r="G77" t="s">
        <v>252</v>
      </c>
      <c r="H77" t="s">
        <v>364</v>
      </c>
      <c r="I77" t="s">
        <v>26</v>
      </c>
      <c r="J77" t="s">
        <v>365</v>
      </c>
      <c r="K77" t="s">
        <v>184</v>
      </c>
      <c r="L77" t="s">
        <v>29</v>
      </c>
      <c r="M77" t="s">
        <v>356</v>
      </c>
      <c r="N77" t="s">
        <v>29</v>
      </c>
      <c r="O77" t="s">
        <v>29</v>
      </c>
      <c r="P77" t="s">
        <v>64</v>
      </c>
      <c r="Q77" s="3" t="s">
        <v>366</v>
      </c>
    </row>
    <row r="78" spans="1:17" ht="15.6" x14ac:dyDescent="0.3">
      <c r="A78" s="2">
        <v>46191</v>
      </c>
      <c r="B78">
        <v>426</v>
      </c>
      <c r="C78" t="s">
        <v>367</v>
      </c>
      <c r="D78" s="2">
        <v>46191</v>
      </c>
      <c r="E78" s="2">
        <v>46204</v>
      </c>
      <c r="F78" t="s">
        <v>211</v>
      </c>
      <c r="G78" t="s">
        <v>252</v>
      </c>
      <c r="H78" t="s">
        <v>368</v>
      </c>
      <c r="I78" t="s">
        <v>26</v>
      </c>
      <c r="J78" t="s">
        <v>369</v>
      </c>
      <c r="K78" t="s">
        <v>207</v>
      </c>
      <c r="L78" t="s">
        <v>29</v>
      </c>
      <c r="M78" t="s">
        <v>254</v>
      </c>
      <c r="N78" t="s">
        <v>29</v>
      </c>
      <c r="O78" t="s">
        <v>29</v>
      </c>
      <c r="P78" t="s">
        <v>64</v>
      </c>
      <c r="Q78" s="3" t="s">
        <v>370</v>
      </c>
    </row>
    <row r="79" spans="1:17" ht="15.6" x14ac:dyDescent="0.3">
      <c r="A79" s="2">
        <v>46191</v>
      </c>
      <c r="B79">
        <v>425</v>
      </c>
      <c r="C79" t="s">
        <v>371</v>
      </c>
      <c r="D79" s="2">
        <v>46191</v>
      </c>
      <c r="E79" s="2">
        <v>46205</v>
      </c>
      <c r="F79" t="s">
        <v>123</v>
      </c>
      <c r="G79" t="s">
        <v>252</v>
      </c>
      <c r="H79" t="s">
        <v>372</v>
      </c>
      <c r="I79" t="s">
        <v>26</v>
      </c>
      <c r="J79" t="s">
        <v>373</v>
      </c>
      <c r="K79" t="s">
        <v>184</v>
      </c>
      <c r="L79" t="s">
        <v>29</v>
      </c>
      <c r="M79" t="s">
        <v>374</v>
      </c>
      <c r="N79" t="s">
        <v>29</v>
      </c>
      <c r="O79" t="s">
        <v>29</v>
      </c>
      <c r="P79" t="s">
        <v>64</v>
      </c>
      <c r="Q79" s="3" t="s">
        <v>375</v>
      </c>
    </row>
    <row r="80" spans="1:17" ht="15.6" x14ac:dyDescent="0.3">
      <c r="A80" s="2">
        <v>46191</v>
      </c>
      <c r="B80">
        <v>424</v>
      </c>
      <c r="C80" t="s">
        <v>376</v>
      </c>
      <c r="D80" s="2">
        <v>46191</v>
      </c>
      <c r="E80" s="2">
        <v>46202</v>
      </c>
      <c r="F80" t="s">
        <v>123</v>
      </c>
      <c r="G80" t="s">
        <v>252</v>
      </c>
      <c r="H80" t="s">
        <v>377</v>
      </c>
      <c r="I80" t="s">
        <v>26</v>
      </c>
      <c r="J80" t="s">
        <v>378</v>
      </c>
      <c r="K80" t="s">
        <v>379</v>
      </c>
      <c r="L80" t="s">
        <v>29</v>
      </c>
      <c r="M80" t="s">
        <v>254</v>
      </c>
      <c r="N80" t="s">
        <v>31</v>
      </c>
      <c r="O80" t="s">
        <v>31</v>
      </c>
      <c r="P80" t="s">
        <v>64</v>
      </c>
      <c r="Q80" s="3" t="s">
        <v>380</v>
      </c>
    </row>
    <row r="81" spans="1:17" ht="15.6" x14ac:dyDescent="0.3">
      <c r="A81" s="2">
        <v>46191</v>
      </c>
      <c r="B81">
        <v>423</v>
      </c>
      <c r="C81" t="s">
        <v>381</v>
      </c>
      <c r="D81" s="2">
        <v>46191</v>
      </c>
      <c r="E81" s="2">
        <v>46202</v>
      </c>
      <c r="F81" t="s">
        <v>23</v>
      </c>
      <c r="G81" t="s">
        <v>147</v>
      </c>
      <c r="H81" t="s">
        <v>382</v>
      </c>
      <c r="I81" t="s">
        <v>26</v>
      </c>
      <c r="J81" t="s">
        <v>383</v>
      </c>
      <c r="K81" t="s">
        <v>150</v>
      </c>
      <c r="L81" t="s">
        <v>29</v>
      </c>
      <c r="M81" t="s">
        <v>254</v>
      </c>
      <c r="N81" t="s">
        <v>29</v>
      </c>
      <c r="O81" t="s">
        <v>29</v>
      </c>
      <c r="P81" t="s">
        <v>64</v>
      </c>
      <c r="Q81" s="3" t="s">
        <v>384</v>
      </c>
    </row>
    <row r="82" spans="1:17" ht="15.6" x14ac:dyDescent="0.3">
      <c r="A82" s="2">
        <v>46191</v>
      </c>
      <c r="B82">
        <v>422</v>
      </c>
      <c r="C82" t="s">
        <v>385</v>
      </c>
      <c r="D82" s="2">
        <v>46191</v>
      </c>
      <c r="E82" s="2">
        <v>46203</v>
      </c>
      <c r="F82" t="s">
        <v>181</v>
      </c>
      <c r="G82" t="s">
        <v>24</v>
      </c>
      <c r="H82" t="s">
        <v>386</v>
      </c>
      <c r="I82" t="s">
        <v>26</v>
      </c>
      <c r="J82" t="s">
        <v>199</v>
      </c>
      <c r="K82" t="s">
        <v>42</v>
      </c>
      <c r="L82" t="s">
        <v>29</v>
      </c>
      <c r="M82" t="s">
        <v>254</v>
      </c>
      <c r="N82" t="s">
        <v>29</v>
      </c>
      <c r="O82" t="s">
        <v>29</v>
      </c>
      <c r="P82" t="s">
        <v>64</v>
      </c>
      <c r="Q82" s="3" t="s">
        <v>387</v>
      </c>
    </row>
    <row r="83" spans="1:17" ht="15.6" x14ac:dyDescent="0.3">
      <c r="A83" s="2">
        <v>46191</v>
      </c>
      <c r="B83">
        <v>421</v>
      </c>
      <c r="C83" t="s">
        <v>388</v>
      </c>
      <c r="D83" s="2">
        <v>46191</v>
      </c>
      <c r="E83" s="2">
        <v>46205</v>
      </c>
      <c r="F83" t="s">
        <v>181</v>
      </c>
      <c r="G83" t="s">
        <v>24</v>
      </c>
      <c r="H83" t="s">
        <v>389</v>
      </c>
      <c r="I83" t="s">
        <v>26</v>
      </c>
      <c r="J83" t="s">
        <v>199</v>
      </c>
      <c r="K83" t="s">
        <v>48</v>
      </c>
      <c r="L83" t="s">
        <v>29</v>
      </c>
      <c r="M83" t="s">
        <v>171</v>
      </c>
      <c r="N83" t="s">
        <v>31</v>
      </c>
      <c r="O83" t="s">
        <v>31</v>
      </c>
      <c r="P83" t="s">
        <v>390</v>
      </c>
      <c r="Q83" s="3" t="s">
        <v>391</v>
      </c>
    </row>
    <row r="84" spans="1:17" ht="15.6" x14ac:dyDescent="0.3">
      <c r="A84" s="2">
        <v>46191</v>
      </c>
      <c r="B84">
        <v>420</v>
      </c>
      <c r="C84" t="s">
        <v>392</v>
      </c>
      <c r="D84" s="2">
        <v>46191</v>
      </c>
      <c r="E84" s="2">
        <v>46199</v>
      </c>
      <c r="F84" t="s">
        <v>23</v>
      </c>
      <c r="G84" t="s">
        <v>252</v>
      </c>
      <c r="H84" t="s">
        <v>393</v>
      </c>
      <c r="I84" t="s">
        <v>26</v>
      </c>
      <c r="J84" t="s">
        <v>394</v>
      </c>
      <c r="K84" t="s">
        <v>42</v>
      </c>
      <c r="L84" t="s">
        <v>29</v>
      </c>
      <c r="M84" t="s">
        <v>30</v>
      </c>
      <c r="N84" t="s">
        <v>29</v>
      </c>
      <c r="O84" t="s">
        <v>29</v>
      </c>
      <c r="P84" t="s">
        <v>64</v>
      </c>
      <c r="Q84" s="3" t="s">
        <v>395</v>
      </c>
    </row>
    <row r="85" spans="1:17" ht="15.6" x14ac:dyDescent="0.3">
      <c r="A85" s="2">
        <v>46191</v>
      </c>
      <c r="B85">
        <v>419</v>
      </c>
      <c r="C85" t="s">
        <v>396</v>
      </c>
      <c r="D85" s="2">
        <v>46191</v>
      </c>
      <c r="E85" s="2">
        <v>46205</v>
      </c>
      <c r="F85" t="s">
        <v>181</v>
      </c>
      <c r="G85" t="s">
        <v>24</v>
      </c>
      <c r="H85" t="s">
        <v>397</v>
      </c>
      <c r="I85" t="s">
        <v>26</v>
      </c>
      <c r="J85" t="s">
        <v>199</v>
      </c>
      <c r="K85" t="s">
        <v>48</v>
      </c>
      <c r="L85" t="s">
        <v>29</v>
      </c>
      <c r="M85" t="s">
        <v>190</v>
      </c>
      <c r="N85" t="s">
        <v>31</v>
      </c>
      <c r="O85" t="s">
        <v>31</v>
      </c>
      <c r="P85" t="s">
        <v>398</v>
      </c>
      <c r="Q85" s="3" t="s">
        <v>399</v>
      </c>
    </row>
    <row r="86" spans="1:17" ht="15.6" x14ac:dyDescent="0.3">
      <c r="A86" s="2">
        <v>46191</v>
      </c>
      <c r="B86">
        <v>418</v>
      </c>
      <c r="C86" t="s">
        <v>400</v>
      </c>
      <c r="D86" s="2">
        <v>46191</v>
      </c>
      <c r="E86" s="2">
        <v>46199</v>
      </c>
      <c r="F86" t="s">
        <v>181</v>
      </c>
      <c r="G86" t="s">
        <v>24</v>
      </c>
      <c r="H86" t="s">
        <v>401</v>
      </c>
      <c r="I86" t="s">
        <v>26</v>
      </c>
      <c r="J86" t="s">
        <v>199</v>
      </c>
      <c r="K86" t="s">
        <v>48</v>
      </c>
      <c r="L86" t="s">
        <v>29</v>
      </c>
      <c r="M86" t="s">
        <v>30</v>
      </c>
      <c r="N86" t="s">
        <v>29</v>
      </c>
      <c r="O86" t="s">
        <v>29</v>
      </c>
      <c r="P86" t="s">
        <v>64</v>
      </c>
      <c r="Q86" s="3" t="s">
        <v>402</v>
      </c>
    </row>
    <row r="87" spans="1:17" ht="15.6" x14ac:dyDescent="0.3">
      <c r="A87" s="2">
        <v>46191</v>
      </c>
      <c r="B87">
        <v>417</v>
      </c>
      <c r="C87" t="s">
        <v>403</v>
      </c>
      <c r="D87" s="2">
        <v>46191</v>
      </c>
      <c r="E87" s="2">
        <v>46199</v>
      </c>
      <c r="F87" t="s">
        <v>181</v>
      </c>
      <c r="G87" t="s">
        <v>24</v>
      </c>
      <c r="H87" t="s">
        <v>404</v>
      </c>
      <c r="I87" t="s">
        <v>26</v>
      </c>
      <c r="J87" t="s">
        <v>405</v>
      </c>
      <c r="K87" t="s">
        <v>150</v>
      </c>
      <c r="L87" t="s">
        <v>29</v>
      </c>
      <c r="M87" t="s">
        <v>30</v>
      </c>
      <c r="N87" t="s">
        <v>29</v>
      </c>
      <c r="O87" t="s">
        <v>29</v>
      </c>
      <c r="P87" t="s">
        <v>64</v>
      </c>
      <c r="Q87" s="3" t="s">
        <v>406</v>
      </c>
    </row>
    <row r="88" spans="1:17" ht="15.6" x14ac:dyDescent="0.3">
      <c r="A88" s="2">
        <v>46191</v>
      </c>
      <c r="B88">
        <v>416</v>
      </c>
      <c r="C88" t="s">
        <v>407</v>
      </c>
      <c r="D88" s="2">
        <v>46191</v>
      </c>
      <c r="E88" s="2">
        <v>46199</v>
      </c>
      <c r="F88" t="s">
        <v>181</v>
      </c>
      <c r="G88" t="s">
        <v>24</v>
      </c>
      <c r="H88" t="s">
        <v>408</v>
      </c>
      <c r="I88" t="s">
        <v>26</v>
      </c>
      <c r="J88" t="s">
        <v>405</v>
      </c>
      <c r="K88" t="s">
        <v>150</v>
      </c>
      <c r="L88" t="s">
        <v>29</v>
      </c>
      <c r="M88" t="s">
        <v>409</v>
      </c>
      <c r="N88" t="s">
        <v>29</v>
      </c>
      <c r="O88" t="s">
        <v>29</v>
      </c>
      <c r="P88" t="s">
        <v>64</v>
      </c>
      <c r="Q88" s="3" t="s">
        <v>410</v>
      </c>
    </row>
    <row r="89" spans="1:17" ht="15.6" x14ac:dyDescent="0.3">
      <c r="A89" s="2">
        <v>46191</v>
      </c>
      <c r="B89">
        <v>415</v>
      </c>
      <c r="C89" t="s">
        <v>411</v>
      </c>
      <c r="D89" s="2">
        <v>46191</v>
      </c>
      <c r="E89" s="2">
        <v>46198</v>
      </c>
      <c r="F89" t="s">
        <v>330</v>
      </c>
      <c r="G89" t="s">
        <v>252</v>
      </c>
      <c r="H89" t="s">
        <v>412</v>
      </c>
      <c r="I89" t="s">
        <v>26</v>
      </c>
      <c r="J89" t="s">
        <v>413</v>
      </c>
      <c r="K89" t="s">
        <v>42</v>
      </c>
      <c r="L89" t="s">
        <v>29</v>
      </c>
      <c r="M89" t="s">
        <v>414</v>
      </c>
      <c r="N89" t="s">
        <v>29</v>
      </c>
      <c r="O89" t="s">
        <v>29</v>
      </c>
      <c r="P89" t="s">
        <v>64</v>
      </c>
      <c r="Q89" s="3" t="s">
        <v>415</v>
      </c>
    </row>
    <row r="90" spans="1:17" ht="15.6" x14ac:dyDescent="0.3">
      <c r="A90" s="2">
        <v>46191</v>
      </c>
      <c r="B90">
        <v>414</v>
      </c>
      <c r="C90" t="s">
        <v>416</v>
      </c>
      <c r="D90" s="2">
        <v>46191</v>
      </c>
      <c r="E90" s="2">
        <v>46199</v>
      </c>
      <c r="F90" t="s">
        <v>123</v>
      </c>
      <c r="G90" t="s">
        <v>252</v>
      </c>
      <c r="H90" t="s">
        <v>417</v>
      </c>
      <c r="I90" t="s">
        <v>26</v>
      </c>
      <c r="J90" t="s">
        <v>394</v>
      </c>
      <c r="K90" t="s">
        <v>48</v>
      </c>
      <c r="L90" t="s">
        <v>29</v>
      </c>
      <c r="M90" t="s">
        <v>244</v>
      </c>
      <c r="N90" t="s">
        <v>29</v>
      </c>
      <c r="O90" t="s">
        <v>29</v>
      </c>
      <c r="P90" t="s">
        <v>64</v>
      </c>
      <c r="Q90" s="3" t="s">
        <v>418</v>
      </c>
    </row>
    <row r="91" spans="1:17" ht="15.6" x14ac:dyDescent="0.3">
      <c r="A91" s="2">
        <v>46191</v>
      </c>
      <c r="B91">
        <v>413</v>
      </c>
      <c r="C91" t="s">
        <v>419</v>
      </c>
      <c r="D91" s="2">
        <v>46191</v>
      </c>
      <c r="E91" s="2">
        <v>46199</v>
      </c>
      <c r="F91" t="s">
        <v>123</v>
      </c>
      <c r="G91" t="s">
        <v>252</v>
      </c>
      <c r="H91" t="s">
        <v>420</v>
      </c>
      <c r="I91" t="s">
        <v>26</v>
      </c>
      <c r="J91" t="s">
        <v>421</v>
      </c>
      <c r="K91" t="s">
        <v>42</v>
      </c>
      <c r="L91" t="s">
        <v>29</v>
      </c>
      <c r="M91" t="s">
        <v>422</v>
      </c>
      <c r="N91" t="s">
        <v>31</v>
      </c>
      <c r="O91" t="s">
        <v>31</v>
      </c>
      <c r="P91" t="s">
        <v>423</v>
      </c>
      <c r="Q91" s="3" t="s">
        <v>424</v>
      </c>
    </row>
    <row r="92" spans="1:17" ht="15.6" x14ac:dyDescent="0.3">
      <c r="A92" s="2">
        <v>46191</v>
      </c>
      <c r="B92">
        <v>412</v>
      </c>
      <c r="C92" t="s">
        <v>425</v>
      </c>
      <c r="D92" s="2">
        <v>46191</v>
      </c>
      <c r="E92" s="2">
        <v>46199</v>
      </c>
      <c r="F92" t="s">
        <v>123</v>
      </c>
      <c r="G92" t="s">
        <v>252</v>
      </c>
      <c r="H92" t="s">
        <v>426</v>
      </c>
      <c r="I92" t="s">
        <v>26</v>
      </c>
      <c r="J92" t="s">
        <v>427</v>
      </c>
      <c r="K92" t="s">
        <v>42</v>
      </c>
      <c r="L92" t="s">
        <v>29</v>
      </c>
      <c r="M92" t="s">
        <v>428</v>
      </c>
      <c r="N92" t="s">
        <v>29</v>
      </c>
      <c r="O92" t="s">
        <v>29</v>
      </c>
      <c r="P92" t="s">
        <v>64</v>
      </c>
      <c r="Q92" s="3" t="s">
        <v>429</v>
      </c>
    </row>
    <row r="93" spans="1:17" ht="15.6" x14ac:dyDescent="0.3">
      <c r="A93" s="2">
        <v>46191</v>
      </c>
      <c r="B93">
        <v>411</v>
      </c>
      <c r="C93" t="s">
        <v>430</v>
      </c>
      <c r="D93" s="2">
        <v>46191</v>
      </c>
      <c r="E93" s="2">
        <v>46198</v>
      </c>
      <c r="F93" t="s">
        <v>23</v>
      </c>
      <c r="G93" t="s">
        <v>252</v>
      </c>
      <c r="H93" t="s">
        <v>431</v>
      </c>
      <c r="I93" t="s">
        <v>26</v>
      </c>
      <c r="J93" t="s">
        <v>432</v>
      </c>
      <c r="K93" t="s">
        <v>28</v>
      </c>
      <c r="L93" t="s">
        <v>29</v>
      </c>
      <c r="M93" t="s">
        <v>433</v>
      </c>
      <c r="N93" t="s">
        <v>29</v>
      </c>
      <c r="O93" t="s">
        <v>29</v>
      </c>
      <c r="P93" t="s">
        <v>64</v>
      </c>
      <c r="Q93" s="3" t="s">
        <v>434</v>
      </c>
    </row>
    <row r="94" spans="1:17" ht="15.6" x14ac:dyDescent="0.3">
      <c r="A94" s="2">
        <v>46191</v>
      </c>
      <c r="B94">
        <v>410</v>
      </c>
      <c r="C94" t="s">
        <v>435</v>
      </c>
      <c r="D94" s="2">
        <v>46191</v>
      </c>
      <c r="E94" s="2">
        <v>46198</v>
      </c>
      <c r="F94" t="s">
        <v>23</v>
      </c>
      <c r="G94" t="s">
        <v>252</v>
      </c>
      <c r="H94" t="s">
        <v>436</v>
      </c>
      <c r="I94" t="s">
        <v>26</v>
      </c>
      <c r="J94" t="s">
        <v>432</v>
      </c>
      <c r="K94" t="s">
        <v>28</v>
      </c>
      <c r="L94" t="s">
        <v>29</v>
      </c>
      <c r="M94" t="s">
        <v>171</v>
      </c>
      <c r="N94" t="s">
        <v>29</v>
      </c>
      <c r="O94" t="s">
        <v>29</v>
      </c>
      <c r="P94" t="s">
        <v>64</v>
      </c>
      <c r="Q94" s="3" t="s">
        <v>437</v>
      </c>
    </row>
    <row r="95" spans="1:17" ht="15.6" x14ac:dyDescent="0.3">
      <c r="A95" s="2">
        <v>46191</v>
      </c>
      <c r="B95">
        <v>409</v>
      </c>
      <c r="C95" t="s">
        <v>438</v>
      </c>
      <c r="D95" s="2">
        <v>46191</v>
      </c>
      <c r="E95" s="2">
        <v>46199</v>
      </c>
      <c r="F95" t="s">
        <v>123</v>
      </c>
      <c r="G95" t="s">
        <v>252</v>
      </c>
      <c r="H95" t="s">
        <v>439</v>
      </c>
      <c r="I95" t="s">
        <v>26</v>
      </c>
      <c r="J95" t="s">
        <v>440</v>
      </c>
      <c r="K95" t="s">
        <v>207</v>
      </c>
      <c r="L95" t="s">
        <v>29</v>
      </c>
      <c r="M95" t="s">
        <v>414</v>
      </c>
      <c r="N95" t="s">
        <v>29</v>
      </c>
      <c r="O95" t="s">
        <v>29</v>
      </c>
      <c r="P95" t="s">
        <v>64</v>
      </c>
      <c r="Q95" s="3" t="s">
        <v>441</v>
      </c>
    </row>
    <row r="96" spans="1:17" ht="15.6" x14ac:dyDescent="0.3">
      <c r="A96" s="2">
        <v>46191</v>
      </c>
      <c r="B96">
        <v>408</v>
      </c>
      <c r="C96" t="s">
        <v>442</v>
      </c>
      <c r="D96" s="2">
        <v>46191</v>
      </c>
      <c r="E96" s="2">
        <v>46198</v>
      </c>
      <c r="F96" t="s">
        <v>123</v>
      </c>
      <c r="G96" t="s">
        <v>252</v>
      </c>
      <c r="H96" t="s">
        <v>443</v>
      </c>
      <c r="I96" t="s">
        <v>26</v>
      </c>
      <c r="J96" t="s">
        <v>394</v>
      </c>
      <c r="K96" t="s">
        <v>48</v>
      </c>
      <c r="L96" t="s">
        <v>29</v>
      </c>
      <c r="M96" t="s">
        <v>244</v>
      </c>
      <c r="N96" t="s">
        <v>29</v>
      </c>
      <c r="O96" t="s">
        <v>29</v>
      </c>
      <c r="P96" t="s">
        <v>64</v>
      </c>
      <c r="Q96" s="3" t="s">
        <v>444</v>
      </c>
    </row>
    <row r="97" spans="1:17" ht="15.6" x14ac:dyDescent="0.3">
      <c r="A97" s="2">
        <v>46191</v>
      </c>
      <c r="B97">
        <v>407</v>
      </c>
      <c r="C97" t="s">
        <v>445</v>
      </c>
      <c r="D97" s="2">
        <v>46191</v>
      </c>
      <c r="E97" s="2">
        <v>46198</v>
      </c>
      <c r="F97" t="s">
        <v>123</v>
      </c>
      <c r="G97" t="s">
        <v>252</v>
      </c>
      <c r="H97" t="s">
        <v>446</v>
      </c>
      <c r="I97" t="s">
        <v>26</v>
      </c>
      <c r="J97" t="s">
        <v>447</v>
      </c>
      <c r="K97" t="s">
        <v>28</v>
      </c>
      <c r="L97" t="s">
        <v>29</v>
      </c>
      <c r="M97" t="s">
        <v>190</v>
      </c>
      <c r="N97" t="s">
        <v>29</v>
      </c>
      <c r="O97" t="s">
        <v>29</v>
      </c>
      <c r="P97" t="s">
        <v>64</v>
      </c>
      <c r="Q97" s="3" t="s">
        <v>448</v>
      </c>
    </row>
    <row r="98" spans="1:17" ht="15.6" x14ac:dyDescent="0.3">
      <c r="A98" s="2">
        <v>46191</v>
      </c>
      <c r="B98">
        <v>406</v>
      </c>
      <c r="C98" t="s">
        <v>449</v>
      </c>
      <c r="D98" s="2">
        <v>46191</v>
      </c>
      <c r="E98" s="2">
        <v>46198</v>
      </c>
      <c r="F98" t="s">
        <v>123</v>
      </c>
      <c r="G98" t="s">
        <v>252</v>
      </c>
      <c r="H98" t="s">
        <v>450</v>
      </c>
      <c r="I98" t="s">
        <v>26</v>
      </c>
      <c r="J98" t="s">
        <v>440</v>
      </c>
      <c r="K98" t="s">
        <v>28</v>
      </c>
      <c r="L98" t="s">
        <v>29</v>
      </c>
      <c r="M98" t="s">
        <v>451</v>
      </c>
      <c r="N98" t="s">
        <v>29</v>
      </c>
      <c r="O98" t="s">
        <v>29</v>
      </c>
      <c r="P98" t="s">
        <v>64</v>
      </c>
      <c r="Q98" s="3" t="s">
        <v>452</v>
      </c>
    </row>
    <row r="99" spans="1:17" ht="15.6" x14ac:dyDescent="0.3">
      <c r="A99" s="2">
        <v>46191</v>
      </c>
      <c r="B99">
        <v>405</v>
      </c>
      <c r="C99" t="s">
        <v>453</v>
      </c>
      <c r="D99" s="2">
        <v>46191</v>
      </c>
      <c r="E99" s="2">
        <v>46198</v>
      </c>
      <c r="F99" t="s">
        <v>123</v>
      </c>
      <c r="G99" t="s">
        <v>252</v>
      </c>
      <c r="H99" t="s">
        <v>454</v>
      </c>
      <c r="I99" t="s">
        <v>26</v>
      </c>
      <c r="J99" t="s">
        <v>440</v>
      </c>
      <c r="K99" t="s">
        <v>28</v>
      </c>
      <c r="L99" t="s">
        <v>29</v>
      </c>
      <c r="M99" t="s">
        <v>451</v>
      </c>
      <c r="N99" t="s">
        <v>29</v>
      </c>
      <c r="O99" t="s">
        <v>29</v>
      </c>
      <c r="P99" t="s">
        <v>64</v>
      </c>
      <c r="Q99" s="3" t="s">
        <v>455</v>
      </c>
    </row>
    <row r="100" spans="1:17" ht="15.6" x14ac:dyDescent="0.3">
      <c r="A100" s="2">
        <v>46191</v>
      </c>
      <c r="B100">
        <v>404</v>
      </c>
      <c r="C100" t="s">
        <v>456</v>
      </c>
      <c r="D100" s="2">
        <v>46191</v>
      </c>
      <c r="E100" s="2">
        <v>46198</v>
      </c>
      <c r="F100" t="s">
        <v>123</v>
      </c>
      <c r="G100" t="s">
        <v>227</v>
      </c>
      <c r="H100" t="s">
        <v>457</v>
      </c>
      <c r="I100" t="s">
        <v>26</v>
      </c>
      <c r="J100" t="s">
        <v>458</v>
      </c>
      <c r="K100" t="s">
        <v>207</v>
      </c>
      <c r="L100" t="s">
        <v>29</v>
      </c>
      <c r="M100" t="s">
        <v>36</v>
      </c>
      <c r="N100" t="s">
        <v>29</v>
      </c>
      <c r="O100" t="s">
        <v>29</v>
      </c>
      <c r="P100" t="s">
        <v>64</v>
      </c>
      <c r="Q100" s="3" t="s">
        <v>459</v>
      </c>
    </row>
    <row r="101" spans="1:17" ht="15.6" x14ac:dyDescent="0.3">
      <c r="A101" s="2">
        <v>46191</v>
      </c>
      <c r="B101">
        <v>403</v>
      </c>
      <c r="C101" t="s">
        <v>460</v>
      </c>
      <c r="D101" s="2">
        <v>46191</v>
      </c>
      <c r="E101" s="2">
        <v>46198</v>
      </c>
      <c r="F101" t="s">
        <v>123</v>
      </c>
      <c r="G101" t="s">
        <v>227</v>
      </c>
      <c r="H101" t="s">
        <v>461</v>
      </c>
      <c r="I101" t="s">
        <v>26</v>
      </c>
      <c r="J101" t="s">
        <v>458</v>
      </c>
      <c r="K101" t="s">
        <v>207</v>
      </c>
      <c r="L101" t="s">
        <v>29</v>
      </c>
      <c r="M101" t="s">
        <v>36</v>
      </c>
      <c r="N101" t="s">
        <v>29</v>
      </c>
      <c r="O101" t="s">
        <v>29</v>
      </c>
      <c r="P101" t="s">
        <v>64</v>
      </c>
      <c r="Q101" s="3" t="s">
        <v>462</v>
      </c>
    </row>
    <row r="102" spans="1:17" ht="15.6" x14ac:dyDescent="0.3">
      <c r="A102" s="2">
        <v>46191</v>
      </c>
      <c r="B102">
        <v>402</v>
      </c>
      <c r="C102" t="s">
        <v>463</v>
      </c>
      <c r="D102" s="2">
        <v>46191</v>
      </c>
      <c r="E102" s="2">
        <v>46198</v>
      </c>
      <c r="F102" t="s">
        <v>123</v>
      </c>
      <c r="G102" t="s">
        <v>252</v>
      </c>
      <c r="H102" t="s">
        <v>464</v>
      </c>
      <c r="I102" t="s">
        <v>26</v>
      </c>
      <c r="J102" t="s">
        <v>440</v>
      </c>
      <c r="K102" t="s">
        <v>28</v>
      </c>
      <c r="L102" t="s">
        <v>29</v>
      </c>
      <c r="M102" t="s">
        <v>451</v>
      </c>
      <c r="N102" t="s">
        <v>29</v>
      </c>
      <c r="O102" t="s">
        <v>29</v>
      </c>
      <c r="P102" t="s">
        <v>64</v>
      </c>
      <c r="Q102" s="3" t="s">
        <v>465</v>
      </c>
    </row>
    <row r="103" spans="1:17" ht="15.6" x14ac:dyDescent="0.3">
      <c r="A103" s="2">
        <v>46191</v>
      </c>
      <c r="B103">
        <v>401</v>
      </c>
      <c r="C103" t="s">
        <v>466</v>
      </c>
      <c r="D103" s="2">
        <v>46191</v>
      </c>
      <c r="E103" s="2">
        <v>46198</v>
      </c>
      <c r="F103" t="s">
        <v>123</v>
      </c>
      <c r="G103" t="s">
        <v>252</v>
      </c>
      <c r="H103" t="s">
        <v>467</v>
      </c>
      <c r="I103" t="s">
        <v>26</v>
      </c>
      <c r="J103" t="s">
        <v>440</v>
      </c>
      <c r="K103" t="s">
        <v>28</v>
      </c>
      <c r="L103" t="s">
        <v>29</v>
      </c>
      <c r="M103" t="s">
        <v>451</v>
      </c>
      <c r="N103" t="s">
        <v>29</v>
      </c>
      <c r="O103" t="s">
        <v>29</v>
      </c>
      <c r="P103" t="s">
        <v>64</v>
      </c>
      <c r="Q103" s="3" t="s">
        <v>468</v>
      </c>
    </row>
    <row r="104" spans="1:17" ht="15.6" x14ac:dyDescent="0.3">
      <c r="A104" s="2">
        <v>46191</v>
      </c>
      <c r="B104">
        <v>400</v>
      </c>
      <c r="C104" t="s">
        <v>469</v>
      </c>
      <c r="D104" s="2">
        <v>46191</v>
      </c>
      <c r="E104" s="2">
        <v>46198</v>
      </c>
      <c r="F104" t="s">
        <v>123</v>
      </c>
      <c r="G104" t="s">
        <v>252</v>
      </c>
      <c r="H104" t="s">
        <v>470</v>
      </c>
      <c r="I104" t="s">
        <v>26</v>
      </c>
      <c r="J104" t="s">
        <v>440</v>
      </c>
      <c r="K104" t="s">
        <v>28</v>
      </c>
      <c r="L104" t="s">
        <v>29</v>
      </c>
      <c r="M104" t="s">
        <v>451</v>
      </c>
      <c r="N104" t="s">
        <v>29</v>
      </c>
      <c r="O104" t="s">
        <v>29</v>
      </c>
      <c r="P104" t="s">
        <v>64</v>
      </c>
      <c r="Q104" s="3" t="s">
        <v>471</v>
      </c>
    </row>
    <row r="105" spans="1:17" ht="15.6" x14ac:dyDescent="0.3">
      <c r="A105" s="2">
        <v>46191</v>
      </c>
      <c r="B105">
        <v>399</v>
      </c>
      <c r="C105" t="s">
        <v>472</v>
      </c>
      <c r="D105" s="2">
        <v>46191</v>
      </c>
      <c r="E105" s="2">
        <v>46198</v>
      </c>
      <c r="F105" t="s">
        <v>123</v>
      </c>
      <c r="G105" t="s">
        <v>252</v>
      </c>
      <c r="H105" t="s">
        <v>473</v>
      </c>
      <c r="I105" t="s">
        <v>26</v>
      </c>
      <c r="J105" t="s">
        <v>474</v>
      </c>
      <c r="K105" t="s">
        <v>184</v>
      </c>
      <c r="L105" t="s">
        <v>29</v>
      </c>
      <c r="M105" t="s">
        <v>171</v>
      </c>
      <c r="N105" t="s">
        <v>29</v>
      </c>
      <c r="O105" t="s">
        <v>29</v>
      </c>
      <c r="P105" t="s">
        <v>64</v>
      </c>
      <c r="Q105" s="3" t="s">
        <v>475</v>
      </c>
    </row>
    <row r="106" spans="1:17" ht="15.6" x14ac:dyDescent="0.3">
      <c r="A106" s="2">
        <v>46191</v>
      </c>
      <c r="B106">
        <v>398</v>
      </c>
      <c r="C106" t="s">
        <v>476</v>
      </c>
      <c r="D106" s="2">
        <v>46191</v>
      </c>
      <c r="E106" s="2">
        <v>46198</v>
      </c>
      <c r="F106" t="s">
        <v>123</v>
      </c>
      <c r="G106" t="s">
        <v>252</v>
      </c>
      <c r="H106" t="s">
        <v>477</v>
      </c>
      <c r="I106" t="s">
        <v>26</v>
      </c>
      <c r="J106" t="s">
        <v>447</v>
      </c>
      <c r="K106" t="s">
        <v>28</v>
      </c>
      <c r="L106" t="s">
        <v>29</v>
      </c>
      <c r="M106" t="s">
        <v>478</v>
      </c>
      <c r="N106" t="s">
        <v>29</v>
      </c>
      <c r="O106" t="s">
        <v>29</v>
      </c>
      <c r="P106" t="s">
        <v>64</v>
      </c>
      <c r="Q106" s="3" t="s">
        <v>479</v>
      </c>
    </row>
    <row r="107" spans="1:17" ht="15.6" x14ac:dyDescent="0.3">
      <c r="A107" s="2">
        <v>46191</v>
      </c>
      <c r="B107">
        <v>397</v>
      </c>
      <c r="C107" t="s">
        <v>480</v>
      </c>
      <c r="D107" s="2">
        <v>46191</v>
      </c>
      <c r="E107" s="2">
        <v>46198</v>
      </c>
      <c r="F107" t="s">
        <v>123</v>
      </c>
      <c r="G107" t="s">
        <v>252</v>
      </c>
      <c r="H107" t="s">
        <v>481</v>
      </c>
      <c r="I107" t="s">
        <v>26</v>
      </c>
      <c r="J107" t="s">
        <v>275</v>
      </c>
      <c r="K107" t="s">
        <v>62</v>
      </c>
      <c r="L107" t="s">
        <v>29</v>
      </c>
      <c r="M107" t="s">
        <v>482</v>
      </c>
      <c r="N107" t="s">
        <v>29</v>
      </c>
      <c r="O107" t="s">
        <v>29</v>
      </c>
      <c r="P107" t="s">
        <v>64</v>
      </c>
      <c r="Q107" s="3" t="s">
        <v>483</v>
      </c>
    </row>
    <row r="108" spans="1:17" ht="15.6" x14ac:dyDescent="0.3">
      <c r="A108" s="2">
        <v>46191</v>
      </c>
      <c r="B108">
        <v>396</v>
      </c>
      <c r="C108" t="s">
        <v>484</v>
      </c>
      <c r="D108" s="2">
        <v>46191</v>
      </c>
      <c r="E108" s="2">
        <v>46198</v>
      </c>
      <c r="F108" t="s">
        <v>123</v>
      </c>
      <c r="G108" t="s">
        <v>24</v>
      </c>
      <c r="H108" t="s">
        <v>485</v>
      </c>
      <c r="I108" t="s">
        <v>26</v>
      </c>
      <c r="J108" t="s">
        <v>486</v>
      </c>
      <c r="K108" t="s">
        <v>42</v>
      </c>
      <c r="L108" t="s">
        <v>29</v>
      </c>
      <c r="M108" t="s">
        <v>244</v>
      </c>
      <c r="N108" t="s">
        <v>29</v>
      </c>
      <c r="O108" t="s">
        <v>29</v>
      </c>
      <c r="P108" t="s">
        <v>64</v>
      </c>
      <c r="Q108" s="3" t="s">
        <v>487</v>
      </c>
    </row>
    <row r="109" spans="1:17" ht="15.6" x14ac:dyDescent="0.3">
      <c r="A109" s="2">
        <v>46191</v>
      </c>
      <c r="B109">
        <v>395</v>
      </c>
      <c r="C109" t="s">
        <v>488</v>
      </c>
      <c r="D109" s="2">
        <v>46191</v>
      </c>
      <c r="E109" s="2">
        <v>46197</v>
      </c>
      <c r="F109" t="s">
        <v>123</v>
      </c>
      <c r="G109" t="s">
        <v>252</v>
      </c>
      <c r="H109" t="s">
        <v>489</v>
      </c>
      <c r="I109" t="s">
        <v>26</v>
      </c>
      <c r="J109" t="s">
        <v>490</v>
      </c>
      <c r="K109" t="s">
        <v>184</v>
      </c>
      <c r="L109" t="s">
        <v>29</v>
      </c>
      <c r="M109" t="s">
        <v>491</v>
      </c>
      <c r="N109" t="s">
        <v>29</v>
      </c>
      <c r="O109" t="s">
        <v>29</v>
      </c>
      <c r="P109" t="s">
        <v>64</v>
      </c>
      <c r="Q109" s="3" t="s">
        <v>492</v>
      </c>
    </row>
    <row r="110" spans="1:17" ht="15.6" x14ac:dyDescent="0.3">
      <c r="A110" s="2">
        <v>46191</v>
      </c>
      <c r="B110">
        <v>394</v>
      </c>
      <c r="C110" t="s">
        <v>493</v>
      </c>
      <c r="D110" s="2">
        <v>46191</v>
      </c>
      <c r="E110" s="2">
        <v>46197</v>
      </c>
      <c r="F110" t="s">
        <v>123</v>
      </c>
      <c r="G110" t="s">
        <v>252</v>
      </c>
      <c r="H110" t="s">
        <v>494</v>
      </c>
      <c r="I110" t="s">
        <v>26</v>
      </c>
      <c r="J110" t="s">
        <v>421</v>
      </c>
      <c r="K110" t="s">
        <v>42</v>
      </c>
      <c r="L110" t="s">
        <v>29</v>
      </c>
      <c r="M110" t="s">
        <v>478</v>
      </c>
      <c r="N110" t="s">
        <v>29</v>
      </c>
      <c r="O110" t="s">
        <v>29</v>
      </c>
      <c r="P110" t="s">
        <v>64</v>
      </c>
      <c r="Q110" s="3" t="s">
        <v>495</v>
      </c>
    </row>
    <row r="111" spans="1:17" ht="15.6" x14ac:dyDescent="0.3">
      <c r="A111" s="2">
        <v>46191</v>
      </c>
      <c r="B111">
        <v>393</v>
      </c>
      <c r="C111" t="s">
        <v>496</v>
      </c>
      <c r="D111" s="2">
        <v>46191</v>
      </c>
      <c r="E111" s="2">
        <v>46197</v>
      </c>
      <c r="F111" t="s">
        <v>123</v>
      </c>
      <c r="G111" t="s">
        <v>252</v>
      </c>
      <c r="H111" t="s">
        <v>497</v>
      </c>
      <c r="I111" t="s">
        <v>26</v>
      </c>
      <c r="J111" t="s">
        <v>195</v>
      </c>
      <c r="K111" t="s">
        <v>184</v>
      </c>
      <c r="L111" t="s">
        <v>29</v>
      </c>
      <c r="M111" t="s">
        <v>30</v>
      </c>
      <c r="N111" t="s">
        <v>29</v>
      </c>
      <c r="O111" t="s">
        <v>29</v>
      </c>
      <c r="P111" t="s">
        <v>64</v>
      </c>
      <c r="Q111" s="3" t="s">
        <v>498</v>
      </c>
    </row>
    <row r="112" spans="1:17" ht="15.6" x14ac:dyDescent="0.3">
      <c r="A112" s="2">
        <v>46191</v>
      </c>
      <c r="B112">
        <v>392</v>
      </c>
      <c r="C112" t="s">
        <v>499</v>
      </c>
      <c r="D112" s="2">
        <v>46191</v>
      </c>
      <c r="E112" s="2">
        <v>46197</v>
      </c>
      <c r="F112" t="s">
        <v>23</v>
      </c>
      <c r="G112" t="s">
        <v>252</v>
      </c>
      <c r="H112" t="s">
        <v>500</v>
      </c>
      <c r="I112" t="s">
        <v>26</v>
      </c>
      <c r="J112" t="s">
        <v>501</v>
      </c>
      <c r="K112" t="s">
        <v>28</v>
      </c>
      <c r="L112" t="s">
        <v>29</v>
      </c>
      <c r="M112" t="s">
        <v>502</v>
      </c>
      <c r="N112" t="s">
        <v>29</v>
      </c>
      <c r="O112" t="s">
        <v>29</v>
      </c>
      <c r="P112" t="s">
        <v>64</v>
      </c>
      <c r="Q112" s="3" t="s">
        <v>503</v>
      </c>
    </row>
    <row r="113" spans="1:17" ht="15.6" x14ac:dyDescent="0.3">
      <c r="A113" s="2">
        <v>46191</v>
      </c>
      <c r="B113">
        <v>391</v>
      </c>
      <c r="C113" t="s">
        <v>504</v>
      </c>
      <c r="D113" s="2">
        <v>46191</v>
      </c>
      <c r="E113" s="2">
        <v>46197</v>
      </c>
      <c r="F113" t="s">
        <v>123</v>
      </c>
      <c r="G113" t="s">
        <v>252</v>
      </c>
      <c r="H113" t="s">
        <v>505</v>
      </c>
      <c r="I113" t="s">
        <v>26</v>
      </c>
      <c r="J113" t="s">
        <v>506</v>
      </c>
      <c r="K113" t="s">
        <v>184</v>
      </c>
      <c r="L113" t="s">
        <v>29</v>
      </c>
      <c r="M113" t="s">
        <v>507</v>
      </c>
      <c r="N113" t="s">
        <v>29</v>
      </c>
      <c r="O113" t="s">
        <v>29</v>
      </c>
      <c r="P113" t="s">
        <v>64</v>
      </c>
      <c r="Q113" s="3" t="s">
        <v>508</v>
      </c>
    </row>
    <row r="114" spans="1:17" ht="15.6" x14ac:dyDescent="0.3">
      <c r="A114" s="2">
        <v>46192</v>
      </c>
      <c r="B114">
        <v>390</v>
      </c>
      <c r="C114" t="s">
        <v>509</v>
      </c>
      <c r="D114" s="2">
        <v>46192</v>
      </c>
      <c r="E114" s="2">
        <v>46239</v>
      </c>
      <c r="F114" t="s">
        <v>123</v>
      </c>
      <c r="G114" t="s">
        <v>24</v>
      </c>
      <c r="H114" t="s">
        <v>510</v>
      </c>
      <c r="I114" t="s">
        <v>26</v>
      </c>
      <c r="J114" t="s">
        <v>511</v>
      </c>
      <c r="K114" t="s">
        <v>284</v>
      </c>
      <c r="L114" t="s">
        <v>29</v>
      </c>
      <c r="M114" t="s">
        <v>134</v>
      </c>
      <c r="N114" t="s">
        <v>31</v>
      </c>
      <c r="O114" t="s">
        <v>29</v>
      </c>
      <c r="P114" t="s">
        <v>512</v>
      </c>
      <c r="Q114" s="3" t="s">
        <v>513</v>
      </c>
    </row>
    <row r="115" spans="1:17" ht="15.6" x14ac:dyDescent="0.3">
      <c r="A115" s="2">
        <v>46192</v>
      </c>
      <c r="B115">
        <v>389</v>
      </c>
      <c r="C115" t="s">
        <v>514</v>
      </c>
      <c r="D115" s="2">
        <v>46192</v>
      </c>
      <c r="E115" s="2">
        <v>46234</v>
      </c>
      <c r="F115" t="s">
        <v>23</v>
      </c>
      <c r="G115" t="s">
        <v>24</v>
      </c>
      <c r="H115" t="s">
        <v>515</v>
      </c>
      <c r="I115" t="s">
        <v>26</v>
      </c>
      <c r="J115" t="s">
        <v>516</v>
      </c>
      <c r="K115" t="s">
        <v>42</v>
      </c>
      <c r="L115" t="s">
        <v>29</v>
      </c>
      <c r="M115" t="s">
        <v>356</v>
      </c>
      <c r="N115" t="s">
        <v>29</v>
      </c>
      <c r="O115" t="s">
        <v>29</v>
      </c>
      <c r="P115" t="s">
        <v>64</v>
      </c>
      <c r="Q115" s="3" t="s">
        <v>517</v>
      </c>
    </row>
    <row r="116" spans="1:17" ht="15.6" x14ac:dyDescent="0.3">
      <c r="A116" s="2">
        <v>46192</v>
      </c>
      <c r="B116">
        <v>388</v>
      </c>
      <c r="C116" t="s">
        <v>518</v>
      </c>
      <c r="D116" s="2">
        <v>46192</v>
      </c>
      <c r="E116" s="2">
        <v>46234</v>
      </c>
      <c r="F116" t="s">
        <v>23</v>
      </c>
      <c r="G116" t="s">
        <v>24</v>
      </c>
      <c r="H116" t="s">
        <v>519</v>
      </c>
      <c r="I116" t="s">
        <v>26</v>
      </c>
      <c r="J116" t="s">
        <v>520</v>
      </c>
      <c r="K116" t="s">
        <v>28</v>
      </c>
      <c r="L116" t="s">
        <v>29</v>
      </c>
      <c r="M116" t="s">
        <v>521</v>
      </c>
      <c r="N116" t="s">
        <v>29</v>
      </c>
      <c r="O116" t="s">
        <v>29</v>
      </c>
      <c r="P116" t="s">
        <v>64</v>
      </c>
      <c r="Q116" s="3" t="s">
        <v>522</v>
      </c>
    </row>
    <row r="117" spans="1:17" ht="15.6" x14ac:dyDescent="0.3">
      <c r="A117" s="2">
        <v>46192</v>
      </c>
      <c r="B117">
        <v>387</v>
      </c>
      <c r="C117" t="s">
        <v>523</v>
      </c>
      <c r="D117" s="2">
        <v>46192</v>
      </c>
      <c r="E117" s="2">
        <v>46234</v>
      </c>
      <c r="F117" t="s">
        <v>123</v>
      </c>
      <c r="G117" t="s">
        <v>24</v>
      </c>
      <c r="H117" t="s">
        <v>524</v>
      </c>
      <c r="I117" t="s">
        <v>26</v>
      </c>
      <c r="J117" t="s">
        <v>525</v>
      </c>
      <c r="K117" t="s">
        <v>127</v>
      </c>
      <c r="L117" t="s">
        <v>29</v>
      </c>
      <c r="M117" t="s">
        <v>63</v>
      </c>
      <c r="N117" t="s">
        <v>31</v>
      </c>
      <c r="O117" t="s">
        <v>31</v>
      </c>
      <c r="P117" t="s">
        <v>526</v>
      </c>
      <c r="Q117" s="3" t="s">
        <v>527</v>
      </c>
    </row>
    <row r="118" spans="1:17" ht="15.6" x14ac:dyDescent="0.3">
      <c r="A118" s="2">
        <v>46192</v>
      </c>
      <c r="B118">
        <v>386</v>
      </c>
      <c r="C118" t="s">
        <v>528</v>
      </c>
      <c r="D118" s="2">
        <v>46192</v>
      </c>
      <c r="E118" s="2">
        <v>46234</v>
      </c>
      <c r="F118" t="s">
        <v>123</v>
      </c>
      <c r="G118" t="s">
        <v>24</v>
      </c>
      <c r="H118" t="s">
        <v>529</v>
      </c>
      <c r="I118" t="s">
        <v>26</v>
      </c>
      <c r="J118" t="s">
        <v>525</v>
      </c>
      <c r="K118" t="s">
        <v>127</v>
      </c>
      <c r="L118" t="s">
        <v>29</v>
      </c>
      <c r="M118" t="s">
        <v>63</v>
      </c>
      <c r="N118" t="s">
        <v>31</v>
      </c>
      <c r="O118" t="s">
        <v>31</v>
      </c>
      <c r="P118" t="s">
        <v>530</v>
      </c>
      <c r="Q118" s="3" t="s">
        <v>531</v>
      </c>
    </row>
    <row r="119" spans="1:17" ht="15.6" x14ac:dyDescent="0.3">
      <c r="A119" s="2">
        <v>46192</v>
      </c>
      <c r="B119">
        <v>385</v>
      </c>
      <c r="C119" t="s">
        <v>532</v>
      </c>
      <c r="D119" s="2">
        <v>46192</v>
      </c>
      <c r="E119" s="2">
        <v>46233</v>
      </c>
      <c r="F119" t="s">
        <v>123</v>
      </c>
      <c r="G119" t="s">
        <v>24</v>
      </c>
      <c r="H119" t="s">
        <v>533</v>
      </c>
      <c r="I119" t="s">
        <v>26</v>
      </c>
      <c r="J119" t="s">
        <v>534</v>
      </c>
      <c r="K119" t="s">
        <v>184</v>
      </c>
      <c r="L119" t="s">
        <v>29</v>
      </c>
      <c r="M119" t="s">
        <v>254</v>
      </c>
      <c r="N119" t="s">
        <v>31</v>
      </c>
      <c r="O119" t="s">
        <v>29</v>
      </c>
      <c r="P119" t="s">
        <v>535</v>
      </c>
      <c r="Q119" s="3" t="s">
        <v>536</v>
      </c>
    </row>
    <row r="120" spans="1:17" ht="15.6" x14ac:dyDescent="0.3">
      <c r="A120" s="2">
        <v>46192</v>
      </c>
      <c r="B120">
        <v>384</v>
      </c>
      <c r="C120" t="s">
        <v>537</v>
      </c>
      <c r="D120" s="2">
        <v>46192</v>
      </c>
      <c r="E120" s="2">
        <v>46248</v>
      </c>
      <c r="F120" t="s">
        <v>123</v>
      </c>
      <c r="G120" t="s">
        <v>24</v>
      </c>
      <c r="H120" t="s">
        <v>538</v>
      </c>
      <c r="I120" t="s">
        <v>26</v>
      </c>
      <c r="J120" t="s">
        <v>195</v>
      </c>
      <c r="K120" t="s">
        <v>207</v>
      </c>
      <c r="L120" t="s">
        <v>29</v>
      </c>
      <c r="M120" t="s">
        <v>190</v>
      </c>
      <c r="N120" t="s">
        <v>31</v>
      </c>
      <c r="O120" t="s">
        <v>31</v>
      </c>
      <c r="P120" t="s">
        <v>539</v>
      </c>
      <c r="Q120" s="3" t="s">
        <v>540</v>
      </c>
    </row>
    <row r="121" spans="1:17" ht="15.6" x14ac:dyDescent="0.3">
      <c r="A121" s="2">
        <v>46192</v>
      </c>
      <c r="B121">
        <v>383</v>
      </c>
      <c r="C121" t="s">
        <v>541</v>
      </c>
      <c r="D121" s="2">
        <v>46192</v>
      </c>
      <c r="E121" s="2">
        <v>46227</v>
      </c>
      <c r="F121" t="s">
        <v>181</v>
      </c>
      <c r="G121" t="s">
        <v>24</v>
      </c>
      <c r="H121" t="s">
        <v>542</v>
      </c>
      <c r="I121" t="s">
        <v>26</v>
      </c>
      <c r="J121" t="s">
        <v>511</v>
      </c>
      <c r="K121" t="s">
        <v>42</v>
      </c>
      <c r="L121" t="s">
        <v>29</v>
      </c>
      <c r="M121" t="s">
        <v>171</v>
      </c>
      <c r="N121" t="s">
        <v>31</v>
      </c>
      <c r="O121" t="s">
        <v>29</v>
      </c>
      <c r="P121" t="s">
        <v>543</v>
      </c>
      <c r="Q121" s="3" t="s">
        <v>544</v>
      </c>
    </row>
    <row r="122" spans="1:17" ht="15.6" x14ac:dyDescent="0.3">
      <c r="A122" s="2">
        <v>46192</v>
      </c>
      <c r="B122">
        <v>382</v>
      </c>
      <c r="C122" t="s">
        <v>545</v>
      </c>
      <c r="D122" s="2">
        <v>46192</v>
      </c>
      <c r="E122" s="2">
        <v>46227</v>
      </c>
      <c r="F122" t="s">
        <v>123</v>
      </c>
      <c r="G122" t="s">
        <v>24</v>
      </c>
      <c r="H122" t="s">
        <v>546</v>
      </c>
      <c r="I122" t="s">
        <v>26</v>
      </c>
      <c r="J122" t="s">
        <v>547</v>
      </c>
      <c r="K122" t="s">
        <v>42</v>
      </c>
      <c r="L122" t="s">
        <v>29</v>
      </c>
      <c r="M122" t="s">
        <v>310</v>
      </c>
      <c r="N122" t="s">
        <v>31</v>
      </c>
      <c r="O122" t="s">
        <v>31</v>
      </c>
      <c r="P122" t="s">
        <v>548</v>
      </c>
      <c r="Q122" s="3" t="s">
        <v>549</v>
      </c>
    </row>
    <row r="123" spans="1:17" ht="15.6" x14ac:dyDescent="0.3">
      <c r="A123" s="2">
        <v>46192</v>
      </c>
      <c r="B123">
        <v>381</v>
      </c>
      <c r="C123" t="s">
        <v>550</v>
      </c>
      <c r="D123" s="2">
        <v>46192</v>
      </c>
      <c r="E123" s="2">
        <v>46227</v>
      </c>
      <c r="F123" t="s">
        <v>181</v>
      </c>
      <c r="G123" t="s">
        <v>24</v>
      </c>
      <c r="H123" t="s">
        <v>551</v>
      </c>
      <c r="I123" t="s">
        <v>26</v>
      </c>
      <c r="J123" t="s">
        <v>199</v>
      </c>
      <c r="K123" t="s">
        <v>28</v>
      </c>
      <c r="L123" t="s">
        <v>29</v>
      </c>
      <c r="M123" t="s">
        <v>200</v>
      </c>
      <c r="N123" t="s">
        <v>31</v>
      </c>
      <c r="O123" t="s">
        <v>29</v>
      </c>
      <c r="P123" t="s">
        <v>552</v>
      </c>
      <c r="Q123" s="3" t="s">
        <v>553</v>
      </c>
    </row>
    <row r="124" spans="1:17" ht="15.6" x14ac:dyDescent="0.3">
      <c r="A124" s="2">
        <v>46192</v>
      </c>
      <c r="B124">
        <v>380</v>
      </c>
      <c r="C124" t="s">
        <v>554</v>
      </c>
      <c r="D124" s="2">
        <v>46192</v>
      </c>
      <c r="E124" s="2">
        <v>46231</v>
      </c>
      <c r="F124" t="s">
        <v>23</v>
      </c>
      <c r="G124" t="s">
        <v>24</v>
      </c>
      <c r="H124" t="s">
        <v>555</v>
      </c>
      <c r="I124" t="s">
        <v>26</v>
      </c>
      <c r="J124" t="s">
        <v>556</v>
      </c>
      <c r="K124" t="s">
        <v>207</v>
      </c>
      <c r="L124" t="s">
        <v>29</v>
      </c>
      <c r="M124" t="s">
        <v>49</v>
      </c>
      <c r="N124" t="s">
        <v>31</v>
      </c>
      <c r="O124" t="s">
        <v>31</v>
      </c>
      <c r="P124" t="s">
        <v>557</v>
      </c>
      <c r="Q124" s="3" t="s">
        <v>558</v>
      </c>
    </row>
    <row r="125" spans="1:17" ht="15.6" x14ac:dyDescent="0.3">
      <c r="A125" s="2">
        <v>46192</v>
      </c>
      <c r="B125">
        <v>379</v>
      </c>
      <c r="C125" t="s">
        <v>559</v>
      </c>
      <c r="D125" s="2">
        <v>46192</v>
      </c>
      <c r="E125" s="2">
        <v>46233</v>
      </c>
      <c r="F125" t="s">
        <v>560</v>
      </c>
      <c r="G125" t="s">
        <v>24</v>
      </c>
      <c r="H125" t="s">
        <v>561</v>
      </c>
      <c r="I125" t="s">
        <v>26</v>
      </c>
      <c r="J125" t="s">
        <v>474</v>
      </c>
      <c r="K125" t="s">
        <v>184</v>
      </c>
      <c r="L125" t="s">
        <v>29</v>
      </c>
      <c r="M125" t="s">
        <v>521</v>
      </c>
      <c r="N125" t="s">
        <v>31</v>
      </c>
      <c r="O125" t="s">
        <v>31</v>
      </c>
      <c r="P125" t="s">
        <v>562</v>
      </c>
      <c r="Q125" s="3" t="s">
        <v>563</v>
      </c>
    </row>
    <row r="126" spans="1:17" ht="15.6" x14ac:dyDescent="0.3">
      <c r="A126" s="2">
        <v>46192</v>
      </c>
      <c r="B126">
        <v>378</v>
      </c>
      <c r="C126" t="s">
        <v>564</v>
      </c>
      <c r="D126" s="2">
        <v>46192</v>
      </c>
      <c r="E126" s="2">
        <v>46231</v>
      </c>
      <c r="F126" t="s">
        <v>560</v>
      </c>
      <c r="G126" t="s">
        <v>24</v>
      </c>
      <c r="H126" t="s">
        <v>565</v>
      </c>
      <c r="I126" t="s">
        <v>26</v>
      </c>
      <c r="J126" t="s">
        <v>474</v>
      </c>
      <c r="K126" t="s">
        <v>184</v>
      </c>
      <c r="L126" t="s">
        <v>29</v>
      </c>
      <c r="M126" t="s">
        <v>521</v>
      </c>
      <c r="N126" t="s">
        <v>31</v>
      </c>
      <c r="O126" t="s">
        <v>31</v>
      </c>
      <c r="P126" t="s">
        <v>566</v>
      </c>
      <c r="Q126" s="3" t="s">
        <v>567</v>
      </c>
    </row>
    <row r="127" spans="1:17" ht="15.6" x14ac:dyDescent="0.3">
      <c r="A127" s="2">
        <v>46192</v>
      </c>
      <c r="B127">
        <v>377</v>
      </c>
      <c r="C127" t="s">
        <v>568</v>
      </c>
      <c r="D127" s="2">
        <v>46192</v>
      </c>
      <c r="E127" s="2">
        <v>46227</v>
      </c>
      <c r="F127" t="s">
        <v>560</v>
      </c>
      <c r="G127" t="s">
        <v>24</v>
      </c>
      <c r="H127" t="s">
        <v>569</v>
      </c>
      <c r="I127" t="s">
        <v>26</v>
      </c>
      <c r="J127" t="s">
        <v>474</v>
      </c>
      <c r="K127" t="s">
        <v>184</v>
      </c>
      <c r="L127" t="s">
        <v>29</v>
      </c>
      <c r="M127" t="s">
        <v>521</v>
      </c>
      <c r="N127" t="s">
        <v>31</v>
      </c>
      <c r="O127" t="s">
        <v>29</v>
      </c>
      <c r="P127" t="s">
        <v>570</v>
      </c>
      <c r="Q127" s="3" t="s">
        <v>571</v>
      </c>
    </row>
    <row r="128" spans="1:17" ht="15.6" x14ac:dyDescent="0.3">
      <c r="A128" s="2">
        <v>46192</v>
      </c>
      <c r="B128">
        <v>376</v>
      </c>
      <c r="C128" t="s">
        <v>572</v>
      </c>
      <c r="D128" s="2">
        <v>46192</v>
      </c>
      <c r="E128" s="2">
        <v>46227</v>
      </c>
      <c r="F128" t="s">
        <v>123</v>
      </c>
      <c r="G128" t="s">
        <v>24</v>
      </c>
      <c r="H128" t="s">
        <v>573</v>
      </c>
      <c r="I128" t="s">
        <v>26</v>
      </c>
      <c r="J128" t="s">
        <v>547</v>
      </c>
      <c r="K128" t="s">
        <v>42</v>
      </c>
      <c r="L128" t="s">
        <v>29</v>
      </c>
      <c r="M128" t="s">
        <v>63</v>
      </c>
      <c r="N128" t="s">
        <v>31</v>
      </c>
      <c r="O128" t="s">
        <v>31</v>
      </c>
      <c r="P128" t="s">
        <v>548</v>
      </c>
      <c r="Q128" s="3" t="s">
        <v>574</v>
      </c>
    </row>
    <row r="129" spans="1:17" ht="15.6" x14ac:dyDescent="0.3">
      <c r="A129" s="2">
        <v>46192</v>
      </c>
      <c r="B129">
        <v>375</v>
      </c>
      <c r="C129" t="s">
        <v>575</v>
      </c>
      <c r="D129" s="2">
        <v>46192</v>
      </c>
      <c r="E129" s="2">
        <v>46233</v>
      </c>
      <c r="F129" t="s">
        <v>123</v>
      </c>
      <c r="G129" t="s">
        <v>24</v>
      </c>
      <c r="H129" t="s">
        <v>576</v>
      </c>
      <c r="I129" t="s">
        <v>26</v>
      </c>
      <c r="J129" t="s">
        <v>577</v>
      </c>
      <c r="K129" t="s">
        <v>28</v>
      </c>
      <c r="L129" t="s">
        <v>29</v>
      </c>
      <c r="M129" t="s">
        <v>310</v>
      </c>
      <c r="N129" t="s">
        <v>31</v>
      </c>
      <c r="O129" t="s">
        <v>31</v>
      </c>
      <c r="P129" t="s">
        <v>578</v>
      </c>
      <c r="Q129" s="3" t="s">
        <v>579</v>
      </c>
    </row>
    <row r="130" spans="1:17" ht="15.6" x14ac:dyDescent="0.3">
      <c r="A130" s="2">
        <v>46192</v>
      </c>
      <c r="B130">
        <v>374</v>
      </c>
      <c r="C130" t="s">
        <v>580</v>
      </c>
      <c r="D130" s="2">
        <v>46192</v>
      </c>
      <c r="E130" s="2">
        <v>46231</v>
      </c>
      <c r="F130" t="s">
        <v>181</v>
      </c>
      <c r="G130" t="s">
        <v>24</v>
      </c>
      <c r="H130" t="s">
        <v>581</v>
      </c>
      <c r="I130" t="s">
        <v>26</v>
      </c>
      <c r="J130" t="s">
        <v>199</v>
      </c>
      <c r="K130" t="s">
        <v>48</v>
      </c>
      <c r="L130" t="s">
        <v>29</v>
      </c>
      <c r="M130" t="s">
        <v>171</v>
      </c>
      <c r="N130" t="s">
        <v>29</v>
      </c>
      <c r="O130" t="s">
        <v>29</v>
      </c>
      <c r="P130" t="s">
        <v>64</v>
      </c>
      <c r="Q130" s="3" t="s">
        <v>582</v>
      </c>
    </row>
    <row r="131" spans="1:17" ht="15.6" x14ac:dyDescent="0.3">
      <c r="A131" s="2">
        <v>46192</v>
      </c>
      <c r="B131">
        <v>373</v>
      </c>
      <c r="C131" t="s">
        <v>583</v>
      </c>
      <c r="D131" s="2">
        <v>46192</v>
      </c>
      <c r="E131" s="2">
        <v>46226</v>
      </c>
      <c r="F131" t="s">
        <v>123</v>
      </c>
      <c r="G131" t="s">
        <v>24</v>
      </c>
      <c r="H131" t="s">
        <v>584</v>
      </c>
      <c r="I131" t="s">
        <v>26</v>
      </c>
      <c r="J131" t="s">
        <v>170</v>
      </c>
      <c r="K131" t="s">
        <v>42</v>
      </c>
      <c r="L131" t="s">
        <v>29</v>
      </c>
      <c r="M131" t="s">
        <v>171</v>
      </c>
      <c r="N131" t="s">
        <v>31</v>
      </c>
      <c r="O131" t="s">
        <v>29</v>
      </c>
      <c r="P131" t="s">
        <v>172</v>
      </c>
      <c r="Q131" s="3" t="s">
        <v>585</v>
      </c>
    </row>
    <row r="132" spans="1:17" ht="15.6" x14ac:dyDescent="0.3">
      <c r="A132" s="2">
        <v>46192</v>
      </c>
      <c r="B132">
        <v>372</v>
      </c>
      <c r="C132" t="s">
        <v>586</v>
      </c>
      <c r="D132" s="2">
        <v>46192</v>
      </c>
      <c r="E132" s="2">
        <v>46226</v>
      </c>
      <c r="F132" t="s">
        <v>23</v>
      </c>
      <c r="G132" t="s">
        <v>24</v>
      </c>
      <c r="H132" t="s">
        <v>587</v>
      </c>
      <c r="I132" t="s">
        <v>26</v>
      </c>
      <c r="J132" t="s">
        <v>383</v>
      </c>
      <c r="K132" t="s">
        <v>150</v>
      </c>
      <c r="L132" t="s">
        <v>29</v>
      </c>
      <c r="M132" t="s">
        <v>451</v>
      </c>
      <c r="N132" t="s">
        <v>29</v>
      </c>
      <c r="O132" t="s">
        <v>29</v>
      </c>
      <c r="P132" t="s">
        <v>64</v>
      </c>
      <c r="Q132" s="3" t="s">
        <v>588</v>
      </c>
    </row>
    <row r="133" spans="1:17" ht="15.6" x14ac:dyDescent="0.3">
      <c r="A133" s="2">
        <v>46192</v>
      </c>
      <c r="B133">
        <v>371</v>
      </c>
      <c r="C133" t="s">
        <v>589</v>
      </c>
      <c r="D133" s="2">
        <v>46192</v>
      </c>
      <c r="E133" s="2">
        <v>46226</v>
      </c>
      <c r="F133" t="s">
        <v>181</v>
      </c>
      <c r="G133" t="s">
        <v>147</v>
      </c>
      <c r="H133" t="s">
        <v>590</v>
      </c>
      <c r="I133" t="s">
        <v>26</v>
      </c>
      <c r="J133" t="s">
        <v>511</v>
      </c>
      <c r="K133" t="s">
        <v>42</v>
      </c>
      <c r="L133" t="s">
        <v>29</v>
      </c>
      <c r="M133" t="s">
        <v>171</v>
      </c>
      <c r="N133" t="s">
        <v>31</v>
      </c>
      <c r="O133" t="s">
        <v>29</v>
      </c>
      <c r="P133" t="s">
        <v>591</v>
      </c>
      <c r="Q133" s="3" t="s">
        <v>592</v>
      </c>
    </row>
    <row r="134" spans="1:17" ht="15.6" x14ac:dyDescent="0.3">
      <c r="A134" s="2">
        <v>46192</v>
      </c>
      <c r="B134">
        <v>370</v>
      </c>
      <c r="C134" t="s">
        <v>593</v>
      </c>
      <c r="D134" s="2">
        <v>46192</v>
      </c>
      <c r="E134" s="2">
        <v>46226</v>
      </c>
      <c r="F134" t="s">
        <v>23</v>
      </c>
      <c r="G134" t="s">
        <v>24</v>
      </c>
      <c r="H134" t="s">
        <v>594</v>
      </c>
      <c r="I134" t="s">
        <v>26</v>
      </c>
      <c r="J134" t="s">
        <v>595</v>
      </c>
      <c r="K134" t="s">
        <v>207</v>
      </c>
      <c r="L134" t="s">
        <v>29</v>
      </c>
      <c r="M134" t="s">
        <v>134</v>
      </c>
      <c r="N134" t="s">
        <v>31</v>
      </c>
      <c r="O134" t="s">
        <v>31</v>
      </c>
      <c r="P134" t="s">
        <v>596</v>
      </c>
      <c r="Q134" s="3" t="s">
        <v>597</v>
      </c>
    </row>
    <row r="135" spans="1:17" ht="15.6" x14ac:dyDescent="0.3">
      <c r="A135" s="2">
        <v>46192</v>
      </c>
      <c r="B135">
        <v>369</v>
      </c>
      <c r="C135" t="s">
        <v>598</v>
      </c>
      <c r="D135" s="2">
        <v>46192</v>
      </c>
      <c r="E135" s="2">
        <v>46226</v>
      </c>
      <c r="F135" t="s">
        <v>23</v>
      </c>
      <c r="G135" t="s">
        <v>24</v>
      </c>
      <c r="H135" t="s">
        <v>599</v>
      </c>
      <c r="I135" t="s">
        <v>26</v>
      </c>
      <c r="J135" t="s">
        <v>595</v>
      </c>
      <c r="K135" t="s">
        <v>207</v>
      </c>
      <c r="L135" t="s">
        <v>29</v>
      </c>
      <c r="M135" t="s">
        <v>600</v>
      </c>
      <c r="N135" t="s">
        <v>31</v>
      </c>
      <c r="O135" t="s">
        <v>31</v>
      </c>
      <c r="P135" t="s">
        <v>601</v>
      </c>
      <c r="Q135" s="3" t="s">
        <v>602</v>
      </c>
    </row>
    <row r="136" spans="1:17" ht="15.6" x14ac:dyDescent="0.3">
      <c r="A136" s="2">
        <v>46192</v>
      </c>
      <c r="B136">
        <v>368</v>
      </c>
      <c r="C136" t="s">
        <v>603</v>
      </c>
      <c r="D136" s="2">
        <v>46192</v>
      </c>
      <c r="E136" s="2">
        <v>46226</v>
      </c>
      <c r="F136" t="s">
        <v>23</v>
      </c>
      <c r="G136" t="s">
        <v>24</v>
      </c>
      <c r="H136" t="s">
        <v>604</v>
      </c>
      <c r="I136" t="s">
        <v>26</v>
      </c>
      <c r="J136" t="s">
        <v>595</v>
      </c>
      <c r="K136" t="s">
        <v>207</v>
      </c>
      <c r="L136" t="s">
        <v>29</v>
      </c>
      <c r="M136" t="s">
        <v>254</v>
      </c>
      <c r="N136" t="s">
        <v>31</v>
      </c>
      <c r="O136" t="s">
        <v>31</v>
      </c>
      <c r="P136" t="s">
        <v>605</v>
      </c>
      <c r="Q136" s="3" t="s">
        <v>606</v>
      </c>
    </row>
    <row r="137" spans="1:17" ht="15.6" x14ac:dyDescent="0.3">
      <c r="A137" s="2">
        <v>46192</v>
      </c>
      <c r="B137">
        <v>367</v>
      </c>
      <c r="C137" t="s">
        <v>607</v>
      </c>
      <c r="D137" s="2">
        <v>46192</v>
      </c>
      <c r="E137" s="2">
        <v>46225</v>
      </c>
      <c r="F137" t="s">
        <v>560</v>
      </c>
      <c r="G137" t="s">
        <v>24</v>
      </c>
      <c r="H137" t="s">
        <v>608</v>
      </c>
      <c r="I137" t="s">
        <v>26</v>
      </c>
      <c r="J137" t="s">
        <v>474</v>
      </c>
      <c r="K137" t="s">
        <v>184</v>
      </c>
      <c r="L137" t="s">
        <v>29</v>
      </c>
      <c r="M137" t="s">
        <v>521</v>
      </c>
      <c r="N137" t="s">
        <v>31</v>
      </c>
      <c r="O137" t="s">
        <v>29</v>
      </c>
      <c r="P137" t="s">
        <v>570</v>
      </c>
      <c r="Q137" s="3" t="s">
        <v>609</v>
      </c>
    </row>
    <row r="138" spans="1:17" ht="15.6" x14ac:dyDescent="0.3">
      <c r="A138" s="2">
        <v>46192</v>
      </c>
      <c r="B138">
        <v>366</v>
      </c>
      <c r="C138" t="s">
        <v>610</v>
      </c>
      <c r="D138" s="2">
        <v>46192</v>
      </c>
      <c r="E138" s="2">
        <v>46224</v>
      </c>
      <c r="F138" t="s">
        <v>23</v>
      </c>
      <c r="G138" t="s">
        <v>611</v>
      </c>
      <c r="H138" t="s">
        <v>612</v>
      </c>
      <c r="I138" t="s">
        <v>26</v>
      </c>
      <c r="J138" t="s">
        <v>613</v>
      </c>
      <c r="K138" t="s">
        <v>48</v>
      </c>
      <c r="L138" t="s">
        <v>29</v>
      </c>
      <c r="M138" t="s">
        <v>507</v>
      </c>
      <c r="N138" t="s">
        <v>31</v>
      </c>
      <c r="O138" t="s">
        <v>31</v>
      </c>
      <c r="P138" t="s">
        <v>614</v>
      </c>
      <c r="Q138" s="3" t="s">
        <v>615</v>
      </c>
    </row>
    <row r="139" spans="1:17" ht="15.6" x14ac:dyDescent="0.3">
      <c r="A139" s="2">
        <v>46192</v>
      </c>
      <c r="B139">
        <v>365</v>
      </c>
      <c r="C139" t="s">
        <v>616</v>
      </c>
      <c r="D139" s="2">
        <v>46192</v>
      </c>
      <c r="E139" s="2">
        <v>46224</v>
      </c>
      <c r="F139" t="s">
        <v>123</v>
      </c>
      <c r="G139" t="s">
        <v>24</v>
      </c>
      <c r="H139" t="s">
        <v>617</v>
      </c>
      <c r="I139" t="s">
        <v>26</v>
      </c>
      <c r="J139" t="s">
        <v>618</v>
      </c>
      <c r="K139" t="s">
        <v>42</v>
      </c>
      <c r="L139" t="s">
        <v>29</v>
      </c>
      <c r="M139" t="s">
        <v>619</v>
      </c>
      <c r="N139" t="s">
        <v>31</v>
      </c>
      <c r="O139" t="s">
        <v>31</v>
      </c>
      <c r="P139" t="s">
        <v>620</v>
      </c>
      <c r="Q139" s="3" t="s">
        <v>621</v>
      </c>
    </row>
    <row r="140" spans="1:17" ht="15.6" x14ac:dyDescent="0.3">
      <c r="A140" s="2">
        <v>46192</v>
      </c>
      <c r="B140">
        <v>364</v>
      </c>
      <c r="C140" t="s">
        <v>622</v>
      </c>
      <c r="D140" s="2">
        <v>46192</v>
      </c>
      <c r="E140" s="2">
        <v>46224</v>
      </c>
      <c r="F140" t="s">
        <v>123</v>
      </c>
      <c r="G140" t="s">
        <v>24</v>
      </c>
      <c r="H140" t="s">
        <v>623</v>
      </c>
      <c r="I140" t="s">
        <v>26</v>
      </c>
      <c r="J140" t="s">
        <v>624</v>
      </c>
      <c r="K140" t="s">
        <v>42</v>
      </c>
      <c r="L140" t="s">
        <v>29</v>
      </c>
      <c r="M140" t="s">
        <v>238</v>
      </c>
      <c r="N140" t="s">
        <v>31</v>
      </c>
      <c r="O140" t="s">
        <v>31</v>
      </c>
      <c r="P140" t="s">
        <v>625</v>
      </c>
      <c r="Q140" s="3" t="s">
        <v>626</v>
      </c>
    </row>
    <row r="141" spans="1:17" ht="15.6" x14ac:dyDescent="0.3">
      <c r="A141" s="2">
        <v>46192</v>
      </c>
      <c r="B141">
        <v>363</v>
      </c>
      <c r="C141" t="s">
        <v>627</v>
      </c>
      <c r="D141" s="2">
        <v>46192</v>
      </c>
      <c r="E141" s="2">
        <v>46224</v>
      </c>
      <c r="F141" t="s">
        <v>123</v>
      </c>
      <c r="G141" t="s">
        <v>24</v>
      </c>
      <c r="H141" t="s">
        <v>628</v>
      </c>
      <c r="I141" t="s">
        <v>26</v>
      </c>
      <c r="J141" t="s">
        <v>629</v>
      </c>
      <c r="K141" t="s">
        <v>62</v>
      </c>
      <c r="L141" t="s">
        <v>29</v>
      </c>
      <c r="M141" t="s">
        <v>120</v>
      </c>
      <c r="N141" t="s">
        <v>29</v>
      </c>
      <c r="O141" t="s">
        <v>29</v>
      </c>
      <c r="P141" t="s">
        <v>64</v>
      </c>
      <c r="Q141" s="3" t="s">
        <v>630</v>
      </c>
    </row>
    <row r="142" spans="1:17" ht="15.6" x14ac:dyDescent="0.3">
      <c r="A142" s="2">
        <v>46192</v>
      </c>
      <c r="B142">
        <v>362</v>
      </c>
      <c r="C142" t="s">
        <v>631</v>
      </c>
      <c r="D142" s="2">
        <v>46192</v>
      </c>
      <c r="E142" s="2">
        <v>46224</v>
      </c>
      <c r="F142" t="s">
        <v>123</v>
      </c>
      <c r="G142" t="s">
        <v>24</v>
      </c>
      <c r="H142" t="s">
        <v>632</v>
      </c>
      <c r="I142" t="s">
        <v>26</v>
      </c>
      <c r="J142" t="s">
        <v>629</v>
      </c>
      <c r="K142" t="s">
        <v>62</v>
      </c>
      <c r="L142" t="s">
        <v>29</v>
      </c>
      <c r="M142" t="s">
        <v>120</v>
      </c>
      <c r="N142" t="s">
        <v>29</v>
      </c>
      <c r="O142" t="s">
        <v>29</v>
      </c>
      <c r="P142" t="s">
        <v>64</v>
      </c>
      <c r="Q142" s="3" t="s">
        <v>633</v>
      </c>
    </row>
    <row r="143" spans="1:17" ht="15.6" x14ac:dyDescent="0.3">
      <c r="A143" s="2">
        <v>46192</v>
      </c>
      <c r="B143">
        <v>361</v>
      </c>
      <c r="C143" t="s">
        <v>634</v>
      </c>
      <c r="D143" s="2">
        <v>46192</v>
      </c>
      <c r="E143" s="2">
        <v>46224</v>
      </c>
      <c r="F143" t="s">
        <v>123</v>
      </c>
      <c r="G143" t="s">
        <v>24</v>
      </c>
      <c r="H143" t="s">
        <v>635</v>
      </c>
      <c r="I143" t="s">
        <v>26</v>
      </c>
      <c r="J143" t="s">
        <v>629</v>
      </c>
      <c r="K143" t="s">
        <v>62</v>
      </c>
      <c r="L143" t="s">
        <v>29</v>
      </c>
      <c r="M143" t="s">
        <v>120</v>
      </c>
      <c r="N143" t="s">
        <v>29</v>
      </c>
      <c r="O143" t="s">
        <v>29</v>
      </c>
      <c r="P143" t="s">
        <v>64</v>
      </c>
      <c r="Q143" s="3" t="s">
        <v>636</v>
      </c>
    </row>
    <row r="144" spans="1:17" ht="15.6" x14ac:dyDescent="0.3">
      <c r="A144" s="2">
        <v>46192</v>
      </c>
      <c r="B144">
        <v>360</v>
      </c>
      <c r="C144" t="s">
        <v>637</v>
      </c>
      <c r="D144" s="2">
        <v>46192</v>
      </c>
      <c r="E144" s="2">
        <v>46224</v>
      </c>
      <c r="F144" t="s">
        <v>123</v>
      </c>
      <c r="G144" t="s">
        <v>24</v>
      </c>
      <c r="H144" t="s">
        <v>638</v>
      </c>
      <c r="I144" t="s">
        <v>26</v>
      </c>
      <c r="J144" t="s">
        <v>629</v>
      </c>
      <c r="K144" t="s">
        <v>62</v>
      </c>
      <c r="L144" t="s">
        <v>29</v>
      </c>
      <c r="M144" t="s">
        <v>120</v>
      </c>
      <c r="N144" t="s">
        <v>29</v>
      </c>
      <c r="O144" t="s">
        <v>29</v>
      </c>
      <c r="P144" t="s">
        <v>64</v>
      </c>
      <c r="Q144" s="3" t="s">
        <v>639</v>
      </c>
    </row>
    <row r="145" spans="1:17" ht="15.6" x14ac:dyDescent="0.3">
      <c r="A145" s="2">
        <v>46192</v>
      </c>
      <c r="B145">
        <v>359</v>
      </c>
      <c r="C145" t="s">
        <v>640</v>
      </c>
      <c r="D145" s="2">
        <v>46192</v>
      </c>
      <c r="E145" s="2">
        <v>46224</v>
      </c>
      <c r="F145" t="s">
        <v>123</v>
      </c>
      <c r="G145" t="s">
        <v>24</v>
      </c>
      <c r="H145" t="s">
        <v>641</v>
      </c>
      <c r="I145" t="s">
        <v>26</v>
      </c>
      <c r="J145" t="s">
        <v>629</v>
      </c>
      <c r="K145" t="s">
        <v>62</v>
      </c>
      <c r="L145" t="s">
        <v>29</v>
      </c>
      <c r="M145" t="s">
        <v>120</v>
      </c>
      <c r="N145" t="s">
        <v>29</v>
      </c>
      <c r="O145" t="s">
        <v>29</v>
      </c>
      <c r="P145" t="s">
        <v>64</v>
      </c>
      <c r="Q145" s="3" t="s">
        <v>642</v>
      </c>
    </row>
    <row r="146" spans="1:17" ht="15.6" x14ac:dyDescent="0.3">
      <c r="A146" s="2">
        <v>46192</v>
      </c>
      <c r="B146">
        <v>358</v>
      </c>
      <c r="C146" t="s">
        <v>643</v>
      </c>
      <c r="D146" s="2">
        <v>46192</v>
      </c>
      <c r="E146" s="2">
        <v>46224</v>
      </c>
      <c r="F146" t="s">
        <v>123</v>
      </c>
      <c r="G146" t="s">
        <v>611</v>
      </c>
      <c r="H146" t="s">
        <v>644</v>
      </c>
      <c r="I146" t="s">
        <v>26</v>
      </c>
      <c r="J146" t="s">
        <v>629</v>
      </c>
      <c r="K146" t="s">
        <v>62</v>
      </c>
      <c r="L146" t="s">
        <v>29</v>
      </c>
      <c r="M146" t="s">
        <v>120</v>
      </c>
      <c r="N146" t="s">
        <v>29</v>
      </c>
      <c r="O146" t="s">
        <v>29</v>
      </c>
      <c r="P146" t="s">
        <v>64</v>
      </c>
      <c r="Q146" s="3" t="s">
        <v>645</v>
      </c>
    </row>
    <row r="147" spans="1:17" ht="15.6" x14ac:dyDescent="0.3">
      <c r="A147" s="2">
        <v>46192</v>
      </c>
      <c r="B147">
        <v>357</v>
      </c>
      <c r="C147" t="s">
        <v>646</v>
      </c>
      <c r="D147" s="2">
        <v>46192</v>
      </c>
      <c r="E147" s="2">
        <v>46224</v>
      </c>
      <c r="F147" t="s">
        <v>123</v>
      </c>
      <c r="G147" t="s">
        <v>24</v>
      </c>
      <c r="H147" t="s">
        <v>647</v>
      </c>
      <c r="I147" t="s">
        <v>26</v>
      </c>
      <c r="J147" t="s">
        <v>629</v>
      </c>
      <c r="K147" t="s">
        <v>62</v>
      </c>
      <c r="L147" t="s">
        <v>29</v>
      </c>
      <c r="M147" t="s">
        <v>120</v>
      </c>
      <c r="N147" t="s">
        <v>29</v>
      </c>
      <c r="O147" t="s">
        <v>29</v>
      </c>
      <c r="P147" t="s">
        <v>64</v>
      </c>
      <c r="Q147" s="3" t="s">
        <v>648</v>
      </c>
    </row>
    <row r="148" spans="1:17" ht="15.6" x14ac:dyDescent="0.3">
      <c r="A148" s="2">
        <v>46192</v>
      </c>
      <c r="B148">
        <v>356</v>
      </c>
      <c r="C148" t="s">
        <v>649</v>
      </c>
      <c r="D148" s="2">
        <v>46192</v>
      </c>
      <c r="E148" s="2">
        <v>46224</v>
      </c>
      <c r="F148" t="s">
        <v>123</v>
      </c>
      <c r="G148" t="s">
        <v>24</v>
      </c>
      <c r="H148" t="s">
        <v>650</v>
      </c>
      <c r="I148" t="s">
        <v>26</v>
      </c>
      <c r="J148" t="s">
        <v>629</v>
      </c>
      <c r="K148" t="s">
        <v>62</v>
      </c>
      <c r="L148" t="s">
        <v>29</v>
      </c>
      <c r="M148" t="s">
        <v>120</v>
      </c>
      <c r="N148" t="s">
        <v>31</v>
      </c>
      <c r="O148" t="s">
        <v>31</v>
      </c>
      <c r="P148" t="s">
        <v>651</v>
      </c>
      <c r="Q148" s="3" t="s">
        <v>652</v>
      </c>
    </row>
    <row r="149" spans="1:17" ht="15.6" x14ac:dyDescent="0.3">
      <c r="A149" s="2">
        <v>46192</v>
      </c>
      <c r="B149">
        <v>355</v>
      </c>
      <c r="C149" t="s">
        <v>653</v>
      </c>
      <c r="D149" s="2">
        <v>46192</v>
      </c>
      <c r="E149" s="2">
        <v>46224</v>
      </c>
      <c r="F149" t="s">
        <v>123</v>
      </c>
      <c r="G149" t="s">
        <v>24</v>
      </c>
      <c r="H149" t="s">
        <v>654</v>
      </c>
      <c r="I149" t="s">
        <v>26</v>
      </c>
      <c r="J149" t="s">
        <v>629</v>
      </c>
      <c r="K149" t="s">
        <v>62</v>
      </c>
      <c r="L149" t="s">
        <v>29</v>
      </c>
      <c r="M149" t="s">
        <v>120</v>
      </c>
      <c r="N149" t="s">
        <v>31</v>
      </c>
      <c r="O149" t="s">
        <v>31</v>
      </c>
      <c r="P149" t="s">
        <v>651</v>
      </c>
      <c r="Q149" s="3" t="s">
        <v>655</v>
      </c>
    </row>
    <row r="150" spans="1:17" ht="15.6" x14ac:dyDescent="0.3">
      <c r="A150" s="2">
        <v>46192</v>
      </c>
      <c r="B150">
        <v>354</v>
      </c>
      <c r="C150" t="s">
        <v>656</v>
      </c>
      <c r="D150" s="2">
        <v>46192</v>
      </c>
      <c r="E150" s="2">
        <v>46224</v>
      </c>
      <c r="F150" t="s">
        <v>181</v>
      </c>
      <c r="G150" t="s">
        <v>24</v>
      </c>
      <c r="H150" t="s">
        <v>657</v>
      </c>
      <c r="I150" t="s">
        <v>26</v>
      </c>
      <c r="J150" t="s">
        <v>199</v>
      </c>
      <c r="K150" t="s">
        <v>184</v>
      </c>
      <c r="L150" t="s">
        <v>29</v>
      </c>
      <c r="M150" t="s">
        <v>658</v>
      </c>
      <c r="N150" t="s">
        <v>31</v>
      </c>
      <c r="O150" t="s">
        <v>29</v>
      </c>
      <c r="P150" t="s">
        <v>659</v>
      </c>
      <c r="Q150" s="3" t="s">
        <v>660</v>
      </c>
    </row>
    <row r="151" spans="1:17" ht="15.6" x14ac:dyDescent="0.3">
      <c r="A151" s="2">
        <v>46192</v>
      </c>
      <c r="B151">
        <v>353</v>
      </c>
      <c r="C151" t="s">
        <v>661</v>
      </c>
      <c r="D151" s="2">
        <v>46192</v>
      </c>
      <c r="E151" s="2">
        <v>46223</v>
      </c>
      <c r="F151" t="s">
        <v>181</v>
      </c>
      <c r="G151" t="s">
        <v>24</v>
      </c>
      <c r="H151" t="s">
        <v>662</v>
      </c>
      <c r="I151" t="s">
        <v>26</v>
      </c>
      <c r="J151" t="s">
        <v>511</v>
      </c>
      <c r="K151" t="s">
        <v>42</v>
      </c>
      <c r="L151" t="s">
        <v>29</v>
      </c>
      <c r="M151" t="s">
        <v>663</v>
      </c>
      <c r="N151" t="s">
        <v>31</v>
      </c>
      <c r="O151" t="s">
        <v>29</v>
      </c>
      <c r="P151" t="s">
        <v>664</v>
      </c>
      <c r="Q151" s="3" t="s">
        <v>665</v>
      </c>
    </row>
    <row r="152" spans="1:17" ht="15.6" x14ac:dyDescent="0.3">
      <c r="A152" s="2">
        <v>46192</v>
      </c>
      <c r="B152">
        <v>352</v>
      </c>
      <c r="C152" t="s">
        <v>666</v>
      </c>
      <c r="D152" s="2">
        <v>46192</v>
      </c>
      <c r="E152" s="2">
        <v>46223</v>
      </c>
      <c r="F152" t="s">
        <v>181</v>
      </c>
      <c r="G152" t="s">
        <v>24</v>
      </c>
      <c r="H152" t="s">
        <v>667</v>
      </c>
      <c r="I152" t="s">
        <v>26</v>
      </c>
      <c r="J152" t="s">
        <v>511</v>
      </c>
      <c r="K152" t="s">
        <v>42</v>
      </c>
      <c r="L152" t="s">
        <v>29</v>
      </c>
      <c r="M152" t="s">
        <v>663</v>
      </c>
      <c r="N152" t="s">
        <v>31</v>
      </c>
      <c r="O152" t="s">
        <v>29</v>
      </c>
      <c r="P152" t="s">
        <v>668</v>
      </c>
      <c r="Q152" s="3" t="s">
        <v>669</v>
      </c>
    </row>
    <row r="153" spans="1:17" ht="15.6" x14ac:dyDescent="0.3">
      <c r="A153" s="2">
        <v>46192</v>
      </c>
      <c r="B153">
        <v>351</v>
      </c>
      <c r="C153" t="s">
        <v>670</v>
      </c>
      <c r="D153" s="2">
        <v>46192</v>
      </c>
      <c r="E153" s="2">
        <v>46224</v>
      </c>
      <c r="F153" t="s">
        <v>181</v>
      </c>
      <c r="G153" t="s">
        <v>147</v>
      </c>
      <c r="H153" t="s">
        <v>671</v>
      </c>
      <c r="I153" t="s">
        <v>26</v>
      </c>
      <c r="J153" t="s">
        <v>511</v>
      </c>
      <c r="K153" t="s">
        <v>42</v>
      </c>
      <c r="L153" t="s">
        <v>29</v>
      </c>
      <c r="M153" t="s">
        <v>171</v>
      </c>
      <c r="N153" t="s">
        <v>31</v>
      </c>
      <c r="O153" t="s">
        <v>29</v>
      </c>
      <c r="P153" t="s">
        <v>672</v>
      </c>
      <c r="Q153" s="3" t="s">
        <v>673</v>
      </c>
    </row>
    <row r="154" spans="1:17" ht="15.6" x14ac:dyDescent="0.3">
      <c r="A154" s="2">
        <v>46192</v>
      </c>
      <c r="B154">
        <v>350</v>
      </c>
      <c r="C154" t="s">
        <v>674</v>
      </c>
      <c r="D154" s="2">
        <v>46192</v>
      </c>
      <c r="E154" s="2">
        <v>46223</v>
      </c>
      <c r="F154" t="s">
        <v>23</v>
      </c>
      <c r="G154" t="s">
        <v>147</v>
      </c>
      <c r="H154" t="s">
        <v>675</v>
      </c>
      <c r="I154" t="s">
        <v>26</v>
      </c>
      <c r="J154" t="s">
        <v>352</v>
      </c>
      <c r="K154" t="s">
        <v>184</v>
      </c>
      <c r="L154" t="s">
        <v>29</v>
      </c>
      <c r="M154" t="s">
        <v>190</v>
      </c>
      <c r="N154" t="s">
        <v>31</v>
      </c>
      <c r="O154" t="s">
        <v>29</v>
      </c>
      <c r="P154" t="s">
        <v>676</v>
      </c>
      <c r="Q154" s="3" t="s">
        <v>677</v>
      </c>
    </row>
    <row r="155" spans="1:17" ht="15.6" x14ac:dyDescent="0.3">
      <c r="A155" s="2">
        <v>46192</v>
      </c>
      <c r="B155">
        <v>349</v>
      </c>
      <c r="C155" t="s">
        <v>678</v>
      </c>
      <c r="D155" s="2">
        <v>46192</v>
      </c>
      <c r="E155" s="2">
        <v>46223</v>
      </c>
      <c r="F155" t="s">
        <v>181</v>
      </c>
      <c r="G155" t="s">
        <v>24</v>
      </c>
      <c r="H155" t="s">
        <v>679</v>
      </c>
      <c r="I155" t="s">
        <v>26</v>
      </c>
      <c r="J155" t="s">
        <v>199</v>
      </c>
      <c r="K155" t="s">
        <v>48</v>
      </c>
      <c r="L155" t="s">
        <v>29</v>
      </c>
      <c r="M155" t="s">
        <v>171</v>
      </c>
      <c r="N155" t="s">
        <v>29</v>
      </c>
      <c r="O155" t="s">
        <v>29</v>
      </c>
      <c r="P155" t="s">
        <v>64</v>
      </c>
      <c r="Q155" s="3" t="s">
        <v>680</v>
      </c>
    </row>
    <row r="156" spans="1:17" ht="15.6" x14ac:dyDescent="0.3">
      <c r="A156" s="2">
        <v>46192</v>
      </c>
      <c r="B156">
        <v>348</v>
      </c>
      <c r="C156" t="s">
        <v>681</v>
      </c>
      <c r="D156" s="2">
        <v>46192</v>
      </c>
      <c r="E156" s="2">
        <v>46223</v>
      </c>
      <c r="F156" t="s">
        <v>23</v>
      </c>
      <c r="G156" t="s">
        <v>24</v>
      </c>
      <c r="H156" t="s">
        <v>682</v>
      </c>
      <c r="I156" t="s">
        <v>26</v>
      </c>
      <c r="J156" t="s">
        <v>520</v>
      </c>
      <c r="K156" t="s">
        <v>28</v>
      </c>
      <c r="L156" t="s">
        <v>29</v>
      </c>
      <c r="M156" t="s">
        <v>683</v>
      </c>
      <c r="N156" t="s">
        <v>31</v>
      </c>
      <c r="O156" t="s">
        <v>31</v>
      </c>
      <c r="P156" t="s">
        <v>684</v>
      </c>
      <c r="Q156" s="3" t="s">
        <v>685</v>
      </c>
    </row>
    <row r="157" spans="1:17" ht="15.6" x14ac:dyDescent="0.3">
      <c r="A157" s="2">
        <v>46192</v>
      </c>
      <c r="B157">
        <v>347</v>
      </c>
      <c r="C157" t="s">
        <v>686</v>
      </c>
      <c r="D157" s="2">
        <v>46192</v>
      </c>
      <c r="E157" s="2">
        <v>46223</v>
      </c>
      <c r="F157" t="s">
        <v>23</v>
      </c>
      <c r="G157" t="s">
        <v>147</v>
      </c>
      <c r="H157" t="s">
        <v>687</v>
      </c>
      <c r="I157" t="s">
        <v>26</v>
      </c>
      <c r="J157" t="s">
        <v>688</v>
      </c>
      <c r="K157" t="s">
        <v>150</v>
      </c>
      <c r="L157" t="s">
        <v>29</v>
      </c>
      <c r="M157" t="s">
        <v>190</v>
      </c>
      <c r="N157" t="s">
        <v>29</v>
      </c>
      <c r="O157" t="s">
        <v>29</v>
      </c>
      <c r="P157" t="s">
        <v>64</v>
      </c>
      <c r="Q157" s="3" t="s">
        <v>689</v>
      </c>
    </row>
    <row r="158" spans="1:17" ht="15.6" x14ac:dyDescent="0.3">
      <c r="A158" s="2">
        <v>46192</v>
      </c>
      <c r="B158">
        <v>346</v>
      </c>
      <c r="C158" t="s">
        <v>690</v>
      </c>
      <c r="D158" s="2">
        <v>46192</v>
      </c>
      <c r="E158" s="2">
        <v>46223</v>
      </c>
      <c r="F158" t="s">
        <v>123</v>
      </c>
      <c r="G158" t="s">
        <v>24</v>
      </c>
      <c r="H158" t="s">
        <v>691</v>
      </c>
      <c r="I158" t="s">
        <v>26</v>
      </c>
      <c r="J158" t="s">
        <v>199</v>
      </c>
      <c r="K158" t="s">
        <v>184</v>
      </c>
      <c r="L158" t="s">
        <v>29</v>
      </c>
      <c r="M158" t="s">
        <v>254</v>
      </c>
      <c r="N158" t="s">
        <v>29</v>
      </c>
      <c r="O158" t="s">
        <v>29</v>
      </c>
      <c r="P158" t="s">
        <v>64</v>
      </c>
      <c r="Q158" s="3" t="s">
        <v>692</v>
      </c>
    </row>
    <row r="159" spans="1:17" ht="15.6" x14ac:dyDescent="0.3">
      <c r="A159" s="2">
        <v>46192</v>
      </c>
      <c r="B159">
        <v>345</v>
      </c>
      <c r="C159" t="s">
        <v>693</v>
      </c>
      <c r="D159" s="2">
        <v>46192</v>
      </c>
      <c r="E159" s="2">
        <v>46220</v>
      </c>
      <c r="F159" t="s">
        <v>23</v>
      </c>
      <c r="G159" t="s">
        <v>147</v>
      </c>
      <c r="H159" t="s">
        <v>694</v>
      </c>
      <c r="I159" t="s">
        <v>26</v>
      </c>
      <c r="J159" t="s">
        <v>695</v>
      </c>
      <c r="K159" t="s">
        <v>42</v>
      </c>
      <c r="L159" t="s">
        <v>29</v>
      </c>
      <c r="M159" t="s">
        <v>238</v>
      </c>
      <c r="N159" t="s">
        <v>31</v>
      </c>
      <c r="O159" t="s">
        <v>29</v>
      </c>
      <c r="P159" t="s">
        <v>696</v>
      </c>
      <c r="Q159" s="3" t="s">
        <v>697</v>
      </c>
    </row>
    <row r="160" spans="1:17" ht="15.6" x14ac:dyDescent="0.3">
      <c r="A160" s="2">
        <v>46192</v>
      </c>
      <c r="B160">
        <v>344</v>
      </c>
      <c r="C160" t="s">
        <v>698</v>
      </c>
      <c r="D160" s="2">
        <v>46192</v>
      </c>
      <c r="E160" s="2">
        <v>46223</v>
      </c>
      <c r="F160" t="s">
        <v>123</v>
      </c>
      <c r="G160" t="s">
        <v>24</v>
      </c>
      <c r="H160" t="s">
        <v>699</v>
      </c>
      <c r="I160" t="s">
        <v>26</v>
      </c>
      <c r="J160" t="s">
        <v>700</v>
      </c>
      <c r="K160" t="s">
        <v>28</v>
      </c>
      <c r="L160" t="s">
        <v>29</v>
      </c>
      <c r="M160" t="s">
        <v>30</v>
      </c>
      <c r="N160" t="s">
        <v>29</v>
      </c>
      <c r="O160" t="s">
        <v>29</v>
      </c>
      <c r="P160" t="s">
        <v>64</v>
      </c>
      <c r="Q160" s="3" t="s">
        <v>701</v>
      </c>
    </row>
    <row r="161" spans="1:17" ht="15.6" x14ac:dyDescent="0.3">
      <c r="A161" s="2">
        <v>46192</v>
      </c>
      <c r="B161">
        <v>343</v>
      </c>
      <c r="C161" t="s">
        <v>702</v>
      </c>
      <c r="D161" s="2">
        <v>46192</v>
      </c>
      <c r="E161" s="2">
        <v>46220</v>
      </c>
      <c r="F161" t="s">
        <v>23</v>
      </c>
      <c r="G161" t="s">
        <v>147</v>
      </c>
      <c r="H161" t="s">
        <v>703</v>
      </c>
      <c r="I161" t="s">
        <v>26</v>
      </c>
      <c r="J161" t="s">
        <v>695</v>
      </c>
      <c r="K161" t="s">
        <v>42</v>
      </c>
      <c r="L161" t="s">
        <v>29</v>
      </c>
      <c r="M161" t="s">
        <v>238</v>
      </c>
      <c r="N161" t="s">
        <v>31</v>
      </c>
      <c r="O161" t="s">
        <v>31</v>
      </c>
      <c r="P161" t="s">
        <v>696</v>
      </c>
      <c r="Q161" s="3" t="s">
        <v>704</v>
      </c>
    </row>
    <row r="162" spans="1:17" ht="15.6" x14ac:dyDescent="0.3">
      <c r="A162" s="2">
        <v>46192</v>
      </c>
      <c r="B162">
        <v>342</v>
      </c>
      <c r="C162" t="s">
        <v>705</v>
      </c>
      <c r="D162" s="2">
        <v>46192</v>
      </c>
      <c r="E162" s="2">
        <v>46220</v>
      </c>
      <c r="F162" t="s">
        <v>23</v>
      </c>
      <c r="G162" t="s">
        <v>147</v>
      </c>
      <c r="H162" t="s">
        <v>706</v>
      </c>
      <c r="I162" t="s">
        <v>26</v>
      </c>
      <c r="J162" t="s">
        <v>695</v>
      </c>
      <c r="K162" t="s">
        <v>42</v>
      </c>
      <c r="L162" t="s">
        <v>29</v>
      </c>
      <c r="M162" t="s">
        <v>238</v>
      </c>
      <c r="N162" t="s">
        <v>31</v>
      </c>
      <c r="O162" t="s">
        <v>29</v>
      </c>
      <c r="P162" t="s">
        <v>707</v>
      </c>
      <c r="Q162" s="3" t="s">
        <v>708</v>
      </c>
    </row>
    <row r="163" spans="1:17" ht="15.6" x14ac:dyDescent="0.3">
      <c r="A163" s="2">
        <v>46192</v>
      </c>
      <c r="B163">
        <v>341</v>
      </c>
      <c r="C163" t="s">
        <v>709</v>
      </c>
      <c r="D163" s="2">
        <v>46192</v>
      </c>
      <c r="E163" s="2">
        <v>46220</v>
      </c>
      <c r="F163" t="s">
        <v>23</v>
      </c>
      <c r="G163" t="s">
        <v>147</v>
      </c>
      <c r="H163" t="s">
        <v>710</v>
      </c>
      <c r="I163" t="s">
        <v>26</v>
      </c>
      <c r="J163" t="s">
        <v>695</v>
      </c>
      <c r="K163" t="s">
        <v>42</v>
      </c>
      <c r="L163" t="s">
        <v>29</v>
      </c>
      <c r="M163" t="s">
        <v>238</v>
      </c>
      <c r="N163" t="s">
        <v>31</v>
      </c>
      <c r="O163" t="s">
        <v>29</v>
      </c>
      <c r="P163" t="s">
        <v>696</v>
      </c>
      <c r="Q163" s="3" t="s">
        <v>711</v>
      </c>
    </row>
    <row r="164" spans="1:17" ht="15.6" x14ac:dyDescent="0.3">
      <c r="A164" s="2">
        <v>46192</v>
      </c>
      <c r="B164">
        <v>340</v>
      </c>
      <c r="C164" t="s">
        <v>712</v>
      </c>
      <c r="D164" s="2">
        <v>46192</v>
      </c>
      <c r="E164" s="2">
        <v>46220</v>
      </c>
      <c r="F164" t="s">
        <v>23</v>
      </c>
      <c r="G164" t="s">
        <v>147</v>
      </c>
      <c r="H164" t="s">
        <v>713</v>
      </c>
      <c r="I164" t="s">
        <v>26</v>
      </c>
      <c r="J164" t="s">
        <v>695</v>
      </c>
      <c r="K164" t="s">
        <v>42</v>
      </c>
      <c r="L164" t="s">
        <v>29</v>
      </c>
      <c r="M164" t="s">
        <v>238</v>
      </c>
      <c r="N164" t="s">
        <v>31</v>
      </c>
      <c r="O164" t="s">
        <v>29</v>
      </c>
      <c r="P164" t="s">
        <v>707</v>
      </c>
      <c r="Q164" s="3" t="s">
        <v>714</v>
      </c>
    </row>
    <row r="165" spans="1:17" ht="15.6" x14ac:dyDescent="0.3">
      <c r="A165" s="2">
        <v>46192</v>
      </c>
      <c r="B165">
        <v>339</v>
      </c>
      <c r="C165" t="s">
        <v>715</v>
      </c>
      <c r="D165" s="2">
        <v>46192</v>
      </c>
      <c r="E165" s="2">
        <v>46220</v>
      </c>
      <c r="F165" t="s">
        <v>23</v>
      </c>
      <c r="G165" t="s">
        <v>147</v>
      </c>
      <c r="H165" t="s">
        <v>716</v>
      </c>
      <c r="I165" t="s">
        <v>26</v>
      </c>
      <c r="J165" t="s">
        <v>695</v>
      </c>
      <c r="K165" t="s">
        <v>42</v>
      </c>
      <c r="L165" t="s">
        <v>29</v>
      </c>
      <c r="M165" t="s">
        <v>238</v>
      </c>
      <c r="N165" t="s">
        <v>31</v>
      </c>
      <c r="O165" t="s">
        <v>29</v>
      </c>
      <c r="P165" t="s">
        <v>696</v>
      </c>
      <c r="Q165" s="3" t="s">
        <v>717</v>
      </c>
    </row>
    <row r="166" spans="1:17" ht="15.6" x14ac:dyDescent="0.3">
      <c r="A166" s="2">
        <v>46192</v>
      </c>
      <c r="B166">
        <v>338</v>
      </c>
      <c r="C166" t="s">
        <v>718</v>
      </c>
      <c r="D166" s="2">
        <v>46192</v>
      </c>
      <c r="E166" s="2">
        <v>46220</v>
      </c>
      <c r="F166" t="s">
        <v>23</v>
      </c>
      <c r="G166" t="s">
        <v>147</v>
      </c>
      <c r="H166" t="s">
        <v>719</v>
      </c>
      <c r="I166" t="s">
        <v>26</v>
      </c>
      <c r="J166" t="s">
        <v>695</v>
      </c>
      <c r="K166" t="s">
        <v>42</v>
      </c>
      <c r="L166" t="s">
        <v>29</v>
      </c>
      <c r="M166" t="s">
        <v>238</v>
      </c>
      <c r="N166" t="s">
        <v>31</v>
      </c>
      <c r="O166" t="s">
        <v>29</v>
      </c>
      <c r="P166" t="s">
        <v>707</v>
      </c>
      <c r="Q166" s="3" t="s">
        <v>720</v>
      </c>
    </row>
    <row r="167" spans="1:17" ht="15.6" x14ac:dyDescent="0.3">
      <c r="A167" s="2">
        <v>46192</v>
      </c>
      <c r="B167">
        <v>337</v>
      </c>
      <c r="C167" t="s">
        <v>721</v>
      </c>
      <c r="D167" s="2">
        <v>46192</v>
      </c>
      <c r="E167" s="2">
        <v>46220</v>
      </c>
      <c r="F167" t="s">
        <v>23</v>
      </c>
      <c r="G167" t="s">
        <v>147</v>
      </c>
      <c r="H167" t="s">
        <v>722</v>
      </c>
      <c r="I167" t="s">
        <v>26</v>
      </c>
      <c r="J167" t="s">
        <v>695</v>
      </c>
      <c r="K167" t="s">
        <v>42</v>
      </c>
      <c r="L167" t="s">
        <v>29</v>
      </c>
      <c r="M167" t="s">
        <v>238</v>
      </c>
      <c r="N167" t="s">
        <v>31</v>
      </c>
      <c r="O167" t="s">
        <v>29</v>
      </c>
      <c r="P167" t="s">
        <v>707</v>
      </c>
      <c r="Q167" s="3" t="s">
        <v>723</v>
      </c>
    </row>
    <row r="168" spans="1:17" ht="15.6" x14ac:dyDescent="0.3">
      <c r="A168" s="2">
        <v>46192</v>
      </c>
      <c r="B168">
        <v>336</v>
      </c>
      <c r="C168" t="s">
        <v>724</v>
      </c>
      <c r="D168" s="2">
        <v>46192</v>
      </c>
      <c r="E168" s="2">
        <v>46220</v>
      </c>
      <c r="F168" t="s">
        <v>23</v>
      </c>
      <c r="G168" t="s">
        <v>147</v>
      </c>
      <c r="H168" t="s">
        <v>694</v>
      </c>
      <c r="I168" t="s">
        <v>26</v>
      </c>
      <c r="J168" t="s">
        <v>695</v>
      </c>
      <c r="K168" t="s">
        <v>42</v>
      </c>
      <c r="L168" t="s">
        <v>29</v>
      </c>
      <c r="M168" t="s">
        <v>238</v>
      </c>
      <c r="N168" t="s">
        <v>31</v>
      </c>
      <c r="O168" t="s">
        <v>29</v>
      </c>
      <c r="P168" t="s">
        <v>696</v>
      </c>
      <c r="Q168" s="3" t="s">
        <v>725</v>
      </c>
    </row>
    <row r="169" spans="1:17" ht="15.6" x14ac:dyDescent="0.3">
      <c r="A169" s="2">
        <v>46192</v>
      </c>
      <c r="B169">
        <v>335</v>
      </c>
      <c r="C169" t="s">
        <v>726</v>
      </c>
      <c r="D169" s="2">
        <v>46192</v>
      </c>
      <c r="E169" s="2">
        <v>46220</v>
      </c>
      <c r="F169" t="s">
        <v>23</v>
      </c>
      <c r="G169" t="s">
        <v>147</v>
      </c>
      <c r="H169" t="s">
        <v>727</v>
      </c>
      <c r="I169" t="s">
        <v>26</v>
      </c>
      <c r="J169" t="s">
        <v>695</v>
      </c>
      <c r="K169" t="s">
        <v>42</v>
      </c>
      <c r="L169" t="s">
        <v>29</v>
      </c>
      <c r="M169" t="s">
        <v>238</v>
      </c>
      <c r="N169" t="s">
        <v>31</v>
      </c>
      <c r="O169" t="s">
        <v>29</v>
      </c>
      <c r="P169" t="s">
        <v>707</v>
      </c>
      <c r="Q169" s="3" t="s">
        <v>728</v>
      </c>
    </row>
    <row r="170" spans="1:17" ht="15.6" x14ac:dyDescent="0.3">
      <c r="A170" s="2">
        <v>46192</v>
      </c>
      <c r="B170">
        <v>334</v>
      </c>
      <c r="C170" t="s">
        <v>729</v>
      </c>
      <c r="D170" s="2">
        <v>46192</v>
      </c>
      <c r="E170" s="2">
        <v>46220</v>
      </c>
      <c r="F170" t="s">
        <v>23</v>
      </c>
      <c r="G170" t="s">
        <v>147</v>
      </c>
      <c r="H170" t="s">
        <v>694</v>
      </c>
      <c r="I170" t="s">
        <v>26</v>
      </c>
      <c r="J170" t="s">
        <v>695</v>
      </c>
      <c r="K170" t="s">
        <v>42</v>
      </c>
      <c r="L170" t="s">
        <v>29</v>
      </c>
      <c r="M170" t="s">
        <v>238</v>
      </c>
      <c r="N170" t="s">
        <v>31</v>
      </c>
      <c r="O170" t="s">
        <v>29</v>
      </c>
      <c r="P170" t="s">
        <v>696</v>
      </c>
      <c r="Q170" s="3" t="s">
        <v>730</v>
      </c>
    </row>
    <row r="171" spans="1:17" ht="15.6" x14ac:dyDescent="0.3">
      <c r="A171" s="2">
        <v>46192</v>
      </c>
      <c r="B171">
        <v>333</v>
      </c>
      <c r="C171" t="s">
        <v>731</v>
      </c>
      <c r="D171" s="2">
        <v>46192</v>
      </c>
      <c r="E171" s="2">
        <v>46220</v>
      </c>
      <c r="F171" t="s">
        <v>23</v>
      </c>
      <c r="G171" t="s">
        <v>147</v>
      </c>
      <c r="H171" t="s">
        <v>732</v>
      </c>
      <c r="I171" t="s">
        <v>26</v>
      </c>
      <c r="J171" t="s">
        <v>695</v>
      </c>
      <c r="K171" t="s">
        <v>42</v>
      </c>
      <c r="L171" t="s">
        <v>29</v>
      </c>
      <c r="M171" t="s">
        <v>238</v>
      </c>
      <c r="N171" t="s">
        <v>31</v>
      </c>
      <c r="O171" t="s">
        <v>29</v>
      </c>
      <c r="P171" t="s">
        <v>696</v>
      </c>
      <c r="Q171" s="3" t="s">
        <v>733</v>
      </c>
    </row>
    <row r="172" spans="1:17" ht="15.6" x14ac:dyDescent="0.3">
      <c r="A172" s="2">
        <v>46192</v>
      </c>
      <c r="B172">
        <v>332</v>
      </c>
      <c r="C172" t="s">
        <v>734</v>
      </c>
      <c r="D172" s="2">
        <v>46192</v>
      </c>
      <c r="E172" s="2">
        <v>46220</v>
      </c>
      <c r="F172" t="s">
        <v>23</v>
      </c>
      <c r="G172" t="s">
        <v>147</v>
      </c>
      <c r="H172" t="s">
        <v>735</v>
      </c>
      <c r="I172" t="s">
        <v>26</v>
      </c>
      <c r="J172" t="s">
        <v>695</v>
      </c>
      <c r="K172" t="s">
        <v>42</v>
      </c>
      <c r="L172" t="s">
        <v>29</v>
      </c>
      <c r="M172" t="s">
        <v>238</v>
      </c>
      <c r="N172" t="s">
        <v>31</v>
      </c>
      <c r="O172" t="s">
        <v>29</v>
      </c>
      <c r="P172" t="s">
        <v>707</v>
      </c>
      <c r="Q172" s="3" t="s">
        <v>736</v>
      </c>
    </row>
    <row r="173" spans="1:17" ht="15.6" x14ac:dyDescent="0.3">
      <c r="A173" s="2">
        <v>46192</v>
      </c>
      <c r="B173">
        <v>331</v>
      </c>
      <c r="C173" t="s">
        <v>737</v>
      </c>
      <c r="D173" s="2">
        <v>46192</v>
      </c>
      <c r="E173" s="2">
        <v>46220</v>
      </c>
      <c r="F173" t="s">
        <v>23</v>
      </c>
      <c r="G173" t="s">
        <v>147</v>
      </c>
      <c r="H173" t="s">
        <v>738</v>
      </c>
      <c r="I173" t="s">
        <v>26</v>
      </c>
      <c r="J173" t="s">
        <v>695</v>
      </c>
      <c r="K173" t="s">
        <v>42</v>
      </c>
      <c r="L173" t="s">
        <v>29</v>
      </c>
      <c r="M173" t="s">
        <v>238</v>
      </c>
      <c r="N173" t="s">
        <v>31</v>
      </c>
      <c r="O173" t="s">
        <v>29</v>
      </c>
      <c r="P173" t="s">
        <v>696</v>
      </c>
      <c r="Q173" s="3" t="s">
        <v>739</v>
      </c>
    </row>
    <row r="174" spans="1:17" ht="15.6" x14ac:dyDescent="0.3">
      <c r="A174" s="2">
        <v>46192</v>
      </c>
      <c r="B174">
        <v>330</v>
      </c>
      <c r="C174" t="s">
        <v>740</v>
      </c>
      <c r="D174" s="2">
        <v>46192</v>
      </c>
      <c r="E174" s="2">
        <v>46220</v>
      </c>
      <c r="F174" t="s">
        <v>23</v>
      </c>
      <c r="G174" t="s">
        <v>147</v>
      </c>
      <c r="H174" t="s">
        <v>741</v>
      </c>
      <c r="I174" t="s">
        <v>26</v>
      </c>
      <c r="J174" t="s">
        <v>695</v>
      </c>
      <c r="K174" t="s">
        <v>42</v>
      </c>
      <c r="L174" t="s">
        <v>29</v>
      </c>
      <c r="M174" t="s">
        <v>238</v>
      </c>
      <c r="N174" t="s">
        <v>31</v>
      </c>
      <c r="O174" t="s">
        <v>29</v>
      </c>
      <c r="P174" t="s">
        <v>707</v>
      </c>
      <c r="Q174" s="3" t="s">
        <v>742</v>
      </c>
    </row>
    <row r="175" spans="1:17" ht="15.6" x14ac:dyDescent="0.3">
      <c r="A175" s="2">
        <v>46192</v>
      </c>
      <c r="B175">
        <v>329</v>
      </c>
      <c r="C175" t="s">
        <v>743</v>
      </c>
      <c r="D175" s="2">
        <v>46192</v>
      </c>
      <c r="E175" s="2">
        <v>46220</v>
      </c>
      <c r="F175" t="s">
        <v>23</v>
      </c>
      <c r="G175" t="s">
        <v>147</v>
      </c>
      <c r="H175" t="s">
        <v>744</v>
      </c>
      <c r="I175" t="s">
        <v>26</v>
      </c>
      <c r="J175" t="s">
        <v>695</v>
      </c>
      <c r="K175" t="s">
        <v>42</v>
      </c>
      <c r="L175" t="s">
        <v>29</v>
      </c>
      <c r="M175" t="s">
        <v>238</v>
      </c>
      <c r="N175" t="s">
        <v>31</v>
      </c>
      <c r="O175" t="s">
        <v>29</v>
      </c>
      <c r="P175" t="s">
        <v>696</v>
      </c>
      <c r="Q175" s="3" t="s">
        <v>745</v>
      </c>
    </row>
    <row r="176" spans="1:17" ht="15.6" x14ac:dyDescent="0.3">
      <c r="A176" s="2">
        <v>46192</v>
      </c>
      <c r="B176">
        <v>328</v>
      </c>
      <c r="C176" t="s">
        <v>746</v>
      </c>
      <c r="D176" s="2">
        <v>46192</v>
      </c>
      <c r="E176" s="2">
        <v>46220</v>
      </c>
      <c r="F176" t="s">
        <v>23</v>
      </c>
      <c r="G176" t="s">
        <v>147</v>
      </c>
      <c r="H176" t="s">
        <v>747</v>
      </c>
      <c r="I176" t="s">
        <v>26</v>
      </c>
      <c r="J176" t="s">
        <v>695</v>
      </c>
      <c r="K176" t="s">
        <v>42</v>
      </c>
      <c r="L176" t="s">
        <v>29</v>
      </c>
      <c r="M176" t="s">
        <v>238</v>
      </c>
      <c r="N176" t="s">
        <v>31</v>
      </c>
      <c r="O176" t="s">
        <v>29</v>
      </c>
      <c r="P176" t="s">
        <v>707</v>
      </c>
      <c r="Q176" s="3" t="s">
        <v>748</v>
      </c>
    </row>
    <row r="177" spans="1:17" ht="15.6" x14ac:dyDescent="0.3">
      <c r="A177" s="2">
        <v>46192</v>
      </c>
      <c r="B177">
        <v>327</v>
      </c>
      <c r="C177" t="s">
        <v>749</v>
      </c>
      <c r="D177" s="2">
        <v>46192</v>
      </c>
      <c r="E177" s="2">
        <v>46220</v>
      </c>
      <c r="F177" t="s">
        <v>23</v>
      </c>
      <c r="G177" t="s">
        <v>147</v>
      </c>
      <c r="H177" t="s">
        <v>750</v>
      </c>
      <c r="I177" t="s">
        <v>26</v>
      </c>
      <c r="J177" t="s">
        <v>695</v>
      </c>
      <c r="K177" t="s">
        <v>42</v>
      </c>
      <c r="L177" t="s">
        <v>29</v>
      </c>
      <c r="M177" t="s">
        <v>238</v>
      </c>
      <c r="N177" t="s">
        <v>31</v>
      </c>
      <c r="O177" t="s">
        <v>29</v>
      </c>
      <c r="P177" t="s">
        <v>707</v>
      </c>
      <c r="Q177" s="3" t="s">
        <v>751</v>
      </c>
    </row>
    <row r="178" spans="1:17" ht="15.6" x14ac:dyDescent="0.3">
      <c r="A178" s="2">
        <v>46192</v>
      </c>
      <c r="B178">
        <v>326</v>
      </c>
      <c r="C178" t="s">
        <v>752</v>
      </c>
      <c r="D178" s="2">
        <v>46192</v>
      </c>
      <c r="E178" s="2">
        <v>46220</v>
      </c>
      <c r="F178" t="s">
        <v>23</v>
      </c>
      <c r="G178" t="s">
        <v>147</v>
      </c>
      <c r="H178" t="s">
        <v>753</v>
      </c>
      <c r="I178" t="s">
        <v>26</v>
      </c>
      <c r="J178" t="s">
        <v>695</v>
      </c>
      <c r="K178" t="s">
        <v>42</v>
      </c>
      <c r="L178" t="s">
        <v>29</v>
      </c>
      <c r="M178" t="s">
        <v>238</v>
      </c>
      <c r="N178" t="s">
        <v>31</v>
      </c>
      <c r="O178" t="s">
        <v>29</v>
      </c>
      <c r="P178" t="s">
        <v>696</v>
      </c>
      <c r="Q178" s="3" t="s">
        <v>754</v>
      </c>
    </row>
    <row r="179" spans="1:17" ht="15.6" x14ac:dyDescent="0.3">
      <c r="A179" s="2">
        <v>46192</v>
      </c>
      <c r="B179">
        <v>325</v>
      </c>
      <c r="C179" t="s">
        <v>755</v>
      </c>
      <c r="D179" s="2">
        <v>46192</v>
      </c>
      <c r="E179" s="2">
        <v>46220</v>
      </c>
      <c r="F179" t="s">
        <v>23</v>
      </c>
      <c r="G179" t="s">
        <v>147</v>
      </c>
      <c r="H179" t="s">
        <v>756</v>
      </c>
      <c r="I179" t="s">
        <v>26</v>
      </c>
      <c r="J179" t="s">
        <v>695</v>
      </c>
      <c r="K179" t="s">
        <v>42</v>
      </c>
      <c r="L179" t="s">
        <v>29</v>
      </c>
      <c r="M179" t="s">
        <v>238</v>
      </c>
      <c r="N179" t="s">
        <v>31</v>
      </c>
      <c r="O179" t="s">
        <v>29</v>
      </c>
      <c r="P179" t="s">
        <v>707</v>
      </c>
      <c r="Q179" s="3" t="s">
        <v>757</v>
      </c>
    </row>
    <row r="180" spans="1:17" ht="15.6" x14ac:dyDescent="0.3">
      <c r="A180" s="2">
        <v>46192</v>
      </c>
      <c r="B180">
        <v>324</v>
      </c>
      <c r="C180" t="s">
        <v>758</v>
      </c>
      <c r="D180" s="2">
        <v>46192</v>
      </c>
      <c r="E180" s="2">
        <v>46220</v>
      </c>
      <c r="F180" t="s">
        <v>23</v>
      </c>
      <c r="G180" t="s">
        <v>147</v>
      </c>
      <c r="H180" t="s">
        <v>759</v>
      </c>
      <c r="I180" t="s">
        <v>26</v>
      </c>
      <c r="J180" t="s">
        <v>695</v>
      </c>
      <c r="K180" t="s">
        <v>42</v>
      </c>
      <c r="L180" t="s">
        <v>29</v>
      </c>
      <c r="M180" t="s">
        <v>238</v>
      </c>
      <c r="N180" t="s">
        <v>31</v>
      </c>
      <c r="O180" t="s">
        <v>29</v>
      </c>
      <c r="P180" t="s">
        <v>696</v>
      </c>
      <c r="Q180" s="3" t="s">
        <v>760</v>
      </c>
    </row>
    <row r="181" spans="1:17" ht="15.6" x14ac:dyDescent="0.3">
      <c r="A181" s="2">
        <v>46192</v>
      </c>
      <c r="B181">
        <v>323</v>
      </c>
      <c r="C181" t="s">
        <v>761</v>
      </c>
      <c r="D181" s="2">
        <v>46192</v>
      </c>
      <c r="E181" s="2">
        <v>46220</v>
      </c>
      <c r="F181" t="s">
        <v>23</v>
      </c>
      <c r="G181" t="s">
        <v>147</v>
      </c>
      <c r="H181" t="s">
        <v>762</v>
      </c>
      <c r="I181" t="s">
        <v>26</v>
      </c>
      <c r="J181" t="s">
        <v>695</v>
      </c>
      <c r="K181" t="s">
        <v>42</v>
      </c>
      <c r="L181" t="s">
        <v>29</v>
      </c>
      <c r="M181" t="s">
        <v>238</v>
      </c>
      <c r="N181" t="s">
        <v>31</v>
      </c>
      <c r="O181" t="s">
        <v>29</v>
      </c>
      <c r="P181" t="s">
        <v>696</v>
      </c>
      <c r="Q181" s="3" t="s">
        <v>763</v>
      </c>
    </row>
    <row r="182" spans="1:17" ht="15.6" x14ac:dyDescent="0.3">
      <c r="A182" s="2">
        <v>46192</v>
      </c>
      <c r="B182">
        <v>322</v>
      </c>
      <c r="C182" t="s">
        <v>764</v>
      </c>
      <c r="D182" s="2">
        <v>46192</v>
      </c>
      <c r="E182" s="2">
        <v>46220</v>
      </c>
      <c r="F182" t="s">
        <v>23</v>
      </c>
      <c r="G182" t="s">
        <v>147</v>
      </c>
      <c r="H182" t="s">
        <v>765</v>
      </c>
      <c r="I182" t="s">
        <v>26</v>
      </c>
      <c r="J182" t="s">
        <v>695</v>
      </c>
      <c r="K182" t="s">
        <v>42</v>
      </c>
      <c r="L182" t="s">
        <v>29</v>
      </c>
      <c r="M182" t="s">
        <v>238</v>
      </c>
      <c r="N182" t="s">
        <v>31</v>
      </c>
      <c r="O182" t="s">
        <v>29</v>
      </c>
      <c r="P182" t="s">
        <v>696</v>
      </c>
      <c r="Q182" s="3" t="s">
        <v>766</v>
      </c>
    </row>
    <row r="183" spans="1:17" ht="15.6" x14ac:dyDescent="0.3">
      <c r="A183" s="2">
        <v>46192</v>
      </c>
      <c r="B183">
        <v>321</v>
      </c>
      <c r="C183" t="s">
        <v>767</v>
      </c>
      <c r="D183" s="2">
        <v>46192</v>
      </c>
      <c r="E183" s="2">
        <v>46220</v>
      </c>
      <c r="F183" t="s">
        <v>23</v>
      </c>
      <c r="G183" t="s">
        <v>147</v>
      </c>
      <c r="H183" t="s">
        <v>768</v>
      </c>
      <c r="I183" t="s">
        <v>26</v>
      </c>
      <c r="J183" t="s">
        <v>695</v>
      </c>
      <c r="K183" t="s">
        <v>42</v>
      </c>
      <c r="L183" t="s">
        <v>29</v>
      </c>
      <c r="M183" t="s">
        <v>238</v>
      </c>
      <c r="N183" t="s">
        <v>31</v>
      </c>
      <c r="O183" t="s">
        <v>29</v>
      </c>
      <c r="P183" t="s">
        <v>696</v>
      </c>
      <c r="Q183" s="3" t="s">
        <v>769</v>
      </c>
    </row>
    <row r="184" spans="1:17" ht="15.6" x14ac:dyDescent="0.3">
      <c r="A184" s="2">
        <v>46192</v>
      </c>
      <c r="B184">
        <v>320</v>
      </c>
      <c r="C184" t="s">
        <v>770</v>
      </c>
      <c r="D184" s="2">
        <v>46192</v>
      </c>
      <c r="E184" s="2">
        <v>46220</v>
      </c>
      <c r="F184" t="s">
        <v>23</v>
      </c>
      <c r="G184" t="s">
        <v>147</v>
      </c>
      <c r="H184" t="s">
        <v>771</v>
      </c>
      <c r="I184" t="s">
        <v>26</v>
      </c>
      <c r="J184" t="s">
        <v>695</v>
      </c>
      <c r="K184" t="s">
        <v>42</v>
      </c>
      <c r="L184" t="s">
        <v>29</v>
      </c>
      <c r="M184" t="s">
        <v>238</v>
      </c>
      <c r="N184" t="s">
        <v>31</v>
      </c>
      <c r="O184" t="s">
        <v>29</v>
      </c>
      <c r="P184" t="s">
        <v>707</v>
      </c>
      <c r="Q184" s="3" t="s">
        <v>772</v>
      </c>
    </row>
    <row r="185" spans="1:17" ht="15.6" x14ac:dyDescent="0.3">
      <c r="A185" s="2">
        <v>46192</v>
      </c>
      <c r="B185">
        <v>319</v>
      </c>
      <c r="C185" t="s">
        <v>773</v>
      </c>
      <c r="D185" s="2">
        <v>46192</v>
      </c>
      <c r="E185" s="2">
        <v>46220</v>
      </c>
      <c r="F185" t="s">
        <v>23</v>
      </c>
      <c r="G185" t="s">
        <v>147</v>
      </c>
      <c r="H185" t="s">
        <v>774</v>
      </c>
      <c r="I185" t="s">
        <v>26</v>
      </c>
      <c r="J185" t="s">
        <v>695</v>
      </c>
      <c r="K185" t="s">
        <v>42</v>
      </c>
      <c r="L185" t="s">
        <v>29</v>
      </c>
      <c r="M185" t="s">
        <v>238</v>
      </c>
      <c r="N185" t="s">
        <v>31</v>
      </c>
      <c r="O185" t="s">
        <v>29</v>
      </c>
      <c r="P185" t="s">
        <v>696</v>
      </c>
      <c r="Q185" s="3" t="s">
        <v>775</v>
      </c>
    </row>
    <row r="186" spans="1:17" ht="15.6" x14ac:dyDescent="0.3">
      <c r="A186" s="2">
        <v>46192</v>
      </c>
      <c r="B186">
        <v>318</v>
      </c>
      <c r="C186" t="s">
        <v>776</v>
      </c>
      <c r="D186" s="2">
        <v>46192</v>
      </c>
      <c r="E186" s="2">
        <v>46220</v>
      </c>
      <c r="F186" t="s">
        <v>23</v>
      </c>
      <c r="G186" t="s">
        <v>147</v>
      </c>
      <c r="H186" t="s">
        <v>777</v>
      </c>
      <c r="I186" t="s">
        <v>26</v>
      </c>
      <c r="J186" t="s">
        <v>695</v>
      </c>
      <c r="K186" t="s">
        <v>42</v>
      </c>
      <c r="L186" t="s">
        <v>29</v>
      </c>
      <c r="M186" t="s">
        <v>238</v>
      </c>
      <c r="N186" t="s">
        <v>31</v>
      </c>
      <c r="O186" t="s">
        <v>29</v>
      </c>
      <c r="P186" t="s">
        <v>707</v>
      </c>
      <c r="Q186" s="3" t="s">
        <v>778</v>
      </c>
    </row>
    <row r="187" spans="1:17" ht="15.6" x14ac:dyDescent="0.3">
      <c r="A187" s="2">
        <v>46192</v>
      </c>
      <c r="B187">
        <v>317</v>
      </c>
      <c r="C187" t="s">
        <v>779</v>
      </c>
      <c r="D187" s="2">
        <v>46192</v>
      </c>
      <c r="E187" s="2">
        <v>46220</v>
      </c>
      <c r="F187" t="s">
        <v>23</v>
      </c>
      <c r="G187" t="s">
        <v>147</v>
      </c>
      <c r="H187" t="s">
        <v>780</v>
      </c>
      <c r="I187" t="s">
        <v>26</v>
      </c>
      <c r="J187" t="s">
        <v>695</v>
      </c>
      <c r="K187" t="s">
        <v>42</v>
      </c>
      <c r="L187" t="s">
        <v>29</v>
      </c>
      <c r="M187" t="s">
        <v>238</v>
      </c>
      <c r="N187" t="s">
        <v>31</v>
      </c>
      <c r="O187" t="s">
        <v>29</v>
      </c>
      <c r="P187" t="s">
        <v>707</v>
      </c>
      <c r="Q187" s="3" t="s">
        <v>781</v>
      </c>
    </row>
    <row r="188" spans="1:17" ht="15.6" x14ac:dyDescent="0.3">
      <c r="A188" s="2">
        <v>46192</v>
      </c>
      <c r="B188">
        <v>316</v>
      </c>
      <c r="C188" t="s">
        <v>782</v>
      </c>
      <c r="D188" s="2">
        <v>46192</v>
      </c>
      <c r="E188" s="2">
        <v>46220</v>
      </c>
      <c r="F188" t="s">
        <v>123</v>
      </c>
      <c r="G188" t="s">
        <v>24</v>
      </c>
      <c r="H188" t="s">
        <v>783</v>
      </c>
      <c r="I188" t="s">
        <v>26</v>
      </c>
      <c r="J188" t="s">
        <v>784</v>
      </c>
      <c r="K188" t="s">
        <v>379</v>
      </c>
      <c r="L188" t="s">
        <v>29</v>
      </c>
      <c r="M188" t="s">
        <v>254</v>
      </c>
      <c r="N188" t="s">
        <v>31</v>
      </c>
      <c r="O188" t="s">
        <v>29</v>
      </c>
      <c r="P188" t="s">
        <v>785</v>
      </c>
      <c r="Q188" s="3" t="s">
        <v>786</v>
      </c>
    </row>
    <row r="189" spans="1:17" ht="15.6" x14ac:dyDescent="0.3">
      <c r="A189" s="2">
        <v>46192</v>
      </c>
      <c r="B189">
        <v>315</v>
      </c>
      <c r="C189" t="s">
        <v>787</v>
      </c>
      <c r="D189" s="2">
        <v>46192</v>
      </c>
      <c r="E189" s="2">
        <v>46220</v>
      </c>
      <c r="F189" t="s">
        <v>123</v>
      </c>
      <c r="G189" t="s">
        <v>24</v>
      </c>
      <c r="H189" t="s">
        <v>788</v>
      </c>
      <c r="I189" t="s">
        <v>26</v>
      </c>
      <c r="J189" t="s">
        <v>789</v>
      </c>
      <c r="K189" t="s">
        <v>42</v>
      </c>
      <c r="L189" t="s">
        <v>29</v>
      </c>
      <c r="M189" t="s">
        <v>233</v>
      </c>
      <c r="N189" t="s">
        <v>29</v>
      </c>
      <c r="O189" t="s">
        <v>29</v>
      </c>
      <c r="P189" t="s">
        <v>64</v>
      </c>
      <c r="Q189" s="3" t="s">
        <v>790</v>
      </c>
    </row>
    <row r="190" spans="1:17" ht="15.6" x14ac:dyDescent="0.3">
      <c r="A190" s="2">
        <v>46192</v>
      </c>
      <c r="B190">
        <v>314</v>
      </c>
      <c r="C190" t="s">
        <v>791</v>
      </c>
      <c r="D190" s="2">
        <v>46192</v>
      </c>
      <c r="E190" s="2">
        <v>46220</v>
      </c>
      <c r="F190" t="s">
        <v>123</v>
      </c>
      <c r="G190" t="s">
        <v>24</v>
      </c>
      <c r="H190" t="s">
        <v>792</v>
      </c>
      <c r="I190" t="s">
        <v>26</v>
      </c>
      <c r="J190" t="s">
        <v>793</v>
      </c>
      <c r="K190" t="s">
        <v>42</v>
      </c>
      <c r="L190" t="s">
        <v>29</v>
      </c>
      <c r="M190" t="s">
        <v>356</v>
      </c>
      <c r="N190" t="s">
        <v>29</v>
      </c>
      <c r="O190" t="s">
        <v>29</v>
      </c>
      <c r="P190" t="s">
        <v>64</v>
      </c>
      <c r="Q190" s="3" t="s">
        <v>794</v>
      </c>
    </row>
    <row r="191" spans="1:17" ht="15.6" x14ac:dyDescent="0.3">
      <c r="A191" s="2">
        <v>46192</v>
      </c>
      <c r="B191">
        <v>313</v>
      </c>
      <c r="C191" t="s">
        <v>795</v>
      </c>
      <c r="D191" s="2">
        <v>46192</v>
      </c>
      <c r="E191" s="2">
        <v>46219</v>
      </c>
      <c r="F191" t="s">
        <v>123</v>
      </c>
      <c r="G191" t="s">
        <v>24</v>
      </c>
      <c r="H191" t="s">
        <v>796</v>
      </c>
      <c r="I191" t="s">
        <v>26</v>
      </c>
      <c r="J191" t="s">
        <v>797</v>
      </c>
      <c r="K191" t="s">
        <v>184</v>
      </c>
      <c r="L191" t="s">
        <v>29</v>
      </c>
      <c r="M191" t="s">
        <v>171</v>
      </c>
      <c r="N191" t="s">
        <v>31</v>
      </c>
      <c r="O191" t="s">
        <v>31</v>
      </c>
      <c r="P191" t="s">
        <v>798</v>
      </c>
      <c r="Q191" s="3" t="s">
        <v>799</v>
      </c>
    </row>
    <row r="192" spans="1:17" ht="15.6" x14ac:dyDescent="0.3">
      <c r="A192" s="2">
        <v>46192</v>
      </c>
      <c r="B192">
        <v>312</v>
      </c>
      <c r="C192" t="s">
        <v>800</v>
      </c>
      <c r="D192" s="2">
        <v>46192</v>
      </c>
      <c r="E192" s="2">
        <v>46219</v>
      </c>
      <c r="F192" t="s">
        <v>181</v>
      </c>
      <c r="G192" t="s">
        <v>227</v>
      </c>
      <c r="H192" t="s">
        <v>801</v>
      </c>
      <c r="I192" t="s">
        <v>26</v>
      </c>
      <c r="J192" t="s">
        <v>199</v>
      </c>
      <c r="K192" t="s">
        <v>48</v>
      </c>
      <c r="L192" t="s">
        <v>29</v>
      </c>
      <c r="M192" t="s">
        <v>171</v>
      </c>
      <c r="N192" t="s">
        <v>29</v>
      </c>
      <c r="O192" t="s">
        <v>29</v>
      </c>
      <c r="P192" t="s">
        <v>64</v>
      </c>
      <c r="Q192" s="3" t="s">
        <v>802</v>
      </c>
    </row>
    <row r="193" spans="1:17" ht="15.6" x14ac:dyDescent="0.3">
      <c r="A193" s="2">
        <v>46192</v>
      </c>
      <c r="B193">
        <v>311</v>
      </c>
      <c r="C193" t="s">
        <v>803</v>
      </c>
      <c r="D193" s="2">
        <v>46192</v>
      </c>
      <c r="E193" s="2">
        <v>46220</v>
      </c>
      <c r="F193" t="s">
        <v>123</v>
      </c>
      <c r="G193" t="s">
        <v>24</v>
      </c>
      <c r="H193" t="s">
        <v>804</v>
      </c>
      <c r="I193" t="s">
        <v>26</v>
      </c>
      <c r="J193" t="s">
        <v>805</v>
      </c>
      <c r="K193" t="s">
        <v>379</v>
      </c>
      <c r="L193" t="s">
        <v>29</v>
      </c>
      <c r="M193" t="s">
        <v>356</v>
      </c>
      <c r="N193" t="s">
        <v>29</v>
      </c>
      <c r="O193" t="s">
        <v>29</v>
      </c>
      <c r="P193" t="s">
        <v>64</v>
      </c>
      <c r="Q193" s="3" t="s">
        <v>806</v>
      </c>
    </row>
    <row r="194" spans="1:17" ht="15.6" x14ac:dyDescent="0.3">
      <c r="A194" s="2">
        <v>46192</v>
      </c>
      <c r="B194">
        <v>310</v>
      </c>
      <c r="C194" t="s">
        <v>807</v>
      </c>
      <c r="D194" s="2">
        <v>46192</v>
      </c>
      <c r="E194" s="2">
        <v>46220</v>
      </c>
      <c r="F194" t="s">
        <v>181</v>
      </c>
      <c r="G194" t="s">
        <v>147</v>
      </c>
      <c r="H194" t="s">
        <v>808</v>
      </c>
      <c r="I194" t="s">
        <v>26</v>
      </c>
      <c r="J194" t="s">
        <v>695</v>
      </c>
      <c r="K194" t="s">
        <v>42</v>
      </c>
      <c r="L194" t="s">
        <v>29</v>
      </c>
      <c r="M194" t="s">
        <v>238</v>
      </c>
      <c r="N194" t="s">
        <v>31</v>
      </c>
      <c r="O194" t="s">
        <v>29</v>
      </c>
      <c r="P194" t="s">
        <v>707</v>
      </c>
      <c r="Q194" s="3" t="s">
        <v>809</v>
      </c>
    </row>
    <row r="195" spans="1:17" ht="15.6" x14ac:dyDescent="0.3">
      <c r="A195" s="2">
        <v>46192</v>
      </c>
      <c r="B195">
        <v>309</v>
      </c>
      <c r="C195" t="s">
        <v>810</v>
      </c>
      <c r="D195" s="2">
        <v>46192</v>
      </c>
      <c r="E195" s="2">
        <v>46220</v>
      </c>
      <c r="F195" t="s">
        <v>181</v>
      </c>
      <c r="G195" t="s">
        <v>24</v>
      </c>
      <c r="H195" t="s">
        <v>811</v>
      </c>
      <c r="I195" t="s">
        <v>26</v>
      </c>
      <c r="J195" t="s">
        <v>812</v>
      </c>
      <c r="K195" t="s">
        <v>127</v>
      </c>
      <c r="L195" t="s">
        <v>29</v>
      </c>
      <c r="M195" t="s">
        <v>120</v>
      </c>
      <c r="N195" t="s">
        <v>29</v>
      </c>
      <c r="O195" t="s">
        <v>29</v>
      </c>
      <c r="P195" t="s">
        <v>64</v>
      </c>
      <c r="Q195" s="3" t="s">
        <v>813</v>
      </c>
    </row>
    <row r="196" spans="1:17" ht="15.6" x14ac:dyDescent="0.3">
      <c r="A196" s="2">
        <v>46192</v>
      </c>
      <c r="B196">
        <v>308</v>
      </c>
      <c r="C196" t="s">
        <v>814</v>
      </c>
      <c r="D196" s="2">
        <v>46192</v>
      </c>
      <c r="E196" s="2">
        <v>46220</v>
      </c>
      <c r="F196" t="s">
        <v>181</v>
      </c>
      <c r="G196" t="s">
        <v>24</v>
      </c>
      <c r="H196" t="s">
        <v>815</v>
      </c>
      <c r="I196" t="s">
        <v>26</v>
      </c>
      <c r="J196" t="s">
        <v>812</v>
      </c>
      <c r="K196" t="s">
        <v>127</v>
      </c>
      <c r="L196" t="s">
        <v>29</v>
      </c>
      <c r="M196" t="s">
        <v>254</v>
      </c>
      <c r="N196" t="s">
        <v>29</v>
      </c>
      <c r="O196" t="s">
        <v>29</v>
      </c>
      <c r="P196" t="s">
        <v>64</v>
      </c>
      <c r="Q196" s="3" t="s">
        <v>816</v>
      </c>
    </row>
    <row r="197" spans="1:17" ht="15.6" x14ac:dyDescent="0.3">
      <c r="A197" s="2">
        <v>46192</v>
      </c>
      <c r="B197">
        <v>307</v>
      </c>
      <c r="C197" t="s">
        <v>817</v>
      </c>
      <c r="D197" s="2">
        <v>46192</v>
      </c>
      <c r="E197" s="2">
        <v>46220</v>
      </c>
      <c r="F197" t="s">
        <v>181</v>
      </c>
      <c r="G197" t="s">
        <v>24</v>
      </c>
      <c r="H197" t="s">
        <v>818</v>
      </c>
      <c r="I197" t="s">
        <v>26</v>
      </c>
      <c r="J197" t="s">
        <v>812</v>
      </c>
      <c r="K197" t="s">
        <v>127</v>
      </c>
      <c r="L197" t="s">
        <v>29</v>
      </c>
      <c r="M197" t="s">
        <v>134</v>
      </c>
      <c r="N197" t="s">
        <v>29</v>
      </c>
      <c r="O197" t="s">
        <v>29</v>
      </c>
      <c r="P197" t="s">
        <v>64</v>
      </c>
      <c r="Q197" s="3" t="s">
        <v>819</v>
      </c>
    </row>
    <row r="198" spans="1:17" ht="15.6" x14ac:dyDescent="0.3">
      <c r="A198" s="2">
        <v>46192</v>
      </c>
      <c r="B198">
        <v>306</v>
      </c>
      <c r="C198" t="s">
        <v>820</v>
      </c>
      <c r="D198" s="2">
        <v>46192</v>
      </c>
      <c r="E198" s="2">
        <v>46220</v>
      </c>
      <c r="F198" t="s">
        <v>123</v>
      </c>
      <c r="G198" t="s">
        <v>24</v>
      </c>
      <c r="H198" t="s">
        <v>821</v>
      </c>
      <c r="I198" t="s">
        <v>26</v>
      </c>
      <c r="J198" t="s">
        <v>822</v>
      </c>
      <c r="K198" t="s">
        <v>207</v>
      </c>
      <c r="L198" t="s">
        <v>29</v>
      </c>
      <c r="M198" t="s">
        <v>422</v>
      </c>
      <c r="N198" t="s">
        <v>31</v>
      </c>
      <c r="O198" t="s">
        <v>29</v>
      </c>
      <c r="P198" t="s">
        <v>823</v>
      </c>
      <c r="Q198" s="3" t="s">
        <v>824</v>
      </c>
    </row>
    <row r="199" spans="1:17" ht="15.6" x14ac:dyDescent="0.3">
      <c r="A199" s="2">
        <v>46192</v>
      </c>
      <c r="B199">
        <v>305</v>
      </c>
      <c r="C199" t="s">
        <v>825</v>
      </c>
      <c r="D199" s="2">
        <v>46192</v>
      </c>
      <c r="E199" s="2">
        <v>46220</v>
      </c>
      <c r="F199" t="s">
        <v>181</v>
      </c>
      <c r="G199" t="s">
        <v>24</v>
      </c>
      <c r="H199" t="s">
        <v>826</v>
      </c>
      <c r="I199" t="s">
        <v>26</v>
      </c>
      <c r="J199" t="s">
        <v>199</v>
      </c>
      <c r="K199" t="s">
        <v>184</v>
      </c>
      <c r="L199" t="s">
        <v>29</v>
      </c>
      <c r="M199" t="s">
        <v>658</v>
      </c>
      <c r="N199" t="s">
        <v>29</v>
      </c>
      <c r="O199" t="s">
        <v>29</v>
      </c>
      <c r="P199" t="s">
        <v>64</v>
      </c>
      <c r="Q199" s="3" t="s">
        <v>827</v>
      </c>
    </row>
    <row r="200" spans="1:17" ht="15.6" x14ac:dyDescent="0.3">
      <c r="A200" s="2">
        <v>46192</v>
      </c>
      <c r="B200">
        <v>304</v>
      </c>
      <c r="C200" t="s">
        <v>828</v>
      </c>
      <c r="D200" s="2">
        <v>46192</v>
      </c>
      <c r="E200" s="2">
        <v>46220</v>
      </c>
      <c r="F200" t="s">
        <v>123</v>
      </c>
      <c r="G200" t="s">
        <v>24</v>
      </c>
      <c r="H200" t="s">
        <v>829</v>
      </c>
      <c r="I200" t="s">
        <v>26</v>
      </c>
      <c r="J200" t="s">
        <v>793</v>
      </c>
      <c r="K200" t="s">
        <v>42</v>
      </c>
      <c r="L200" t="s">
        <v>29</v>
      </c>
      <c r="M200" t="s">
        <v>208</v>
      </c>
      <c r="N200" t="s">
        <v>29</v>
      </c>
      <c r="O200" t="s">
        <v>29</v>
      </c>
      <c r="P200" t="s">
        <v>64</v>
      </c>
      <c r="Q200" s="3" t="s">
        <v>830</v>
      </c>
    </row>
    <row r="201" spans="1:17" ht="15.6" x14ac:dyDescent="0.3">
      <c r="A201" s="2">
        <v>46192</v>
      </c>
      <c r="B201">
        <v>303</v>
      </c>
      <c r="C201" t="s">
        <v>831</v>
      </c>
      <c r="D201" s="2">
        <v>46192</v>
      </c>
      <c r="E201" s="2">
        <v>46216</v>
      </c>
      <c r="F201" t="s">
        <v>23</v>
      </c>
      <c r="G201" t="s">
        <v>24</v>
      </c>
      <c r="H201" t="s">
        <v>832</v>
      </c>
      <c r="I201" t="s">
        <v>26</v>
      </c>
      <c r="J201" t="s">
        <v>833</v>
      </c>
      <c r="K201" t="s">
        <v>28</v>
      </c>
      <c r="L201" t="s">
        <v>29</v>
      </c>
      <c r="M201" t="s">
        <v>134</v>
      </c>
      <c r="N201" t="s">
        <v>31</v>
      </c>
      <c r="O201" t="s">
        <v>31</v>
      </c>
      <c r="P201" t="s">
        <v>834</v>
      </c>
      <c r="Q201" s="3" t="s">
        <v>835</v>
      </c>
    </row>
    <row r="202" spans="1:17" ht="15.6" x14ac:dyDescent="0.3">
      <c r="A202" s="2">
        <v>46192</v>
      </c>
      <c r="B202">
        <v>302</v>
      </c>
      <c r="C202" t="s">
        <v>836</v>
      </c>
      <c r="D202" s="2">
        <v>46192</v>
      </c>
      <c r="E202" s="2">
        <v>46217</v>
      </c>
      <c r="F202" t="s">
        <v>123</v>
      </c>
      <c r="G202" t="s">
        <v>24</v>
      </c>
      <c r="H202" t="s">
        <v>837</v>
      </c>
      <c r="I202" t="s">
        <v>26</v>
      </c>
      <c r="J202" t="s">
        <v>288</v>
      </c>
      <c r="K202" t="s">
        <v>184</v>
      </c>
      <c r="L202" t="s">
        <v>29</v>
      </c>
      <c r="M202" t="s">
        <v>30</v>
      </c>
      <c r="N202" t="s">
        <v>29</v>
      </c>
      <c r="O202" t="s">
        <v>29</v>
      </c>
      <c r="P202" t="s">
        <v>64</v>
      </c>
      <c r="Q202" s="3" t="s">
        <v>838</v>
      </c>
    </row>
    <row r="203" spans="1:17" ht="15.6" x14ac:dyDescent="0.3">
      <c r="A203" s="2">
        <v>46192</v>
      </c>
      <c r="B203">
        <v>301</v>
      </c>
      <c r="C203" t="s">
        <v>839</v>
      </c>
      <c r="D203" s="2">
        <v>46192</v>
      </c>
      <c r="E203" s="2">
        <v>46217</v>
      </c>
      <c r="F203" t="s">
        <v>123</v>
      </c>
      <c r="G203" t="s">
        <v>24</v>
      </c>
      <c r="H203" t="s">
        <v>840</v>
      </c>
      <c r="I203" t="s">
        <v>26</v>
      </c>
      <c r="J203" t="s">
        <v>841</v>
      </c>
      <c r="K203" t="s">
        <v>48</v>
      </c>
      <c r="L203" t="s">
        <v>29</v>
      </c>
      <c r="M203" t="s">
        <v>244</v>
      </c>
      <c r="N203" t="s">
        <v>29</v>
      </c>
      <c r="O203" t="s">
        <v>29</v>
      </c>
      <c r="P203" t="s">
        <v>64</v>
      </c>
      <c r="Q203" s="3" t="s">
        <v>842</v>
      </c>
    </row>
    <row r="204" spans="1:17" ht="15.6" x14ac:dyDescent="0.3">
      <c r="A204" s="2">
        <v>46192</v>
      </c>
      <c r="B204">
        <v>300</v>
      </c>
      <c r="C204" t="s">
        <v>843</v>
      </c>
      <c r="D204" s="2">
        <v>46192</v>
      </c>
      <c r="E204" s="2">
        <v>46217</v>
      </c>
      <c r="F204" t="s">
        <v>23</v>
      </c>
      <c r="G204" t="s">
        <v>147</v>
      </c>
      <c r="H204" t="s">
        <v>844</v>
      </c>
      <c r="I204" t="s">
        <v>26</v>
      </c>
      <c r="J204" t="s">
        <v>845</v>
      </c>
      <c r="K204" t="s">
        <v>62</v>
      </c>
      <c r="L204" t="s">
        <v>29</v>
      </c>
      <c r="M204" t="s">
        <v>356</v>
      </c>
      <c r="N204" t="s">
        <v>29</v>
      </c>
      <c r="O204" t="s">
        <v>29</v>
      </c>
      <c r="P204" t="s">
        <v>64</v>
      </c>
      <c r="Q204" s="3" t="s">
        <v>846</v>
      </c>
    </row>
    <row r="205" spans="1:17" ht="15.6" x14ac:dyDescent="0.3">
      <c r="A205" s="2">
        <v>46192</v>
      </c>
      <c r="B205">
        <v>299</v>
      </c>
      <c r="C205" t="s">
        <v>847</v>
      </c>
      <c r="D205" s="2">
        <v>46192</v>
      </c>
      <c r="E205" s="2">
        <v>46217</v>
      </c>
      <c r="F205" t="s">
        <v>23</v>
      </c>
      <c r="G205" t="s">
        <v>147</v>
      </c>
      <c r="H205" t="s">
        <v>848</v>
      </c>
      <c r="I205" t="s">
        <v>26</v>
      </c>
      <c r="J205" t="s">
        <v>845</v>
      </c>
      <c r="K205" t="s">
        <v>62</v>
      </c>
      <c r="L205" t="s">
        <v>29</v>
      </c>
      <c r="M205" t="s">
        <v>356</v>
      </c>
      <c r="N205" t="s">
        <v>29</v>
      </c>
      <c r="O205" t="s">
        <v>29</v>
      </c>
      <c r="P205" t="s">
        <v>64</v>
      </c>
      <c r="Q205" s="3" t="s">
        <v>849</v>
      </c>
    </row>
    <row r="206" spans="1:17" ht="15.6" x14ac:dyDescent="0.3">
      <c r="A206" s="2">
        <v>46192</v>
      </c>
      <c r="B206">
        <v>298</v>
      </c>
      <c r="C206" t="s">
        <v>850</v>
      </c>
      <c r="D206" s="2">
        <v>46192</v>
      </c>
      <c r="E206" s="2">
        <v>46218</v>
      </c>
      <c r="F206" t="s">
        <v>123</v>
      </c>
      <c r="G206" t="s">
        <v>24</v>
      </c>
      <c r="H206" t="s">
        <v>851</v>
      </c>
      <c r="I206" t="s">
        <v>26</v>
      </c>
      <c r="J206" t="s">
        <v>170</v>
      </c>
      <c r="K206" t="s">
        <v>127</v>
      </c>
      <c r="L206" t="s">
        <v>29</v>
      </c>
      <c r="M206" t="s">
        <v>128</v>
      </c>
      <c r="N206" t="s">
        <v>31</v>
      </c>
      <c r="O206" t="s">
        <v>29</v>
      </c>
      <c r="P206" t="s">
        <v>852</v>
      </c>
      <c r="Q206" s="3" t="s">
        <v>853</v>
      </c>
    </row>
    <row r="207" spans="1:17" ht="15.6" x14ac:dyDescent="0.3">
      <c r="A207" s="2">
        <v>46192</v>
      </c>
      <c r="B207">
        <v>297</v>
      </c>
      <c r="C207" t="s">
        <v>854</v>
      </c>
      <c r="D207" s="2">
        <v>46192</v>
      </c>
      <c r="E207" s="2">
        <v>46216</v>
      </c>
      <c r="F207" t="s">
        <v>23</v>
      </c>
      <c r="G207" t="s">
        <v>24</v>
      </c>
      <c r="H207" t="s">
        <v>855</v>
      </c>
      <c r="I207" t="s">
        <v>26</v>
      </c>
      <c r="J207" t="s">
        <v>248</v>
      </c>
      <c r="K207" t="s">
        <v>48</v>
      </c>
      <c r="L207" t="s">
        <v>29</v>
      </c>
      <c r="M207" t="s">
        <v>856</v>
      </c>
      <c r="N207" t="s">
        <v>31</v>
      </c>
      <c r="O207" t="s">
        <v>31</v>
      </c>
      <c r="P207" t="s">
        <v>857</v>
      </c>
      <c r="Q207" s="3" t="s">
        <v>858</v>
      </c>
    </row>
    <row r="208" spans="1:17" ht="15.6" x14ac:dyDescent="0.3">
      <c r="A208" s="2">
        <v>46192</v>
      </c>
      <c r="B208">
        <v>296</v>
      </c>
      <c r="C208" t="s">
        <v>859</v>
      </c>
      <c r="D208" s="2">
        <v>46192</v>
      </c>
      <c r="E208" s="2">
        <v>46216</v>
      </c>
      <c r="F208" t="s">
        <v>23</v>
      </c>
      <c r="G208" t="s">
        <v>24</v>
      </c>
      <c r="H208" t="s">
        <v>860</v>
      </c>
      <c r="I208" t="s">
        <v>26</v>
      </c>
      <c r="J208" t="s">
        <v>248</v>
      </c>
      <c r="K208" t="s">
        <v>48</v>
      </c>
      <c r="L208" t="s">
        <v>29</v>
      </c>
      <c r="M208" t="s">
        <v>861</v>
      </c>
      <c r="N208" t="s">
        <v>31</v>
      </c>
      <c r="O208" t="s">
        <v>31</v>
      </c>
      <c r="P208" t="s">
        <v>862</v>
      </c>
      <c r="Q208" s="3" t="s">
        <v>863</v>
      </c>
    </row>
    <row r="209" spans="1:17" ht="15.6" x14ac:dyDescent="0.3">
      <c r="A209" s="2">
        <v>46192</v>
      </c>
      <c r="B209">
        <v>295</v>
      </c>
      <c r="C209" t="s">
        <v>864</v>
      </c>
      <c r="D209" s="2">
        <v>46192</v>
      </c>
      <c r="E209" s="2">
        <v>46216</v>
      </c>
      <c r="F209" t="s">
        <v>123</v>
      </c>
      <c r="G209" t="s">
        <v>147</v>
      </c>
      <c r="H209" t="s">
        <v>865</v>
      </c>
      <c r="I209" t="s">
        <v>26</v>
      </c>
      <c r="J209" t="s">
        <v>866</v>
      </c>
      <c r="K209" t="s">
        <v>207</v>
      </c>
      <c r="L209" t="s">
        <v>29</v>
      </c>
      <c r="M209" t="s">
        <v>254</v>
      </c>
      <c r="N209" t="s">
        <v>31</v>
      </c>
      <c r="O209" t="s">
        <v>29</v>
      </c>
      <c r="P209" t="s">
        <v>867</v>
      </c>
      <c r="Q209" s="3" t="s">
        <v>868</v>
      </c>
    </row>
    <row r="210" spans="1:17" ht="15.6" x14ac:dyDescent="0.3">
      <c r="A210" s="2">
        <v>46192</v>
      </c>
      <c r="B210">
        <v>294</v>
      </c>
      <c r="C210" t="s">
        <v>869</v>
      </c>
      <c r="D210" s="2">
        <v>46192</v>
      </c>
      <c r="E210" s="2">
        <v>46216</v>
      </c>
      <c r="F210" t="s">
        <v>123</v>
      </c>
      <c r="G210" t="s">
        <v>24</v>
      </c>
      <c r="H210" t="s">
        <v>870</v>
      </c>
      <c r="I210" t="s">
        <v>26</v>
      </c>
      <c r="J210" t="s">
        <v>871</v>
      </c>
      <c r="K210" t="s">
        <v>207</v>
      </c>
      <c r="L210" t="s">
        <v>29</v>
      </c>
      <c r="M210" t="s">
        <v>254</v>
      </c>
      <c r="N210" t="s">
        <v>31</v>
      </c>
      <c r="O210" t="s">
        <v>31</v>
      </c>
      <c r="P210" t="s">
        <v>872</v>
      </c>
      <c r="Q210" s="3" t="s">
        <v>873</v>
      </c>
    </row>
    <row r="211" spans="1:17" ht="15.6" x14ac:dyDescent="0.3">
      <c r="A211" s="2">
        <v>46192</v>
      </c>
      <c r="B211">
        <v>293</v>
      </c>
      <c r="C211" t="s">
        <v>874</v>
      </c>
      <c r="D211" s="2">
        <v>46192</v>
      </c>
      <c r="E211" s="2">
        <v>46213</v>
      </c>
      <c r="F211" t="s">
        <v>23</v>
      </c>
      <c r="G211" t="s">
        <v>24</v>
      </c>
      <c r="H211" t="s">
        <v>875</v>
      </c>
      <c r="I211" t="s">
        <v>26</v>
      </c>
      <c r="J211" t="s">
        <v>876</v>
      </c>
      <c r="K211" t="s">
        <v>207</v>
      </c>
      <c r="L211" t="s">
        <v>29</v>
      </c>
      <c r="M211" t="s">
        <v>238</v>
      </c>
      <c r="N211" t="s">
        <v>31</v>
      </c>
      <c r="O211" t="s">
        <v>31</v>
      </c>
      <c r="P211" t="s">
        <v>877</v>
      </c>
      <c r="Q211" s="3" t="s">
        <v>878</v>
      </c>
    </row>
    <row r="212" spans="1:17" ht="15.6" x14ac:dyDescent="0.3">
      <c r="A212" s="2">
        <v>46192</v>
      </c>
      <c r="B212">
        <v>292</v>
      </c>
      <c r="C212" t="s">
        <v>879</v>
      </c>
      <c r="D212" s="2">
        <v>46192</v>
      </c>
      <c r="E212" s="2">
        <v>46216</v>
      </c>
      <c r="F212" t="s">
        <v>181</v>
      </c>
      <c r="G212" t="s">
        <v>24</v>
      </c>
      <c r="H212" t="s">
        <v>880</v>
      </c>
      <c r="I212" t="s">
        <v>26</v>
      </c>
      <c r="J212" t="s">
        <v>199</v>
      </c>
      <c r="K212" t="s">
        <v>184</v>
      </c>
      <c r="L212" t="s">
        <v>29</v>
      </c>
      <c r="M212" t="s">
        <v>881</v>
      </c>
      <c r="N212" t="s">
        <v>31</v>
      </c>
      <c r="O212" t="s">
        <v>29</v>
      </c>
      <c r="P212" t="s">
        <v>882</v>
      </c>
      <c r="Q212" s="3" t="s">
        <v>883</v>
      </c>
    </row>
    <row r="213" spans="1:17" ht="15.6" x14ac:dyDescent="0.3">
      <c r="A213" s="2">
        <v>46192</v>
      </c>
      <c r="B213">
        <v>291</v>
      </c>
      <c r="C213" t="s">
        <v>884</v>
      </c>
      <c r="D213" s="2">
        <v>46192</v>
      </c>
      <c r="E213" s="2">
        <v>46213</v>
      </c>
      <c r="F213" t="s">
        <v>23</v>
      </c>
      <c r="G213" t="s">
        <v>24</v>
      </c>
      <c r="H213" t="s">
        <v>885</v>
      </c>
      <c r="I213" t="s">
        <v>26</v>
      </c>
      <c r="J213" t="s">
        <v>886</v>
      </c>
      <c r="K213" t="s">
        <v>42</v>
      </c>
      <c r="L213" t="s">
        <v>29</v>
      </c>
      <c r="M213" t="s">
        <v>49</v>
      </c>
      <c r="N213" t="s">
        <v>29</v>
      </c>
      <c r="O213" t="s">
        <v>29</v>
      </c>
      <c r="P213" t="s">
        <v>64</v>
      </c>
      <c r="Q213" s="3" t="s">
        <v>887</v>
      </c>
    </row>
    <row r="214" spans="1:17" ht="15.6" x14ac:dyDescent="0.3">
      <c r="A214" s="2">
        <v>46192</v>
      </c>
      <c r="B214">
        <v>290</v>
      </c>
      <c r="C214" t="s">
        <v>888</v>
      </c>
      <c r="D214" s="2">
        <v>46192</v>
      </c>
      <c r="E214" s="2">
        <v>46213</v>
      </c>
      <c r="F214" t="s">
        <v>23</v>
      </c>
      <c r="G214" t="s">
        <v>252</v>
      </c>
      <c r="H214" t="s">
        <v>889</v>
      </c>
      <c r="I214" t="s">
        <v>26</v>
      </c>
      <c r="J214" t="s">
        <v>516</v>
      </c>
      <c r="K214" t="s">
        <v>42</v>
      </c>
      <c r="L214" t="s">
        <v>29</v>
      </c>
      <c r="M214" t="s">
        <v>310</v>
      </c>
      <c r="N214" t="s">
        <v>29</v>
      </c>
      <c r="O214" t="s">
        <v>29</v>
      </c>
      <c r="P214" t="s">
        <v>64</v>
      </c>
      <c r="Q214" s="3" t="s">
        <v>890</v>
      </c>
    </row>
    <row r="215" spans="1:17" ht="15.6" x14ac:dyDescent="0.3">
      <c r="A215" s="2">
        <v>46192</v>
      </c>
      <c r="B215">
        <v>289</v>
      </c>
      <c r="C215" t="s">
        <v>891</v>
      </c>
      <c r="D215" s="2">
        <v>46192</v>
      </c>
      <c r="E215" s="2">
        <v>46213</v>
      </c>
      <c r="F215" t="s">
        <v>23</v>
      </c>
      <c r="G215" t="s">
        <v>24</v>
      </c>
      <c r="H215" t="s">
        <v>892</v>
      </c>
      <c r="I215" t="s">
        <v>26</v>
      </c>
      <c r="J215" t="s">
        <v>893</v>
      </c>
      <c r="K215" t="s">
        <v>42</v>
      </c>
      <c r="L215" t="s">
        <v>29</v>
      </c>
      <c r="M215" t="s">
        <v>171</v>
      </c>
      <c r="N215" t="s">
        <v>29</v>
      </c>
      <c r="O215" t="s">
        <v>29</v>
      </c>
      <c r="P215" t="s">
        <v>64</v>
      </c>
      <c r="Q215" s="3" t="s">
        <v>894</v>
      </c>
    </row>
    <row r="216" spans="1:17" ht="15.6" x14ac:dyDescent="0.3">
      <c r="A216" s="2">
        <v>46192</v>
      </c>
      <c r="B216">
        <v>288</v>
      </c>
      <c r="C216" t="s">
        <v>895</v>
      </c>
      <c r="D216" s="2">
        <v>46192</v>
      </c>
      <c r="E216" s="2">
        <v>46213</v>
      </c>
      <c r="F216" t="s">
        <v>23</v>
      </c>
      <c r="G216" t="s">
        <v>24</v>
      </c>
      <c r="H216" t="s">
        <v>896</v>
      </c>
      <c r="I216" t="s">
        <v>26</v>
      </c>
      <c r="J216" t="s">
        <v>893</v>
      </c>
      <c r="K216" t="s">
        <v>42</v>
      </c>
      <c r="L216" t="s">
        <v>29</v>
      </c>
      <c r="M216" t="s">
        <v>310</v>
      </c>
      <c r="N216" t="s">
        <v>29</v>
      </c>
      <c r="O216" t="s">
        <v>29</v>
      </c>
      <c r="P216" t="s">
        <v>64</v>
      </c>
      <c r="Q216" s="3" t="s">
        <v>897</v>
      </c>
    </row>
    <row r="217" spans="1:17" ht="15.6" x14ac:dyDescent="0.3">
      <c r="A217" s="2">
        <v>46192</v>
      </c>
      <c r="B217">
        <v>287</v>
      </c>
      <c r="C217" t="s">
        <v>898</v>
      </c>
      <c r="D217" s="2">
        <v>46192</v>
      </c>
      <c r="E217" s="2">
        <v>46216</v>
      </c>
      <c r="F217" t="s">
        <v>181</v>
      </c>
      <c r="G217" t="s">
        <v>24</v>
      </c>
      <c r="H217" t="s">
        <v>899</v>
      </c>
      <c r="I217" t="s">
        <v>26</v>
      </c>
      <c r="J217" t="s">
        <v>199</v>
      </c>
      <c r="K217" t="s">
        <v>184</v>
      </c>
      <c r="L217" t="s">
        <v>29</v>
      </c>
      <c r="M217" t="s">
        <v>30</v>
      </c>
      <c r="N217" t="s">
        <v>31</v>
      </c>
      <c r="O217" t="s">
        <v>29</v>
      </c>
      <c r="P217" t="s">
        <v>900</v>
      </c>
      <c r="Q217" s="3" t="s">
        <v>901</v>
      </c>
    </row>
    <row r="218" spans="1:17" ht="15.6" x14ac:dyDescent="0.3">
      <c r="A218" s="2">
        <v>46192</v>
      </c>
      <c r="B218">
        <v>286</v>
      </c>
      <c r="C218" t="s">
        <v>902</v>
      </c>
      <c r="D218" s="2">
        <v>46192</v>
      </c>
      <c r="E218" s="2">
        <v>46216</v>
      </c>
      <c r="F218" t="s">
        <v>123</v>
      </c>
      <c r="G218" t="s">
        <v>24</v>
      </c>
      <c r="H218" t="s">
        <v>903</v>
      </c>
      <c r="I218" t="s">
        <v>26</v>
      </c>
      <c r="J218" t="s">
        <v>288</v>
      </c>
      <c r="K218" t="s">
        <v>184</v>
      </c>
      <c r="L218" t="s">
        <v>29</v>
      </c>
      <c r="M218" t="s">
        <v>171</v>
      </c>
      <c r="N218" t="s">
        <v>31</v>
      </c>
      <c r="O218" t="s">
        <v>31</v>
      </c>
      <c r="P218" t="s">
        <v>904</v>
      </c>
      <c r="Q218" s="3" t="s">
        <v>905</v>
      </c>
    </row>
    <row r="219" spans="1:17" ht="15.6" x14ac:dyDescent="0.3">
      <c r="A219" s="2">
        <v>46192</v>
      </c>
      <c r="B219">
        <v>285</v>
      </c>
      <c r="C219" t="s">
        <v>906</v>
      </c>
      <c r="D219" s="2">
        <v>46192</v>
      </c>
      <c r="E219" s="2">
        <v>46216</v>
      </c>
      <c r="F219" t="s">
        <v>123</v>
      </c>
      <c r="G219" t="s">
        <v>252</v>
      </c>
      <c r="H219" t="s">
        <v>907</v>
      </c>
      <c r="I219" t="s">
        <v>26</v>
      </c>
      <c r="J219" t="s">
        <v>394</v>
      </c>
      <c r="K219" t="s">
        <v>207</v>
      </c>
      <c r="L219" t="s">
        <v>29</v>
      </c>
      <c r="M219" t="s">
        <v>30</v>
      </c>
      <c r="N219" t="s">
        <v>29</v>
      </c>
      <c r="O219" t="s">
        <v>29</v>
      </c>
      <c r="P219" t="s">
        <v>64</v>
      </c>
      <c r="Q219" s="3" t="s">
        <v>908</v>
      </c>
    </row>
    <row r="220" spans="1:17" ht="15.6" x14ac:dyDescent="0.3">
      <c r="A220" s="2">
        <v>46192</v>
      </c>
      <c r="B220">
        <v>284</v>
      </c>
      <c r="C220" t="s">
        <v>909</v>
      </c>
      <c r="D220" s="2">
        <v>46192</v>
      </c>
      <c r="E220" s="2">
        <v>46213</v>
      </c>
      <c r="F220" t="s">
        <v>23</v>
      </c>
      <c r="G220" t="s">
        <v>24</v>
      </c>
      <c r="H220" t="s">
        <v>910</v>
      </c>
      <c r="I220" t="s">
        <v>26</v>
      </c>
      <c r="J220" t="s">
        <v>911</v>
      </c>
      <c r="K220" t="s">
        <v>184</v>
      </c>
      <c r="L220" t="s">
        <v>29</v>
      </c>
      <c r="M220" t="s">
        <v>134</v>
      </c>
      <c r="N220" t="s">
        <v>29</v>
      </c>
      <c r="O220" t="s">
        <v>29</v>
      </c>
      <c r="P220" t="s">
        <v>64</v>
      </c>
      <c r="Q220" s="3" t="s">
        <v>912</v>
      </c>
    </row>
    <row r="221" spans="1:17" ht="15.6" x14ac:dyDescent="0.3">
      <c r="A221" s="2">
        <v>46192</v>
      </c>
      <c r="B221">
        <v>283</v>
      </c>
      <c r="C221" t="s">
        <v>913</v>
      </c>
      <c r="D221" s="2">
        <v>46192</v>
      </c>
      <c r="E221" s="2">
        <v>46213</v>
      </c>
      <c r="F221" t="s">
        <v>23</v>
      </c>
      <c r="G221" t="s">
        <v>24</v>
      </c>
      <c r="H221" t="s">
        <v>914</v>
      </c>
      <c r="I221" t="s">
        <v>26</v>
      </c>
      <c r="J221" t="s">
        <v>915</v>
      </c>
      <c r="K221" t="s">
        <v>150</v>
      </c>
      <c r="L221" t="s">
        <v>29</v>
      </c>
      <c r="M221" t="s">
        <v>310</v>
      </c>
      <c r="N221" t="s">
        <v>29</v>
      </c>
      <c r="O221" t="s">
        <v>29</v>
      </c>
      <c r="P221" t="s">
        <v>64</v>
      </c>
      <c r="Q221" s="3" t="s">
        <v>916</v>
      </c>
    </row>
    <row r="222" spans="1:17" ht="15.6" x14ac:dyDescent="0.3">
      <c r="A222" s="2">
        <v>46192</v>
      </c>
      <c r="B222">
        <v>282</v>
      </c>
      <c r="C222" t="s">
        <v>917</v>
      </c>
      <c r="D222" s="2">
        <v>46192</v>
      </c>
      <c r="E222" s="2">
        <v>46213</v>
      </c>
      <c r="F222" t="s">
        <v>23</v>
      </c>
      <c r="G222" t="s">
        <v>24</v>
      </c>
      <c r="H222" t="s">
        <v>918</v>
      </c>
      <c r="I222" t="s">
        <v>26</v>
      </c>
      <c r="J222" t="s">
        <v>915</v>
      </c>
      <c r="K222" t="s">
        <v>150</v>
      </c>
      <c r="L222" t="s">
        <v>29</v>
      </c>
      <c r="M222" t="s">
        <v>310</v>
      </c>
      <c r="N222" t="s">
        <v>29</v>
      </c>
      <c r="O222" t="s">
        <v>29</v>
      </c>
      <c r="P222" t="s">
        <v>64</v>
      </c>
      <c r="Q222" s="3" t="s">
        <v>919</v>
      </c>
    </row>
    <row r="223" spans="1:17" ht="15.6" x14ac:dyDescent="0.3">
      <c r="A223" s="2">
        <v>46192</v>
      </c>
      <c r="B223">
        <v>281</v>
      </c>
      <c r="C223" t="s">
        <v>920</v>
      </c>
      <c r="D223" s="2">
        <v>46192</v>
      </c>
      <c r="E223" s="2">
        <v>46213</v>
      </c>
      <c r="F223" t="s">
        <v>23</v>
      </c>
      <c r="G223" t="s">
        <v>24</v>
      </c>
      <c r="H223" t="s">
        <v>921</v>
      </c>
      <c r="I223" t="s">
        <v>26</v>
      </c>
      <c r="J223" t="s">
        <v>915</v>
      </c>
      <c r="K223" t="s">
        <v>150</v>
      </c>
      <c r="L223" t="s">
        <v>29</v>
      </c>
      <c r="M223" t="s">
        <v>310</v>
      </c>
      <c r="N223" t="s">
        <v>29</v>
      </c>
      <c r="O223" t="s">
        <v>29</v>
      </c>
      <c r="P223" t="s">
        <v>64</v>
      </c>
      <c r="Q223" s="3" t="s">
        <v>922</v>
      </c>
    </row>
    <row r="224" spans="1:17" ht="15.6" x14ac:dyDescent="0.3">
      <c r="A224" s="2">
        <v>46192</v>
      </c>
      <c r="B224">
        <v>280</v>
      </c>
      <c r="C224" t="s">
        <v>923</v>
      </c>
      <c r="D224" s="2">
        <v>46192</v>
      </c>
      <c r="E224" s="2">
        <v>46213</v>
      </c>
      <c r="F224" t="s">
        <v>23</v>
      </c>
      <c r="G224" t="s">
        <v>24</v>
      </c>
      <c r="H224" t="s">
        <v>924</v>
      </c>
      <c r="I224" t="s">
        <v>26</v>
      </c>
      <c r="J224" t="s">
        <v>915</v>
      </c>
      <c r="K224" t="s">
        <v>150</v>
      </c>
      <c r="L224" t="s">
        <v>29</v>
      </c>
      <c r="M224" t="s">
        <v>310</v>
      </c>
      <c r="N224" t="s">
        <v>29</v>
      </c>
      <c r="O224" t="s">
        <v>29</v>
      </c>
      <c r="P224" t="s">
        <v>64</v>
      </c>
      <c r="Q224" s="3" t="s">
        <v>925</v>
      </c>
    </row>
    <row r="225" spans="1:17" ht="15.6" x14ac:dyDescent="0.3">
      <c r="A225" s="2">
        <v>46192</v>
      </c>
      <c r="B225">
        <v>279</v>
      </c>
      <c r="C225" t="s">
        <v>926</v>
      </c>
      <c r="D225" s="2">
        <v>46192</v>
      </c>
      <c r="E225" s="2">
        <v>46213</v>
      </c>
      <c r="F225" t="s">
        <v>23</v>
      </c>
      <c r="G225" t="s">
        <v>24</v>
      </c>
      <c r="H225" t="s">
        <v>927</v>
      </c>
      <c r="I225" t="s">
        <v>26</v>
      </c>
      <c r="J225" t="s">
        <v>915</v>
      </c>
      <c r="K225" t="s">
        <v>150</v>
      </c>
      <c r="L225" t="s">
        <v>29</v>
      </c>
      <c r="M225" t="s">
        <v>310</v>
      </c>
      <c r="N225" t="s">
        <v>29</v>
      </c>
      <c r="O225" t="s">
        <v>29</v>
      </c>
      <c r="P225" t="s">
        <v>64</v>
      </c>
      <c r="Q225" s="3" t="s">
        <v>928</v>
      </c>
    </row>
    <row r="226" spans="1:17" ht="15.6" x14ac:dyDescent="0.3">
      <c r="A226" s="2">
        <v>46192</v>
      </c>
      <c r="B226">
        <v>278</v>
      </c>
      <c r="C226" t="s">
        <v>929</v>
      </c>
      <c r="D226" s="2">
        <v>46192</v>
      </c>
      <c r="E226" s="2">
        <v>46213</v>
      </c>
      <c r="F226" t="s">
        <v>23</v>
      </c>
      <c r="G226" t="s">
        <v>24</v>
      </c>
      <c r="H226" t="s">
        <v>930</v>
      </c>
      <c r="I226" t="s">
        <v>26</v>
      </c>
      <c r="J226" t="s">
        <v>915</v>
      </c>
      <c r="K226" t="s">
        <v>150</v>
      </c>
      <c r="L226" t="s">
        <v>29</v>
      </c>
      <c r="M226" t="s">
        <v>310</v>
      </c>
      <c r="N226" t="s">
        <v>29</v>
      </c>
      <c r="O226" t="s">
        <v>29</v>
      </c>
      <c r="P226" t="s">
        <v>64</v>
      </c>
      <c r="Q226" s="3" t="s">
        <v>931</v>
      </c>
    </row>
    <row r="227" spans="1:17" ht="15.6" x14ac:dyDescent="0.3">
      <c r="A227" s="2">
        <v>46192</v>
      </c>
      <c r="B227">
        <v>277</v>
      </c>
      <c r="C227" t="s">
        <v>932</v>
      </c>
      <c r="D227" s="2">
        <v>46192</v>
      </c>
      <c r="E227" s="2">
        <v>46213</v>
      </c>
      <c r="F227" t="s">
        <v>23</v>
      </c>
      <c r="G227" t="s">
        <v>24</v>
      </c>
      <c r="H227" t="s">
        <v>933</v>
      </c>
      <c r="I227" t="s">
        <v>26</v>
      </c>
      <c r="J227" t="s">
        <v>915</v>
      </c>
      <c r="K227" t="s">
        <v>150</v>
      </c>
      <c r="L227" t="s">
        <v>29</v>
      </c>
      <c r="M227" t="s">
        <v>310</v>
      </c>
      <c r="N227" t="s">
        <v>29</v>
      </c>
      <c r="O227" t="s">
        <v>29</v>
      </c>
      <c r="P227" t="s">
        <v>64</v>
      </c>
      <c r="Q227" s="3" t="s">
        <v>934</v>
      </c>
    </row>
    <row r="228" spans="1:17" ht="15.6" x14ac:dyDescent="0.3">
      <c r="A228" s="2">
        <v>46192</v>
      </c>
      <c r="B228">
        <v>276</v>
      </c>
      <c r="C228" t="s">
        <v>935</v>
      </c>
      <c r="D228" s="2">
        <v>46192</v>
      </c>
      <c r="E228" s="2">
        <v>46213</v>
      </c>
      <c r="F228" t="s">
        <v>23</v>
      </c>
      <c r="G228" t="s">
        <v>24</v>
      </c>
      <c r="H228" t="s">
        <v>936</v>
      </c>
      <c r="I228" t="s">
        <v>26</v>
      </c>
      <c r="J228" t="s">
        <v>915</v>
      </c>
      <c r="K228" t="s">
        <v>150</v>
      </c>
      <c r="L228" t="s">
        <v>29</v>
      </c>
      <c r="M228" t="s">
        <v>310</v>
      </c>
      <c r="N228" t="s">
        <v>29</v>
      </c>
      <c r="O228" t="s">
        <v>29</v>
      </c>
      <c r="P228" t="s">
        <v>64</v>
      </c>
      <c r="Q228" s="3" t="s">
        <v>937</v>
      </c>
    </row>
    <row r="229" spans="1:17" ht="15.6" x14ac:dyDescent="0.3">
      <c r="A229" s="2">
        <v>46192</v>
      </c>
      <c r="B229">
        <v>275</v>
      </c>
      <c r="C229" t="s">
        <v>938</v>
      </c>
      <c r="D229" s="2">
        <v>46192</v>
      </c>
      <c r="E229" s="2">
        <v>46213</v>
      </c>
      <c r="F229" t="s">
        <v>23</v>
      </c>
      <c r="G229" t="s">
        <v>24</v>
      </c>
      <c r="H229" t="s">
        <v>939</v>
      </c>
      <c r="I229" t="s">
        <v>26</v>
      </c>
      <c r="J229" t="s">
        <v>915</v>
      </c>
      <c r="K229" t="s">
        <v>150</v>
      </c>
      <c r="L229" t="s">
        <v>29</v>
      </c>
      <c r="M229" t="s">
        <v>310</v>
      </c>
      <c r="N229" t="s">
        <v>29</v>
      </c>
      <c r="O229" t="s">
        <v>29</v>
      </c>
      <c r="P229" t="s">
        <v>64</v>
      </c>
      <c r="Q229" s="3" t="s">
        <v>940</v>
      </c>
    </row>
    <row r="230" spans="1:17" ht="15.6" x14ac:dyDescent="0.3">
      <c r="A230" s="2">
        <v>46192</v>
      </c>
      <c r="B230">
        <v>274</v>
      </c>
      <c r="C230" t="s">
        <v>941</v>
      </c>
      <c r="D230" s="2">
        <v>46192</v>
      </c>
      <c r="E230" s="2">
        <v>46213</v>
      </c>
      <c r="F230" t="s">
        <v>23</v>
      </c>
      <c r="G230" t="s">
        <v>24</v>
      </c>
      <c r="H230" t="s">
        <v>942</v>
      </c>
      <c r="I230" t="s">
        <v>26</v>
      </c>
      <c r="J230" t="s">
        <v>943</v>
      </c>
      <c r="K230" t="s">
        <v>150</v>
      </c>
      <c r="L230" t="s">
        <v>29</v>
      </c>
      <c r="M230" t="s">
        <v>128</v>
      </c>
      <c r="N230" t="s">
        <v>31</v>
      </c>
      <c r="O230" t="s">
        <v>31</v>
      </c>
      <c r="P230" t="s">
        <v>659</v>
      </c>
      <c r="Q230" s="3" t="s">
        <v>944</v>
      </c>
    </row>
    <row r="231" spans="1:17" ht="15.6" x14ac:dyDescent="0.3">
      <c r="A231" s="2">
        <v>46192</v>
      </c>
      <c r="B231">
        <v>273</v>
      </c>
      <c r="C231" t="s">
        <v>945</v>
      </c>
      <c r="D231" s="2">
        <v>46192</v>
      </c>
      <c r="E231" s="2">
        <v>46213</v>
      </c>
      <c r="F231" t="s">
        <v>23</v>
      </c>
      <c r="G231" t="s">
        <v>24</v>
      </c>
      <c r="H231" t="s">
        <v>946</v>
      </c>
      <c r="I231" t="s">
        <v>26</v>
      </c>
      <c r="J231" t="s">
        <v>915</v>
      </c>
      <c r="K231" t="s">
        <v>150</v>
      </c>
      <c r="L231" t="s">
        <v>29</v>
      </c>
      <c r="M231" t="s">
        <v>310</v>
      </c>
      <c r="N231" t="s">
        <v>29</v>
      </c>
      <c r="O231" t="s">
        <v>29</v>
      </c>
      <c r="P231" t="s">
        <v>64</v>
      </c>
      <c r="Q231" s="3" t="s">
        <v>947</v>
      </c>
    </row>
    <row r="232" spans="1:17" ht="15.6" x14ac:dyDescent="0.3">
      <c r="A232" s="2">
        <v>46192</v>
      </c>
      <c r="B232">
        <v>272</v>
      </c>
      <c r="C232" t="s">
        <v>948</v>
      </c>
      <c r="D232" s="2">
        <v>46192</v>
      </c>
      <c r="E232" s="2">
        <v>46213</v>
      </c>
      <c r="F232" t="s">
        <v>23</v>
      </c>
      <c r="G232" t="s">
        <v>24</v>
      </c>
      <c r="H232" t="s">
        <v>949</v>
      </c>
      <c r="I232" t="s">
        <v>26</v>
      </c>
      <c r="J232" t="s">
        <v>915</v>
      </c>
      <c r="K232" t="s">
        <v>150</v>
      </c>
      <c r="L232" t="s">
        <v>29</v>
      </c>
      <c r="M232" t="s">
        <v>310</v>
      </c>
      <c r="N232" t="s">
        <v>29</v>
      </c>
      <c r="O232" t="s">
        <v>29</v>
      </c>
      <c r="P232" t="s">
        <v>64</v>
      </c>
      <c r="Q232" s="3" t="s">
        <v>950</v>
      </c>
    </row>
    <row r="233" spans="1:17" ht="15.6" x14ac:dyDescent="0.3">
      <c r="A233" s="2">
        <v>46192</v>
      </c>
      <c r="B233">
        <v>271</v>
      </c>
      <c r="C233" t="s">
        <v>951</v>
      </c>
      <c r="D233" s="2">
        <v>46192</v>
      </c>
      <c r="E233" s="2">
        <v>46213</v>
      </c>
      <c r="F233" t="s">
        <v>23</v>
      </c>
      <c r="G233" t="s">
        <v>24</v>
      </c>
      <c r="H233" t="s">
        <v>952</v>
      </c>
      <c r="I233" t="s">
        <v>26</v>
      </c>
      <c r="J233" t="s">
        <v>915</v>
      </c>
      <c r="K233" t="s">
        <v>150</v>
      </c>
      <c r="L233" t="s">
        <v>29</v>
      </c>
      <c r="M233" t="s">
        <v>310</v>
      </c>
      <c r="N233" t="s">
        <v>29</v>
      </c>
      <c r="O233" t="s">
        <v>29</v>
      </c>
      <c r="P233" t="s">
        <v>64</v>
      </c>
      <c r="Q233" s="3" t="s">
        <v>953</v>
      </c>
    </row>
    <row r="234" spans="1:17" ht="15.6" x14ac:dyDescent="0.3">
      <c r="A234" s="2">
        <v>46192</v>
      </c>
      <c r="B234">
        <v>270</v>
      </c>
      <c r="C234" t="s">
        <v>954</v>
      </c>
      <c r="D234" s="2">
        <v>46192</v>
      </c>
      <c r="E234" s="2">
        <v>46213</v>
      </c>
      <c r="F234" t="s">
        <v>23</v>
      </c>
      <c r="G234" t="s">
        <v>24</v>
      </c>
      <c r="H234" t="s">
        <v>955</v>
      </c>
      <c r="I234" t="s">
        <v>26</v>
      </c>
      <c r="J234" t="s">
        <v>915</v>
      </c>
      <c r="K234" t="s">
        <v>150</v>
      </c>
      <c r="L234" t="s">
        <v>29</v>
      </c>
      <c r="M234" t="s">
        <v>310</v>
      </c>
      <c r="N234" t="s">
        <v>29</v>
      </c>
      <c r="O234" t="s">
        <v>29</v>
      </c>
      <c r="P234" t="s">
        <v>64</v>
      </c>
      <c r="Q234" s="3" t="s">
        <v>956</v>
      </c>
    </row>
    <row r="235" spans="1:17" ht="15.6" x14ac:dyDescent="0.3">
      <c r="A235" s="2">
        <v>46192</v>
      </c>
      <c r="B235">
        <v>269</v>
      </c>
      <c r="C235" t="s">
        <v>957</v>
      </c>
      <c r="D235" s="2">
        <v>46192</v>
      </c>
      <c r="E235" s="2">
        <v>46213</v>
      </c>
      <c r="F235" t="s">
        <v>23</v>
      </c>
      <c r="G235" t="s">
        <v>24</v>
      </c>
      <c r="H235" t="s">
        <v>958</v>
      </c>
      <c r="I235" t="s">
        <v>26</v>
      </c>
      <c r="J235" t="s">
        <v>915</v>
      </c>
      <c r="K235" t="s">
        <v>150</v>
      </c>
      <c r="L235" t="s">
        <v>29</v>
      </c>
      <c r="M235" t="s">
        <v>310</v>
      </c>
      <c r="N235" t="s">
        <v>29</v>
      </c>
      <c r="O235" t="s">
        <v>29</v>
      </c>
      <c r="P235" t="s">
        <v>64</v>
      </c>
      <c r="Q235" s="3" t="s">
        <v>959</v>
      </c>
    </row>
    <row r="236" spans="1:17" ht="15.6" x14ac:dyDescent="0.3">
      <c r="A236" s="2">
        <v>46192</v>
      </c>
      <c r="B236">
        <v>268</v>
      </c>
      <c r="C236" t="s">
        <v>960</v>
      </c>
      <c r="D236" s="2">
        <v>46192</v>
      </c>
      <c r="E236" s="2">
        <v>46213</v>
      </c>
      <c r="F236" t="s">
        <v>23</v>
      </c>
      <c r="G236" t="s">
        <v>24</v>
      </c>
      <c r="H236" t="s">
        <v>961</v>
      </c>
      <c r="I236" t="s">
        <v>26</v>
      </c>
      <c r="J236" t="s">
        <v>915</v>
      </c>
      <c r="K236" t="s">
        <v>150</v>
      </c>
      <c r="L236" t="s">
        <v>29</v>
      </c>
      <c r="M236" t="s">
        <v>310</v>
      </c>
      <c r="N236" t="s">
        <v>29</v>
      </c>
      <c r="O236" t="s">
        <v>29</v>
      </c>
      <c r="P236" t="s">
        <v>64</v>
      </c>
      <c r="Q236" s="3" t="s">
        <v>962</v>
      </c>
    </row>
    <row r="237" spans="1:17" ht="15.6" x14ac:dyDescent="0.3">
      <c r="A237" s="2">
        <v>46192</v>
      </c>
      <c r="B237">
        <v>267</v>
      </c>
      <c r="C237" t="s">
        <v>963</v>
      </c>
      <c r="D237" s="2">
        <v>46192</v>
      </c>
      <c r="E237" s="2">
        <v>46213</v>
      </c>
      <c r="F237" t="s">
        <v>23</v>
      </c>
      <c r="G237" t="s">
        <v>24</v>
      </c>
      <c r="H237" t="s">
        <v>964</v>
      </c>
      <c r="I237" t="s">
        <v>26</v>
      </c>
      <c r="J237" t="s">
        <v>915</v>
      </c>
      <c r="K237" t="s">
        <v>150</v>
      </c>
      <c r="L237" t="s">
        <v>29</v>
      </c>
      <c r="M237" t="s">
        <v>310</v>
      </c>
      <c r="N237" t="s">
        <v>29</v>
      </c>
      <c r="O237" t="s">
        <v>29</v>
      </c>
      <c r="P237" t="s">
        <v>64</v>
      </c>
      <c r="Q237" s="3" t="s">
        <v>965</v>
      </c>
    </row>
    <row r="238" spans="1:17" ht="15.6" x14ac:dyDescent="0.3">
      <c r="A238" s="2">
        <v>46192</v>
      </c>
      <c r="B238">
        <v>266</v>
      </c>
      <c r="C238" t="s">
        <v>966</v>
      </c>
      <c r="D238" s="2">
        <v>46192</v>
      </c>
      <c r="E238" s="2">
        <v>46213</v>
      </c>
      <c r="F238" t="s">
        <v>23</v>
      </c>
      <c r="G238" t="s">
        <v>24</v>
      </c>
      <c r="H238" t="s">
        <v>967</v>
      </c>
      <c r="I238" t="s">
        <v>26</v>
      </c>
      <c r="J238" t="s">
        <v>915</v>
      </c>
      <c r="K238" t="s">
        <v>150</v>
      </c>
      <c r="L238" t="s">
        <v>29</v>
      </c>
      <c r="M238" t="s">
        <v>310</v>
      </c>
      <c r="N238" t="s">
        <v>29</v>
      </c>
      <c r="O238" t="s">
        <v>29</v>
      </c>
      <c r="P238" t="s">
        <v>64</v>
      </c>
      <c r="Q238" s="3" t="s">
        <v>968</v>
      </c>
    </row>
    <row r="239" spans="1:17" ht="15.6" x14ac:dyDescent="0.3">
      <c r="A239" s="2">
        <v>46192</v>
      </c>
      <c r="B239">
        <v>265</v>
      </c>
      <c r="C239" t="s">
        <v>969</v>
      </c>
      <c r="D239" s="2">
        <v>46192</v>
      </c>
      <c r="E239" s="2">
        <v>46213</v>
      </c>
      <c r="F239" t="s">
        <v>23</v>
      </c>
      <c r="G239" t="s">
        <v>24</v>
      </c>
      <c r="H239" t="s">
        <v>970</v>
      </c>
      <c r="I239" t="s">
        <v>26</v>
      </c>
      <c r="J239" t="s">
        <v>915</v>
      </c>
      <c r="K239" t="s">
        <v>150</v>
      </c>
      <c r="L239" t="s">
        <v>29</v>
      </c>
      <c r="M239" t="s">
        <v>310</v>
      </c>
      <c r="N239" t="s">
        <v>29</v>
      </c>
      <c r="O239" t="s">
        <v>29</v>
      </c>
      <c r="P239" t="s">
        <v>64</v>
      </c>
      <c r="Q239" s="3" t="s">
        <v>971</v>
      </c>
    </row>
    <row r="240" spans="1:17" ht="15.6" x14ac:dyDescent="0.3">
      <c r="A240" s="2">
        <v>46192</v>
      </c>
      <c r="B240">
        <v>264</v>
      </c>
      <c r="C240" t="s">
        <v>972</v>
      </c>
      <c r="D240" s="2">
        <v>46192</v>
      </c>
      <c r="E240" s="2">
        <v>46213</v>
      </c>
      <c r="F240" t="s">
        <v>23</v>
      </c>
      <c r="G240" t="s">
        <v>24</v>
      </c>
      <c r="H240" t="s">
        <v>973</v>
      </c>
      <c r="I240" t="s">
        <v>26</v>
      </c>
      <c r="J240" t="s">
        <v>915</v>
      </c>
      <c r="K240" t="s">
        <v>150</v>
      </c>
      <c r="L240" t="s">
        <v>29</v>
      </c>
      <c r="M240" t="s">
        <v>310</v>
      </c>
      <c r="N240" t="s">
        <v>29</v>
      </c>
      <c r="O240" t="s">
        <v>29</v>
      </c>
      <c r="P240" t="s">
        <v>64</v>
      </c>
      <c r="Q240" s="3" t="s">
        <v>974</v>
      </c>
    </row>
    <row r="241" spans="1:17" ht="15.6" x14ac:dyDescent="0.3">
      <c r="A241" s="2">
        <v>46192</v>
      </c>
      <c r="B241">
        <v>263</v>
      </c>
      <c r="C241" t="s">
        <v>975</v>
      </c>
      <c r="D241" s="2">
        <v>46192</v>
      </c>
      <c r="E241" s="2">
        <v>46213</v>
      </c>
      <c r="F241" t="s">
        <v>23</v>
      </c>
      <c r="G241" t="s">
        <v>24</v>
      </c>
      <c r="H241" t="s">
        <v>976</v>
      </c>
      <c r="I241" t="s">
        <v>26</v>
      </c>
      <c r="J241" t="s">
        <v>915</v>
      </c>
      <c r="K241" t="s">
        <v>150</v>
      </c>
      <c r="L241" t="s">
        <v>29</v>
      </c>
      <c r="M241" t="s">
        <v>310</v>
      </c>
      <c r="N241" t="s">
        <v>29</v>
      </c>
      <c r="O241" t="s">
        <v>29</v>
      </c>
      <c r="P241" t="s">
        <v>64</v>
      </c>
      <c r="Q241" s="3" t="s">
        <v>977</v>
      </c>
    </row>
    <row r="242" spans="1:17" ht="15.6" x14ac:dyDescent="0.3">
      <c r="A242" s="2">
        <v>46192</v>
      </c>
      <c r="B242">
        <v>262</v>
      </c>
      <c r="C242" t="s">
        <v>978</v>
      </c>
      <c r="D242" s="2">
        <v>46192</v>
      </c>
      <c r="E242" s="2">
        <v>46213</v>
      </c>
      <c r="F242" t="s">
        <v>23</v>
      </c>
      <c r="G242" t="s">
        <v>24</v>
      </c>
      <c r="H242" t="s">
        <v>979</v>
      </c>
      <c r="I242" t="s">
        <v>26</v>
      </c>
      <c r="J242" t="s">
        <v>915</v>
      </c>
      <c r="K242" t="s">
        <v>150</v>
      </c>
      <c r="L242" t="s">
        <v>29</v>
      </c>
      <c r="M242" t="s">
        <v>310</v>
      </c>
      <c r="N242" t="s">
        <v>29</v>
      </c>
      <c r="O242" t="s">
        <v>29</v>
      </c>
      <c r="P242" t="s">
        <v>64</v>
      </c>
      <c r="Q242" s="3" t="s">
        <v>980</v>
      </c>
    </row>
    <row r="243" spans="1:17" ht="15.6" x14ac:dyDescent="0.3">
      <c r="A243" s="2">
        <v>46192</v>
      </c>
      <c r="B243">
        <v>261</v>
      </c>
      <c r="C243" t="s">
        <v>981</v>
      </c>
      <c r="D243" s="2">
        <v>46192</v>
      </c>
      <c r="E243" s="2">
        <v>46213</v>
      </c>
      <c r="F243" t="s">
        <v>23</v>
      </c>
      <c r="G243" t="s">
        <v>24</v>
      </c>
      <c r="H243" t="s">
        <v>982</v>
      </c>
      <c r="I243" t="s">
        <v>26</v>
      </c>
      <c r="J243" t="s">
        <v>915</v>
      </c>
      <c r="K243" t="s">
        <v>150</v>
      </c>
      <c r="L243" t="s">
        <v>29</v>
      </c>
      <c r="M243" t="s">
        <v>310</v>
      </c>
      <c r="N243" t="s">
        <v>29</v>
      </c>
      <c r="O243" t="s">
        <v>29</v>
      </c>
      <c r="P243" t="s">
        <v>64</v>
      </c>
      <c r="Q243" s="3" t="s">
        <v>983</v>
      </c>
    </row>
    <row r="244" spans="1:17" ht="15.6" x14ac:dyDescent="0.3">
      <c r="A244" s="2">
        <v>46192</v>
      </c>
      <c r="B244">
        <v>260</v>
      </c>
      <c r="C244" t="s">
        <v>984</v>
      </c>
      <c r="D244" s="2">
        <v>46192</v>
      </c>
      <c r="E244" s="2">
        <v>46213</v>
      </c>
      <c r="F244" t="s">
        <v>23</v>
      </c>
      <c r="G244" t="s">
        <v>24</v>
      </c>
      <c r="H244" t="s">
        <v>985</v>
      </c>
      <c r="I244" t="s">
        <v>26</v>
      </c>
      <c r="J244" t="s">
        <v>915</v>
      </c>
      <c r="K244" t="s">
        <v>150</v>
      </c>
      <c r="L244" t="s">
        <v>29</v>
      </c>
      <c r="M244" t="s">
        <v>310</v>
      </c>
      <c r="N244" t="s">
        <v>29</v>
      </c>
      <c r="O244" t="s">
        <v>29</v>
      </c>
      <c r="P244" t="s">
        <v>64</v>
      </c>
      <c r="Q244" s="3" t="s">
        <v>986</v>
      </c>
    </row>
    <row r="245" spans="1:17" ht="15.6" x14ac:dyDescent="0.3">
      <c r="A245" s="2">
        <v>46192</v>
      </c>
      <c r="B245">
        <v>259</v>
      </c>
      <c r="C245" t="s">
        <v>987</v>
      </c>
      <c r="D245" s="2">
        <v>46192</v>
      </c>
      <c r="E245" s="2">
        <v>46213</v>
      </c>
      <c r="F245" t="s">
        <v>23</v>
      </c>
      <c r="G245" t="s">
        <v>24</v>
      </c>
      <c r="H245" t="s">
        <v>988</v>
      </c>
      <c r="I245" t="s">
        <v>26</v>
      </c>
      <c r="J245" t="s">
        <v>915</v>
      </c>
      <c r="K245" t="s">
        <v>150</v>
      </c>
      <c r="L245" t="s">
        <v>29</v>
      </c>
      <c r="M245" t="s">
        <v>310</v>
      </c>
      <c r="N245" t="s">
        <v>29</v>
      </c>
      <c r="O245" t="s">
        <v>29</v>
      </c>
      <c r="P245" t="s">
        <v>64</v>
      </c>
      <c r="Q245" s="3" t="s">
        <v>989</v>
      </c>
    </row>
    <row r="246" spans="1:17" ht="15.6" x14ac:dyDescent="0.3">
      <c r="A246" s="2">
        <v>46192</v>
      </c>
      <c r="B246">
        <v>258</v>
      </c>
      <c r="C246" t="s">
        <v>990</v>
      </c>
      <c r="D246" s="2">
        <v>46192</v>
      </c>
      <c r="E246" s="2">
        <v>46213</v>
      </c>
      <c r="F246" t="s">
        <v>23</v>
      </c>
      <c r="G246" t="s">
        <v>24</v>
      </c>
      <c r="H246" t="s">
        <v>991</v>
      </c>
      <c r="I246" t="s">
        <v>26</v>
      </c>
      <c r="J246" t="s">
        <v>915</v>
      </c>
      <c r="K246" t="s">
        <v>150</v>
      </c>
      <c r="L246" t="s">
        <v>29</v>
      </c>
      <c r="M246" t="s">
        <v>310</v>
      </c>
      <c r="N246" t="s">
        <v>29</v>
      </c>
      <c r="O246" t="s">
        <v>29</v>
      </c>
      <c r="P246" t="s">
        <v>64</v>
      </c>
      <c r="Q246" s="3" t="s">
        <v>992</v>
      </c>
    </row>
    <row r="247" spans="1:17" ht="15.6" x14ac:dyDescent="0.3">
      <c r="A247" s="2">
        <v>46192</v>
      </c>
      <c r="B247">
        <v>257</v>
      </c>
      <c r="C247" t="s">
        <v>993</v>
      </c>
      <c r="D247" s="2">
        <v>46192</v>
      </c>
      <c r="E247" s="2">
        <v>46213</v>
      </c>
      <c r="F247" t="s">
        <v>23</v>
      </c>
      <c r="G247" t="s">
        <v>24</v>
      </c>
      <c r="H247" t="s">
        <v>994</v>
      </c>
      <c r="I247" t="s">
        <v>26</v>
      </c>
      <c r="J247" t="s">
        <v>915</v>
      </c>
      <c r="K247" t="s">
        <v>150</v>
      </c>
      <c r="L247" t="s">
        <v>29</v>
      </c>
      <c r="M247" t="s">
        <v>310</v>
      </c>
      <c r="N247" t="s">
        <v>29</v>
      </c>
      <c r="O247" t="s">
        <v>29</v>
      </c>
      <c r="P247" t="s">
        <v>64</v>
      </c>
      <c r="Q247" s="3" t="s">
        <v>995</v>
      </c>
    </row>
    <row r="248" spans="1:17" ht="15.6" x14ac:dyDescent="0.3">
      <c r="A248" s="2">
        <v>46192</v>
      </c>
      <c r="B248">
        <v>256</v>
      </c>
      <c r="C248" t="s">
        <v>996</v>
      </c>
      <c r="D248" s="2">
        <v>46192</v>
      </c>
      <c r="E248" s="2">
        <v>46213</v>
      </c>
      <c r="F248" t="s">
        <v>23</v>
      </c>
      <c r="G248" t="s">
        <v>24</v>
      </c>
      <c r="H248" t="s">
        <v>997</v>
      </c>
      <c r="I248" t="s">
        <v>26</v>
      </c>
      <c r="J248" t="s">
        <v>915</v>
      </c>
      <c r="K248" t="s">
        <v>150</v>
      </c>
      <c r="L248" t="s">
        <v>29</v>
      </c>
      <c r="M248" t="s">
        <v>310</v>
      </c>
      <c r="N248" t="s">
        <v>29</v>
      </c>
      <c r="O248" t="s">
        <v>29</v>
      </c>
      <c r="P248" t="s">
        <v>64</v>
      </c>
      <c r="Q248" s="3" t="s">
        <v>998</v>
      </c>
    </row>
    <row r="249" spans="1:17" ht="15.6" x14ac:dyDescent="0.3">
      <c r="A249" s="2">
        <v>46192</v>
      </c>
      <c r="B249">
        <v>255</v>
      </c>
      <c r="C249" t="s">
        <v>999</v>
      </c>
      <c r="D249" s="2">
        <v>46192</v>
      </c>
      <c r="E249" s="2">
        <v>46213</v>
      </c>
      <c r="F249" t="s">
        <v>123</v>
      </c>
      <c r="G249" t="s">
        <v>24</v>
      </c>
      <c r="H249" t="s">
        <v>1000</v>
      </c>
      <c r="I249" t="s">
        <v>26</v>
      </c>
      <c r="J249" t="s">
        <v>822</v>
      </c>
      <c r="K249" t="s">
        <v>207</v>
      </c>
      <c r="L249" t="s">
        <v>29</v>
      </c>
      <c r="M249" t="s">
        <v>214</v>
      </c>
      <c r="N249" t="s">
        <v>31</v>
      </c>
      <c r="O249" t="s">
        <v>29</v>
      </c>
      <c r="P249" t="s">
        <v>1001</v>
      </c>
      <c r="Q249" s="3" t="s">
        <v>1002</v>
      </c>
    </row>
    <row r="250" spans="1:17" ht="15.6" x14ac:dyDescent="0.3">
      <c r="A250" s="2">
        <v>46192</v>
      </c>
      <c r="B250">
        <v>254</v>
      </c>
      <c r="C250" t="s">
        <v>1003</v>
      </c>
      <c r="D250" s="2">
        <v>46192</v>
      </c>
      <c r="E250" s="2">
        <v>46213</v>
      </c>
      <c r="F250" t="s">
        <v>123</v>
      </c>
      <c r="G250" t="s">
        <v>147</v>
      </c>
      <c r="H250" t="s">
        <v>1004</v>
      </c>
      <c r="I250" t="s">
        <v>26</v>
      </c>
      <c r="J250" t="s">
        <v>1005</v>
      </c>
      <c r="K250" t="s">
        <v>184</v>
      </c>
      <c r="L250" t="s">
        <v>29</v>
      </c>
      <c r="M250" t="s">
        <v>128</v>
      </c>
      <c r="N250" t="s">
        <v>29</v>
      </c>
      <c r="O250" t="s">
        <v>29</v>
      </c>
      <c r="P250" t="s">
        <v>64</v>
      </c>
      <c r="Q250" s="3" t="s">
        <v>1006</v>
      </c>
    </row>
    <row r="251" spans="1:17" ht="15.6" x14ac:dyDescent="0.3">
      <c r="A251" s="2">
        <v>46192</v>
      </c>
      <c r="B251">
        <v>253</v>
      </c>
      <c r="C251" t="s">
        <v>1007</v>
      </c>
      <c r="D251" s="2">
        <v>46192</v>
      </c>
      <c r="E251" s="2">
        <v>46213</v>
      </c>
      <c r="F251" t="s">
        <v>123</v>
      </c>
      <c r="G251" t="s">
        <v>24</v>
      </c>
      <c r="H251" t="s">
        <v>1008</v>
      </c>
      <c r="I251" t="s">
        <v>26</v>
      </c>
      <c r="J251" t="s">
        <v>915</v>
      </c>
      <c r="K251" t="s">
        <v>150</v>
      </c>
      <c r="L251" t="s">
        <v>29</v>
      </c>
      <c r="M251" t="s">
        <v>310</v>
      </c>
      <c r="N251" t="s">
        <v>29</v>
      </c>
      <c r="O251" t="s">
        <v>29</v>
      </c>
      <c r="P251" t="s">
        <v>64</v>
      </c>
      <c r="Q251" s="3" t="s">
        <v>1009</v>
      </c>
    </row>
    <row r="252" spans="1:17" ht="15.6" x14ac:dyDescent="0.3">
      <c r="A252" s="2">
        <v>46192</v>
      </c>
      <c r="B252">
        <v>252</v>
      </c>
      <c r="C252" t="s">
        <v>1010</v>
      </c>
      <c r="D252" s="2">
        <v>46192</v>
      </c>
      <c r="E252" s="2">
        <v>46213</v>
      </c>
      <c r="F252" t="s">
        <v>123</v>
      </c>
      <c r="G252" t="s">
        <v>24</v>
      </c>
      <c r="H252" t="s">
        <v>1011</v>
      </c>
      <c r="I252" t="s">
        <v>26</v>
      </c>
      <c r="J252" t="s">
        <v>1012</v>
      </c>
      <c r="K252" t="s">
        <v>184</v>
      </c>
      <c r="L252" t="s">
        <v>29</v>
      </c>
      <c r="M252" t="s">
        <v>433</v>
      </c>
      <c r="N252" t="s">
        <v>29</v>
      </c>
      <c r="O252" t="s">
        <v>29</v>
      </c>
      <c r="P252" t="s">
        <v>64</v>
      </c>
      <c r="Q252" s="3" t="s">
        <v>1013</v>
      </c>
    </row>
    <row r="253" spans="1:17" ht="15.6" x14ac:dyDescent="0.3">
      <c r="A253" s="2">
        <v>46192</v>
      </c>
      <c r="B253">
        <v>251</v>
      </c>
      <c r="C253" t="s">
        <v>1014</v>
      </c>
      <c r="D253" s="2">
        <v>46192</v>
      </c>
      <c r="E253" s="2">
        <v>46213</v>
      </c>
      <c r="F253" t="s">
        <v>123</v>
      </c>
      <c r="G253" t="s">
        <v>24</v>
      </c>
      <c r="H253" t="s">
        <v>1015</v>
      </c>
      <c r="I253" t="s">
        <v>26</v>
      </c>
      <c r="J253" t="s">
        <v>1016</v>
      </c>
      <c r="K253" t="s">
        <v>207</v>
      </c>
      <c r="L253" t="s">
        <v>29</v>
      </c>
      <c r="M253" t="s">
        <v>451</v>
      </c>
      <c r="N253" t="s">
        <v>29</v>
      </c>
      <c r="O253" t="s">
        <v>29</v>
      </c>
      <c r="P253" t="s">
        <v>64</v>
      </c>
      <c r="Q253" s="3" t="s">
        <v>1017</v>
      </c>
    </row>
    <row r="254" spans="1:17" ht="15.6" x14ac:dyDescent="0.3">
      <c r="A254" s="2">
        <v>46192</v>
      </c>
      <c r="B254">
        <v>250</v>
      </c>
      <c r="C254" t="s">
        <v>1018</v>
      </c>
      <c r="D254" s="2">
        <v>46192</v>
      </c>
      <c r="E254" s="2">
        <v>46213</v>
      </c>
      <c r="F254" t="s">
        <v>123</v>
      </c>
      <c r="G254" t="s">
        <v>24</v>
      </c>
      <c r="H254" t="s">
        <v>1019</v>
      </c>
      <c r="I254" t="s">
        <v>26</v>
      </c>
      <c r="J254" t="s">
        <v>1016</v>
      </c>
      <c r="K254" t="s">
        <v>207</v>
      </c>
      <c r="L254" t="s">
        <v>29</v>
      </c>
      <c r="M254" t="s">
        <v>451</v>
      </c>
      <c r="N254" t="s">
        <v>29</v>
      </c>
      <c r="O254" t="s">
        <v>29</v>
      </c>
      <c r="P254" t="s">
        <v>64</v>
      </c>
      <c r="Q254" s="3" t="s">
        <v>1020</v>
      </c>
    </row>
    <row r="255" spans="1:17" ht="15.6" x14ac:dyDescent="0.3">
      <c r="A255" s="2">
        <v>46192</v>
      </c>
      <c r="B255">
        <v>249</v>
      </c>
      <c r="C255" t="s">
        <v>1021</v>
      </c>
      <c r="D255" s="2">
        <v>46192</v>
      </c>
      <c r="E255" s="2">
        <v>46213</v>
      </c>
      <c r="F255" t="s">
        <v>123</v>
      </c>
      <c r="G255" t="s">
        <v>24</v>
      </c>
      <c r="H255" t="s">
        <v>1022</v>
      </c>
      <c r="I255" t="s">
        <v>26</v>
      </c>
      <c r="J255" t="s">
        <v>1016</v>
      </c>
      <c r="K255" t="s">
        <v>207</v>
      </c>
      <c r="L255" t="s">
        <v>29</v>
      </c>
      <c r="M255" t="s">
        <v>289</v>
      </c>
      <c r="N255" t="s">
        <v>31</v>
      </c>
      <c r="O255" t="s">
        <v>31</v>
      </c>
      <c r="P255" t="s">
        <v>1023</v>
      </c>
      <c r="Q255" s="3" t="s">
        <v>1024</v>
      </c>
    </row>
    <row r="256" spans="1:17" ht="15.6" x14ac:dyDescent="0.3">
      <c r="A256" s="2">
        <v>46192</v>
      </c>
      <c r="B256">
        <v>248</v>
      </c>
      <c r="C256" t="s">
        <v>1025</v>
      </c>
      <c r="D256" s="2">
        <v>46192</v>
      </c>
      <c r="E256" s="2">
        <v>46213</v>
      </c>
      <c r="F256" t="s">
        <v>123</v>
      </c>
      <c r="G256" t="s">
        <v>24</v>
      </c>
      <c r="H256" t="s">
        <v>1026</v>
      </c>
      <c r="I256" t="s">
        <v>26</v>
      </c>
      <c r="J256" t="s">
        <v>1016</v>
      </c>
      <c r="K256" t="s">
        <v>207</v>
      </c>
      <c r="L256" t="s">
        <v>29</v>
      </c>
      <c r="M256" t="s">
        <v>289</v>
      </c>
      <c r="N256" t="s">
        <v>31</v>
      </c>
      <c r="O256" t="s">
        <v>31</v>
      </c>
      <c r="P256" t="s">
        <v>1027</v>
      </c>
      <c r="Q256" s="3" t="s">
        <v>1028</v>
      </c>
    </row>
    <row r="257" spans="1:17" ht="15.6" x14ac:dyDescent="0.3">
      <c r="A257" s="2">
        <v>46192</v>
      </c>
      <c r="B257">
        <v>247</v>
      </c>
      <c r="C257" t="s">
        <v>1029</v>
      </c>
      <c r="D257" s="2">
        <v>46192</v>
      </c>
      <c r="E257" s="2">
        <v>46213</v>
      </c>
      <c r="F257" t="s">
        <v>123</v>
      </c>
      <c r="G257" t="s">
        <v>147</v>
      </c>
      <c r="H257" t="s">
        <v>1030</v>
      </c>
      <c r="I257" t="s">
        <v>26</v>
      </c>
      <c r="J257" t="s">
        <v>1031</v>
      </c>
      <c r="K257" t="s">
        <v>28</v>
      </c>
      <c r="L257" t="s">
        <v>29</v>
      </c>
      <c r="M257" t="s">
        <v>1032</v>
      </c>
      <c r="N257" t="s">
        <v>31</v>
      </c>
      <c r="O257" t="s">
        <v>31</v>
      </c>
      <c r="P257" t="s">
        <v>1033</v>
      </c>
      <c r="Q257" s="3" t="s">
        <v>1034</v>
      </c>
    </row>
    <row r="258" spans="1:17" ht="15.6" x14ac:dyDescent="0.3">
      <c r="A258" s="2">
        <v>46192</v>
      </c>
      <c r="B258">
        <v>246</v>
      </c>
      <c r="C258" t="s">
        <v>1035</v>
      </c>
      <c r="D258" s="2">
        <v>46192</v>
      </c>
      <c r="E258" s="2">
        <v>46213</v>
      </c>
      <c r="F258" t="s">
        <v>123</v>
      </c>
      <c r="G258" t="s">
        <v>24</v>
      </c>
      <c r="H258" t="s">
        <v>1036</v>
      </c>
      <c r="I258" t="s">
        <v>26</v>
      </c>
      <c r="J258" t="s">
        <v>1037</v>
      </c>
      <c r="K258" t="s">
        <v>184</v>
      </c>
      <c r="L258" t="s">
        <v>29</v>
      </c>
      <c r="M258" t="s">
        <v>478</v>
      </c>
      <c r="N258" t="s">
        <v>29</v>
      </c>
      <c r="O258" t="s">
        <v>29</v>
      </c>
      <c r="P258" t="s">
        <v>64</v>
      </c>
      <c r="Q258" s="3" t="s">
        <v>1038</v>
      </c>
    </row>
    <row r="259" spans="1:17" ht="15.6" x14ac:dyDescent="0.3">
      <c r="A259" s="2">
        <v>46192</v>
      </c>
      <c r="B259">
        <v>245</v>
      </c>
      <c r="C259" t="s">
        <v>1039</v>
      </c>
      <c r="D259" s="2">
        <v>46192</v>
      </c>
      <c r="E259" s="2">
        <v>46213</v>
      </c>
      <c r="F259" t="s">
        <v>123</v>
      </c>
      <c r="G259" t="s">
        <v>24</v>
      </c>
      <c r="H259" t="s">
        <v>1040</v>
      </c>
      <c r="I259" t="s">
        <v>26</v>
      </c>
      <c r="J259" t="s">
        <v>822</v>
      </c>
      <c r="K259" t="s">
        <v>207</v>
      </c>
      <c r="L259" t="s">
        <v>29</v>
      </c>
      <c r="M259" t="s">
        <v>1041</v>
      </c>
      <c r="N259" t="s">
        <v>31</v>
      </c>
      <c r="O259" t="s">
        <v>29</v>
      </c>
      <c r="P259" t="s">
        <v>1042</v>
      </c>
      <c r="Q259" s="3" t="s">
        <v>1043</v>
      </c>
    </row>
    <row r="260" spans="1:17" ht="15.6" x14ac:dyDescent="0.3">
      <c r="A260" s="2">
        <v>46192</v>
      </c>
      <c r="B260">
        <v>244</v>
      </c>
      <c r="C260" t="s">
        <v>1044</v>
      </c>
      <c r="D260" s="2">
        <v>46192</v>
      </c>
      <c r="E260" s="2">
        <v>46213</v>
      </c>
      <c r="F260" t="s">
        <v>123</v>
      </c>
      <c r="G260" t="s">
        <v>24</v>
      </c>
      <c r="H260" t="s">
        <v>1045</v>
      </c>
      <c r="I260" t="s">
        <v>26</v>
      </c>
      <c r="J260" t="s">
        <v>1046</v>
      </c>
      <c r="K260" t="s">
        <v>184</v>
      </c>
      <c r="L260" t="s">
        <v>29</v>
      </c>
      <c r="M260" t="s">
        <v>190</v>
      </c>
      <c r="N260" t="s">
        <v>31</v>
      </c>
      <c r="O260" t="s">
        <v>31</v>
      </c>
      <c r="P260" t="s">
        <v>1047</v>
      </c>
      <c r="Q260" s="3" t="s">
        <v>1048</v>
      </c>
    </row>
    <row r="261" spans="1:17" ht="15.6" x14ac:dyDescent="0.3">
      <c r="A261" s="2">
        <v>46192</v>
      </c>
      <c r="B261">
        <v>243</v>
      </c>
      <c r="C261" t="s">
        <v>1049</v>
      </c>
      <c r="D261" s="2">
        <v>46192</v>
      </c>
      <c r="E261" s="2">
        <v>46213</v>
      </c>
      <c r="F261" t="s">
        <v>181</v>
      </c>
      <c r="G261" t="s">
        <v>24</v>
      </c>
      <c r="H261" t="s">
        <v>1050</v>
      </c>
      <c r="I261" t="s">
        <v>26</v>
      </c>
      <c r="J261" t="s">
        <v>199</v>
      </c>
      <c r="K261" t="s">
        <v>62</v>
      </c>
      <c r="L261" t="s">
        <v>29</v>
      </c>
      <c r="M261" t="s">
        <v>356</v>
      </c>
      <c r="N261" t="s">
        <v>31</v>
      </c>
      <c r="O261" t="s">
        <v>29</v>
      </c>
      <c r="P261" t="s">
        <v>684</v>
      </c>
      <c r="Q261" s="3" t="s">
        <v>1051</v>
      </c>
    </row>
    <row r="262" spans="1:17" ht="15.6" x14ac:dyDescent="0.3">
      <c r="A262" s="2">
        <v>46192</v>
      </c>
      <c r="B262">
        <v>242</v>
      </c>
      <c r="C262" t="s">
        <v>1052</v>
      </c>
      <c r="D262" s="2">
        <v>46192</v>
      </c>
      <c r="E262" s="2">
        <v>46212</v>
      </c>
      <c r="F262" t="s">
        <v>23</v>
      </c>
      <c r="G262" t="s">
        <v>24</v>
      </c>
      <c r="H262" t="s">
        <v>1053</v>
      </c>
      <c r="I262" t="s">
        <v>26</v>
      </c>
      <c r="J262" t="s">
        <v>1054</v>
      </c>
      <c r="K262" t="s">
        <v>150</v>
      </c>
      <c r="L262" t="s">
        <v>29</v>
      </c>
      <c r="M262" t="s">
        <v>310</v>
      </c>
      <c r="N262" t="s">
        <v>31</v>
      </c>
      <c r="O262" t="s">
        <v>31</v>
      </c>
      <c r="P262" t="s">
        <v>1055</v>
      </c>
      <c r="Q262" s="3" t="s">
        <v>1056</v>
      </c>
    </row>
    <row r="263" spans="1:17" ht="15.6" x14ac:dyDescent="0.3">
      <c r="A263" s="2">
        <v>46192</v>
      </c>
      <c r="B263">
        <v>241</v>
      </c>
      <c r="C263" t="s">
        <v>1057</v>
      </c>
      <c r="D263" s="2">
        <v>46192</v>
      </c>
      <c r="E263" s="2">
        <v>46212</v>
      </c>
      <c r="F263" t="s">
        <v>23</v>
      </c>
      <c r="G263" t="s">
        <v>24</v>
      </c>
      <c r="H263" t="s">
        <v>1058</v>
      </c>
      <c r="I263" t="s">
        <v>26</v>
      </c>
      <c r="J263" t="s">
        <v>1054</v>
      </c>
      <c r="K263" t="s">
        <v>150</v>
      </c>
      <c r="L263" t="s">
        <v>29</v>
      </c>
      <c r="M263" t="s">
        <v>310</v>
      </c>
      <c r="N263" t="s">
        <v>31</v>
      </c>
      <c r="O263" t="s">
        <v>31</v>
      </c>
      <c r="P263" t="s">
        <v>1059</v>
      </c>
      <c r="Q263" s="3" t="s">
        <v>1060</v>
      </c>
    </row>
    <row r="264" spans="1:17" ht="15.6" x14ac:dyDescent="0.3">
      <c r="A264" s="2">
        <v>46192</v>
      </c>
      <c r="B264">
        <v>240</v>
      </c>
      <c r="C264" t="s">
        <v>1061</v>
      </c>
      <c r="D264" s="2">
        <v>46192</v>
      </c>
      <c r="E264" s="2">
        <v>46212</v>
      </c>
      <c r="F264" t="s">
        <v>123</v>
      </c>
      <c r="G264" t="s">
        <v>24</v>
      </c>
      <c r="H264" t="s">
        <v>1062</v>
      </c>
      <c r="I264" t="s">
        <v>26</v>
      </c>
      <c r="J264" t="s">
        <v>886</v>
      </c>
      <c r="K264" t="s">
        <v>42</v>
      </c>
      <c r="L264" t="s">
        <v>29</v>
      </c>
      <c r="M264" t="s">
        <v>310</v>
      </c>
      <c r="N264" t="s">
        <v>29</v>
      </c>
      <c r="O264" t="s">
        <v>29</v>
      </c>
      <c r="P264" t="s">
        <v>64</v>
      </c>
      <c r="Q264" s="3" t="s">
        <v>1063</v>
      </c>
    </row>
    <row r="265" spans="1:17" ht="15.6" x14ac:dyDescent="0.3">
      <c r="A265" s="2">
        <v>46192</v>
      </c>
      <c r="B265">
        <v>239</v>
      </c>
      <c r="C265" t="s">
        <v>1064</v>
      </c>
      <c r="D265" s="2">
        <v>46192</v>
      </c>
      <c r="E265" s="2">
        <v>46212</v>
      </c>
      <c r="F265" t="s">
        <v>23</v>
      </c>
      <c r="G265" t="s">
        <v>24</v>
      </c>
      <c r="H265" t="s">
        <v>1065</v>
      </c>
      <c r="I265" t="s">
        <v>26</v>
      </c>
      <c r="J265" t="s">
        <v>886</v>
      </c>
      <c r="K265" t="s">
        <v>42</v>
      </c>
      <c r="L265" t="s">
        <v>29</v>
      </c>
      <c r="M265" t="s">
        <v>190</v>
      </c>
      <c r="N265" t="s">
        <v>29</v>
      </c>
      <c r="O265" t="s">
        <v>29</v>
      </c>
      <c r="P265" t="s">
        <v>64</v>
      </c>
      <c r="Q265" s="3" t="s">
        <v>1066</v>
      </c>
    </row>
    <row r="266" spans="1:17" ht="15.6" x14ac:dyDescent="0.3">
      <c r="A266" s="2">
        <v>46192</v>
      </c>
      <c r="B266">
        <v>238</v>
      </c>
      <c r="C266" t="s">
        <v>1067</v>
      </c>
      <c r="D266" s="2">
        <v>46192</v>
      </c>
      <c r="E266" s="2">
        <v>46212</v>
      </c>
      <c r="F266" t="s">
        <v>123</v>
      </c>
      <c r="G266" t="s">
        <v>147</v>
      </c>
      <c r="H266" t="s">
        <v>1068</v>
      </c>
      <c r="I266" t="s">
        <v>26</v>
      </c>
      <c r="J266" t="s">
        <v>1069</v>
      </c>
      <c r="K266" t="s">
        <v>207</v>
      </c>
      <c r="L266" t="s">
        <v>29</v>
      </c>
      <c r="M266" t="s">
        <v>254</v>
      </c>
      <c r="N266" t="s">
        <v>29</v>
      </c>
      <c r="O266" t="s">
        <v>29</v>
      </c>
      <c r="P266" t="s">
        <v>64</v>
      </c>
      <c r="Q266" s="3" t="s">
        <v>1070</v>
      </c>
    </row>
    <row r="267" spans="1:17" ht="15.6" x14ac:dyDescent="0.3">
      <c r="A267" s="2">
        <v>46192</v>
      </c>
      <c r="B267">
        <v>237</v>
      </c>
      <c r="C267" t="s">
        <v>1071</v>
      </c>
      <c r="D267" s="2">
        <v>46192</v>
      </c>
      <c r="E267" s="2">
        <v>46210</v>
      </c>
      <c r="F267" t="s">
        <v>23</v>
      </c>
      <c r="G267" t="s">
        <v>611</v>
      </c>
      <c r="H267" t="s">
        <v>1072</v>
      </c>
      <c r="I267" t="s">
        <v>26</v>
      </c>
      <c r="J267" t="s">
        <v>613</v>
      </c>
      <c r="K267" t="s">
        <v>48</v>
      </c>
      <c r="L267" t="s">
        <v>29</v>
      </c>
      <c r="M267" t="s">
        <v>30</v>
      </c>
      <c r="N267" t="s">
        <v>31</v>
      </c>
      <c r="O267" t="s">
        <v>29</v>
      </c>
      <c r="P267" t="s">
        <v>1073</v>
      </c>
      <c r="Q267" s="3" t="s">
        <v>1074</v>
      </c>
    </row>
    <row r="268" spans="1:17" ht="15.6" x14ac:dyDescent="0.3">
      <c r="A268" s="2">
        <v>46192</v>
      </c>
      <c r="B268">
        <v>236</v>
      </c>
      <c r="C268" t="s">
        <v>1075</v>
      </c>
      <c r="D268" s="2">
        <v>46192</v>
      </c>
      <c r="E268" s="2">
        <v>46211</v>
      </c>
      <c r="F268" t="s">
        <v>23</v>
      </c>
      <c r="G268" t="s">
        <v>24</v>
      </c>
      <c r="H268" t="s">
        <v>1076</v>
      </c>
      <c r="I268" t="s">
        <v>26</v>
      </c>
      <c r="J268" t="s">
        <v>1077</v>
      </c>
      <c r="K268" t="s">
        <v>42</v>
      </c>
      <c r="L268" t="s">
        <v>29</v>
      </c>
      <c r="M268" t="s">
        <v>600</v>
      </c>
      <c r="N268" t="s">
        <v>29</v>
      </c>
      <c r="O268" t="s">
        <v>29</v>
      </c>
      <c r="P268" t="s">
        <v>64</v>
      </c>
      <c r="Q268" s="3" t="s">
        <v>1078</v>
      </c>
    </row>
    <row r="269" spans="1:17" ht="15.6" x14ac:dyDescent="0.3">
      <c r="A269" s="2">
        <v>46192</v>
      </c>
      <c r="B269">
        <v>235</v>
      </c>
      <c r="C269" t="s">
        <v>1079</v>
      </c>
      <c r="D269" s="2">
        <v>46192</v>
      </c>
      <c r="E269" s="2">
        <v>46210</v>
      </c>
      <c r="F269" t="s">
        <v>330</v>
      </c>
      <c r="G269" t="s">
        <v>252</v>
      </c>
      <c r="H269" t="s">
        <v>1080</v>
      </c>
      <c r="I269" t="s">
        <v>26</v>
      </c>
      <c r="J269" t="s">
        <v>474</v>
      </c>
      <c r="K269" t="s">
        <v>184</v>
      </c>
      <c r="L269" t="s">
        <v>29</v>
      </c>
      <c r="M269" t="s">
        <v>134</v>
      </c>
      <c r="N269" t="s">
        <v>31</v>
      </c>
      <c r="O269" t="s">
        <v>31</v>
      </c>
      <c r="P269" t="s">
        <v>1081</v>
      </c>
      <c r="Q269" s="3" t="s">
        <v>1082</v>
      </c>
    </row>
    <row r="270" spans="1:17" ht="15.6" x14ac:dyDescent="0.3">
      <c r="A270" s="2">
        <v>46192</v>
      </c>
      <c r="B270">
        <v>234</v>
      </c>
      <c r="C270" t="s">
        <v>1083</v>
      </c>
      <c r="D270" s="2">
        <v>46192</v>
      </c>
      <c r="E270" s="2">
        <v>46210</v>
      </c>
      <c r="F270" t="s">
        <v>123</v>
      </c>
      <c r="G270" t="s">
        <v>252</v>
      </c>
      <c r="H270" t="s">
        <v>1084</v>
      </c>
      <c r="I270" t="s">
        <v>26</v>
      </c>
      <c r="J270" t="s">
        <v>1085</v>
      </c>
      <c r="K270" t="s">
        <v>28</v>
      </c>
      <c r="L270" t="s">
        <v>29</v>
      </c>
      <c r="M270" t="s">
        <v>478</v>
      </c>
      <c r="N270" t="s">
        <v>29</v>
      </c>
      <c r="O270" t="s">
        <v>29</v>
      </c>
      <c r="P270" t="s">
        <v>64</v>
      </c>
      <c r="Q270" s="3" t="s">
        <v>1086</v>
      </c>
    </row>
    <row r="271" spans="1:17" ht="15.6" x14ac:dyDescent="0.3">
      <c r="A271" s="2">
        <v>46192</v>
      </c>
      <c r="B271">
        <v>233</v>
      </c>
      <c r="C271" t="s">
        <v>1087</v>
      </c>
      <c r="D271" s="2">
        <v>46192</v>
      </c>
      <c r="E271" s="2">
        <v>46209</v>
      </c>
      <c r="F271" t="s">
        <v>330</v>
      </c>
      <c r="G271" t="s">
        <v>252</v>
      </c>
      <c r="H271" t="s">
        <v>1088</v>
      </c>
      <c r="I271" t="s">
        <v>26</v>
      </c>
      <c r="J271" t="s">
        <v>474</v>
      </c>
      <c r="K271" t="s">
        <v>184</v>
      </c>
      <c r="L271" t="s">
        <v>29</v>
      </c>
      <c r="M271" t="s">
        <v>289</v>
      </c>
      <c r="N271" t="s">
        <v>31</v>
      </c>
      <c r="O271" t="s">
        <v>31</v>
      </c>
      <c r="P271" t="s">
        <v>1089</v>
      </c>
      <c r="Q271" s="3" t="s">
        <v>1090</v>
      </c>
    </row>
    <row r="272" spans="1:17" ht="15.6" x14ac:dyDescent="0.3">
      <c r="A272" s="2">
        <v>46192</v>
      </c>
      <c r="B272">
        <v>232</v>
      </c>
      <c r="C272" t="s">
        <v>1091</v>
      </c>
      <c r="D272" s="2">
        <v>46192</v>
      </c>
      <c r="E272" s="2">
        <v>46210</v>
      </c>
      <c r="F272" t="s">
        <v>123</v>
      </c>
      <c r="G272" t="s">
        <v>252</v>
      </c>
      <c r="H272" t="s">
        <v>1092</v>
      </c>
      <c r="I272" t="s">
        <v>26</v>
      </c>
      <c r="J272" t="s">
        <v>1093</v>
      </c>
      <c r="K272" t="s">
        <v>62</v>
      </c>
      <c r="L272" t="s">
        <v>29</v>
      </c>
      <c r="M272" t="s">
        <v>254</v>
      </c>
      <c r="N272" t="s">
        <v>29</v>
      </c>
      <c r="O272" t="s">
        <v>29</v>
      </c>
      <c r="P272" t="s">
        <v>64</v>
      </c>
      <c r="Q272" s="3" t="s">
        <v>1094</v>
      </c>
    </row>
    <row r="273" spans="1:17" ht="15.6" x14ac:dyDescent="0.3">
      <c r="A273" s="2">
        <v>46192</v>
      </c>
      <c r="B273">
        <v>231</v>
      </c>
      <c r="C273" t="s">
        <v>1095</v>
      </c>
      <c r="D273" s="2">
        <v>46192</v>
      </c>
      <c r="E273" s="2">
        <v>46210</v>
      </c>
      <c r="F273" t="s">
        <v>23</v>
      </c>
      <c r="G273" t="s">
        <v>611</v>
      </c>
      <c r="H273" t="s">
        <v>1096</v>
      </c>
      <c r="I273" t="s">
        <v>26</v>
      </c>
      <c r="J273" t="s">
        <v>613</v>
      </c>
      <c r="K273" t="s">
        <v>48</v>
      </c>
      <c r="L273" t="s">
        <v>29</v>
      </c>
      <c r="M273" t="s">
        <v>30</v>
      </c>
      <c r="N273" t="s">
        <v>31</v>
      </c>
      <c r="O273" t="s">
        <v>29</v>
      </c>
      <c r="P273" t="s">
        <v>1073</v>
      </c>
      <c r="Q273" s="3" t="s">
        <v>1097</v>
      </c>
    </row>
    <row r="274" spans="1:17" ht="15.6" x14ac:dyDescent="0.3">
      <c r="A274" s="2">
        <v>46192</v>
      </c>
      <c r="B274">
        <v>230</v>
      </c>
      <c r="C274" t="s">
        <v>1098</v>
      </c>
      <c r="D274" s="2">
        <v>46192</v>
      </c>
      <c r="E274" s="2">
        <v>46209</v>
      </c>
      <c r="F274" t="s">
        <v>181</v>
      </c>
      <c r="G274" t="s">
        <v>24</v>
      </c>
      <c r="H274" t="s">
        <v>1099</v>
      </c>
      <c r="I274" t="s">
        <v>26</v>
      </c>
      <c r="J274" t="s">
        <v>199</v>
      </c>
      <c r="K274" t="s">
        <v>184</v>
      </c>
      <c r="L274" t="s">
        <v>29</v>
      </c>
      <c r="M274" t="s">
        <v>663</v>
      </c>
      <c r="N274" t="s">
        <v>29</v>
      </c>
      <c r="O274" t="s">
        <v>29</v>
      </c>
      <c r="P274" t="s">
        <v>64</v>
      </c>
      <c r="Q274" s="3" t="s">
        <v>1100</v>
      </c>
    </row>
    <row r="275" spans="1:17" ht="15.6" x14ac:dyDescent="0.3">
      <c r="A275" s="2">
        <v>46192</v>
      </c>
      <c r="B275">
        <v>229</v>
      </c>
      <c r="C275" t="s">
        <v>1101</v>
      </c>
      <c r="D275" s="2">
        <v>46192</v>
      </c>
      <c r="E275" s="2">
        <v>46209</v>
      </c>
      <c r="F275" t="s">
        <v>330</v>
      </c>
      <c r="G275" t="s">
        <v>252</v>
      </c>
      <c r="H275" t="s">
        <v>1102</v>
      </c>
      <c r="I275" t="s">
        <v>26</v>
      </c>
      <c r="J275" t="s">
        <v>474</v>
      </c>
      <c r="K275" t="s">
        <v>184</v>
      </c>
      <c r="L275" t="s">
        <v>29</v>
      </c>
      <c r="M275" t="s">
        <v>134</v>
      </c>
      <c r="N275" t="s">
        <v>31</v>
      </c>
      <c r="O275" t="s">
        <v>31</v>
      </c>
      <c r="P275" t="s">
        <v>1081</v>
      </c>
      <c r="Q275" s="3" t="s">
        <v>1103</v>
      </c>
    </row>
    <row r="276" spans="1:17" ht="15.6" x14ac:dyDescent="0.3">
      <c r="A276" s="2">
        <v>46192</v>
      </c>
      <c r="B276">
        <v>228</v>
      </c>
      <c r="C276" t="s">
        <v>1104</v>
      </c>
      <c r="D276" s="2">
        <v>46192</v>
      </c>
      <c r="E276" s="2">
        <v>46209</v>
      </c>
      <c r="F276" t="s">
        <v>330</v>
      </c>
      <c r="G276" t="s">
        <v>252</v>
      </c>
      <c r="H276" t="s">
        <v>1105</v>
      </c>
      <c r="I276" t="s">
        <v>26</v>
      </c>
      <c r="J276" t="s">
        <v>206</v>
      </c>
      <c r="K276" t="s">
        <v>150</v>
      </c>
      <c r="L276" t="s">
        <v>29</v>
      </c>
      <c r="M276" t="s">
        <v>134</v>
      </c>
      <c r="N276" t="s">
        <v>31</v>
      </c>
      <c r="O276" t="s">
        <v>29</v>
      </c>
      <c r="P276" t="s">
        <v>1106</v>
      </c>
      <c r="Q276" s="3" t="s">
        <v>1107</v>
      </c>
    </row>
    <row r="277" spans="1:17" ht="15.6" x14ac:dyDescent="0.3">
      <c r="A277" s="2">
        <v>46192</v>
      </c>
      <c r="B277">
        <v>227</v>
      </c>
      <c r="C277" t="s">
        <v>1108</v>
      </c>
      <c r="D277" s="2">
        <v>46192</v>
      </c>
      <c r="E277" s="2">
        <v>46206</v>
      </c>
      <c r="F277" t="s">
        <v>330</v>
      </c>
      <c r="G277" t="s">
        <v>252</v>
      </c>
      <c r="H277" t="s">
        <v>1109</v>
      </c>
      <c r="I277" t="s">
        <v>26</v>
      </c>
      <c r="J277" t="s">
        <v>1110</v>
      </c>
      <c r="K277" t="s">
        <v>28</v>
      </c>
      <c r="L277" t="s">
        <v>29</v>
      </c>
      <c r="M277" t="s">
        <v>310</v>
      </c>
      <c r="N277" t="s">
        <v>31</v>
      </c>
      <c r="O277" t="s">
        <v>31</v>
      </c>
      <c r="P277" t="s">
        <v>64</v>
      </c>
      <c r="Q277" s="3" t="s">
        <v>1111</v>
      </c>
    </row>
    <row r="278" spans="1:17" ht="15.6" x14ac:dyDescent="0.3">
      <c r="A278" s="2">
        <v>46192</v>
      </c>
      <c r="B278">
        <v>226</v>
      </c>
      <c r="C278" t="s">
        <v>1112</v>
      </c>
      <c r="D278" s="2">
        <v>46192</v>
      </c>
      <c r="E278" s="2">
        <v>46209</v>
      </c>
      <c r="F278" t="s">
        <v>123</v>
      </c>
      <c r="G278" t="s">
        <v>24</v>
      </c>
      <c r="H278" t="s">
        <v>1113</v>
      </c>
      <c r="I278" t="s">
        <v>26</v>
      </c>
      <c r="J278" t="s">
        <v>199</v>
      </c>
      <c r="K278" t="s">
        <v>62</v>
      </c>
      <c r="L278" t="s">
        <v>29</v>
      </c>
      <c r="M278" t="s">
        <v>190</v>
      </c>
      <c r="N278" t="s">
        <v>31</v>
      </c>
      <c r="O278" t="s">
        <v>29</v>
      </c>
      <c r="P278" t="s">
        <v>1114</v>
      </c>
      <c r="Q278" s="3" t="s">
        <v>1115</v>
      </c>
    </row>
    <row r="279" spans="1:17" ht="15.6" x14ac:dyDescent="0.3">
      <c r="A279" s="2">
        <v>46192</v>
      </c>
      <c r="B279">
        <v>225</v>
      </c>
      <c r="C279" t="s">
        <v>1116</v>
      </c>
      <c r="D279" s="2">
        <v>46192</v>
      </c>
      <c r="E279" s="2">
        <v>46209</v>
      </c>
      <c r="F279" t="s">
        <v>330</v>
      </c>
      <c r="G279" t="s">
        <v>252</v>
      </c>
      <c r="H279" t="s">
        <v>1117</v>
      </c>
      <c r="I279" t="s">
        <v>26</v>
      </c>
      <c r="J279" t="s">
        <v>474</v>
      </c>
      <c r="K279" t="s">
        <v>184</v>
      </c>
      <c r="L279" t="s">
        <v>29</v>
      </c>
      <c r="M279" t="s">
        <v>171</v>
      </c>
      <c r="N279" t="s">
        <v>31</v>
      </c>
      <c r="O279" t="s">
        <v>31</v>
      </c>
      <c r="P279" t="s">
        <v>1118</v>
      </c>
      <c r="Q279" s="3" t="s">
        <v>1119</v>
      </c>
    </row>
    <row r="280" spans="1:17" ht="15.6" x14ac:dyDescent="0.3">
      <c r="A280" s="2">
        <v>46192</v>
      </c>
      <c r="B280">
        <v>224</v>
      </c>
      <c r="C280" t="s">
        <v>1120</v>
      </c>
      <c r="D280" s="2">
        <v>46192</v>
      </c>
      <c r="E280" s="2">
        <v>46206</v>
      </c>
      <c r="F280" t="s">
        <v>330</v>
      </c>
      <c r="G280" t="s">
        <v>252</v>
      </c>
      <c r="H280" t="s">
        <v>1121</v>
      </c>
      <c r="I280" t="s">
        <v>26</v>
      </c>
      <c r="J280" t="s">
        <v>1122</v>
      </c>
      <c r="K280" t="s">
        <v>28</v>
      </c>
      <c r="L280" t="s">
        <v>29</v>
      </c>
      <c r="M280" t="s">
        <v>200</v>
      </c>
      <c r="N280" t="s">
        <v>29</v>
      </c>
      <c r="O280" t="s">
        <v>29</v>
      </c>
      <c r="P280" t="s">
        <v>64</v>
      </c>
      <c r="Q280" s="3" t="s">
        <v>1123</v>
      </c>
    </row>
    <row r="281" spans="1:17" ht="15.6" x14ac:dyDescent="0.3">
      <c r="A281" s="2">
        <v>46192</v>
      </c>
      <c r="B281">
        <v>223</v>
      </c>
      <c r="C281" t="s">
        <v>1124</v>
      </c>
      <c r="D281" s="2">
        <v>46192</v>
      </c>
      <c r="E281" s="2">
        <v>46206</v>
      </c>
      <c r="F281" t="s">
        <v>23</v>
      </c>
      <c r="G281" t="s">
        <v>252</v>
      </c>
      <c r="H281" t="s">
        <v>1125</v>
      </c>
      <c r="I281" t="s">
        <v>26</v>
      </c>
      <c r="J281" t="s">
        <v>886</v>
      </c>
      <c r="K281" t="s">
        <v>42</v>
      </c>
      <c r="L281" t="s">
        <v>29</v>
      </c>
      <c r="M281" t="s">
        <v>310</v>
      </c>
      <c r="N281" t="s">
        <v>29</v>
      </c>
      <c r="O281" t="s">
        <v>29</v>
      </c>
      <c r="P281" t="s">
        <v>64</v>
      </c>
      <c r="Q281" s="3" t="s">
        <v>1126</v>
      </c>
    </row>
    <row r="282" spans="1:17" ht="15.6" x14ac:dyDescent="0.3">
      <c r="A282" s="2">
        <v>46192</v>
      </c>
      <c r="B282">
        <v>222</v>
      </c>
      <c r="C282" t="s">
        <v>1127</v>
      </c>
      <c r="D282" s="2">
        <v>46192</v>
      </c>
      <c r="E282" s="2">
        <v>46206</v>
      </c>
      <c r="F282" t="s">
        <v>23</v>
      </c>
      <c r="G282" t="s">
        <v>252</v>
      </c>
      <c r="H282" t="s">
        <v>1128</v>
      </c>
      <c r="I282" t="s">
        <v>26</v>
      </c>
      <c r="J282" t="s">
        <v>516</v>
      </c>
      <c r="K282" t="s">
        <v>42</v>
      </c>
      <c r="L282" t="s">
        <v>29</v>
      </c>
      <c r="M282" t="s">
        <v>356</v>
      </c>
      <c r="N282" t="s">
        <v>29</v>
      </c>
      <c r="O282" t="s">
        <v>29</v>
      </c>
      <c r="P282" t="s">
        <v>64</v>
      </c>
      <c r="Q282" s="3" t="s">
        <v>1129</v>
      </c>
    </row>
    <row r="283" spans="1:17" ht="15.6" x14ac:dyDescent="0.3">
      <c r="A283" s="2">
        <v>46192</v>
      </c>
      <c r="B283">
        <v>221</v>
      </c>
      <c r="C283" t="s">
        <v>1130</v>
      </c>
      <c r="D283" s="2">
        <v>46192</v>
      </c>
      <c r="E283" s="2">
        <v>46206</v>
      </c>
      <c r="F283" t="s">
        <v>23</v>
      </c>
      <c r="G283" t="s">
        <v>252</v>
      </c>
      <c r="H283" t="s">
        <v>1131</v>
      </c>
      <c r="I283" t="s">
        <v>26</v>
      </c>
      <c r="J283" t="s">
        <v>516</v>
      </c>
      <c r="K283" t="s">
        <v>42</v>
      </c>
      <c r="L283" t="s">
        <v>29</v>
      </c>
      <c r="M283" t="s">
        <v>502</v>
      </c>
      <c r="N283" t="s">
        <v>29</v>
      </c>
      <c r="O283" t="s">
        <v>29</v>
      </c>
      <c r="P283" t="s">
        <v>64</v>
      </c>
      <c r="Q283" s="3" t="s">
        <v>1132</v>
      </c>
    </row>
    <row r="284" spans="1:17" ht="15.6" x14ac:dyDescent="0.3">
      <c r="A284" s="2">
        <v>46192</v>
      </c>
      <c r="B284">
        <v>220</v>
      </c>
      <c r="C284" t="s">
        <v>1133</v>
      </c>
      <c r="D284" s="2">
        <v>46192</v>
      </c>
      <c r="E284" s="2">
        <v>46206</v>
      </c>
      <c r="F284" t="s">
        <v>23</v>
      </c>
      <c r="G284" t="s">
        <v>252</v>
      </c>
      <c r="H284" t="s">
        <v>1134</v>
      </c>
      <c r="I284" t="s">
        <v>26</v>
      </c>
      <c r="J284" t="s">
        <v>516</v>
      </c>
      <c r="K284" t="s">
        <v>42</v>
      </c>
      <c r="L284" t="s">
        <v>29</v>
      </c>
      <c r="M284" t="s">
        <v>356</v>
      </c>
      <c r="N284" t="s">
        <v>29</v>
      </c>
      <c r="O284" t="s">
        <v>29</v>
      </c>
      <c r="P284" t="s">
        <v>64</v>
      </c>
      <c r="Q284" s="3" t="s">
        <v>1135</v>
      </c>
    </row>
    <row r="285" spans="1:17" ht="15.6" x14ac:dyDescent="0.3">
      <c r="A285" s="2">
        <v>46192</v>
      </c>
      <c r="B285">
        <v>219</v>
      </c>
      <c r="C285" t="s">
        <v>1136</v>
      </c>
      <c r="D285" s="2">
        <v>46192</v>
      </c>
      <c r="E285" s="2">
        <v>46206</v>
      </c>
      <c r="F285" t="s">
        <v>330</v>
      </c>
      <c r="G285" t="s">
        <v>252</v>
      </c>
      <c r="H285" t="s">
        <v>1137</v>
      </c>
      <c r="I285" t="s">
        <v>26</v>
      </c>
      <c r="J285" t="s">
        <v>279</v>
      </c>
      <c r="K285" t="s">
        <v>379</v>
      </c>
      <c r="L285" t="s">
        <v>29</v>
      </c>
      <c r="M285" t="s">
        <v>254</v>
      </c>
      <c r="N285" t="s">
        <v>29</v>
      </c>
      <c r="O285" t="s">
        <v>29</v>
      </c>
      <c r="P285" t="s">
        <v>64</v>
      </c>
      <c r="Q285" s="3" t="s">
        <v>1138</v>
      </c>
    </row>
    <row r="286" spans="1:17" ht="15.6" x14ac:dyDescent="0.3">
      <c r="A286" s="2">
        <v>46192</v>
      </c>
      <c r="B286">
        <v>218</v>
      </c>
      <c r="C286" t="s">
        <v>1139</v>
      </c>
      <c r="D286" s="2">
        <v>46192</v>
      </c>
      <c r="E286" s="2">
        <v>46206</v>
      </c>
      <c r="F286" t="s">
        <v>23</v>
      </c>
      <c r="G286" t="s">
        <v>24</v>
      </c>
      <c r="H286" t="s">
        <v>1140</v>
      </c>
      <c r="I286" t="s">
        <v>26</v>
      </c>
      <c r="J286" t="s">
        <v>1141</v>
      </c>
      <c r="K286" t="s">
        <v>62</v>
      </c>
      <c r="L286" t="s">
        <v>29</v>
      </c>
      <c r="M286" t="s">
        <v>30</v>
      </c>
      <c r="N286" t="s">
        <v>29</v>
      </c>
      <c r="O286" t="s">
        <v>29</v>
      </c>
      <c r="P286" t="s">
        <v>64</v>
      </c>
      <c r="Q286" s="3" t="s">
        <v>1142</v>
      </c>
    </row>
    <row r="287" spans="1:17" ht="15.6" x14ac:dyDescent="0.3">
      <c r="A287" s="2">
        <v>46192</v>
      </c>
      <c r="B287">
        <v>217</v>
      </c>
      <c r="C287" t="s">
        <v>1143</v>
      </c>
      <c r="D287" s="2">
        <v>46192</v>
      </c>
      <c r="E287" s="2">
        <v>46206</v>
      </c>
      <c r="F287" t="s">
        <v>123</v>
      </c>
      <c r="G287" t="s">
        <v>252</v>
      </c>
      <c r="H287" t="s">
        <v>1144</v>
      </c>
      <c r="I287" t="s">
        <v>26</v>
      </c>
      <c r="J287" t="s">
        <v>1085</v>
      </c>
      <c r="K287" t="s">
        <v>28</v>
      </c>
      <c r="L287" t="s">
        <v>29</v>
      </c>
      <c r="M287" t="s">
        <v>478</v>
      </c>
      <c r="N287" t="s">
        <v>31</v>
      </c>
      <c r="O287" t="s">
        <v>29</v>
      </c>
      <c r="P287" t="s">
        <v>64</v>
      </c>
      <c r="Q287" s="3" t="s">
        <v>1145</v>
      </c>
    </row>
    <row r="288" spans="1:17" ht="15.6" x14ac:dyDescent="0.3">
      <c r="A288" s="2">
        <v>46192</v>
      </c>
      <c r="B288">
        <v>216</v>
      </c>
      <c r="C288" t="s">
        <v>1146</v>
      </c>
      <c r="D288" s="2">
        <v>46192</v>
      </c>
      <c r="E288" s="2">
        <v>46206</v>
      </c>
      <c r="F288" t="s">
        <v>347</v>
      </c>
      <c r="G288" t="s">
        <v>227</v>
      </c>
      <c r="H288" t="s">
        <v>1147</v>
      </c>
      <c r="I288" t="s">
        <v>26</v>
      </c>
      <c r="J288" t="s">
        <v>1148</v>
      </c>
      <c r="K288" t="s">
        <v>184</v>
      </c>
      <c r="L288" t="s">
        <v>29</v>
      </c>
      <c r="M288" t="s">
        <v>254</v>
      </c>
      <c r="N288" t="s">
        <v>31</v>
      </c>
      <c r="O288" t="s">
        <v>29</v>
      </c>
      <c r="P288" t="s">
        <v>1149</v>
      </c>
      <c r="Q288" s="3" t="s">
        <v>1150</v>
      </c>
    </row>
    <row r="289" spans="1:17" ht="15.6" x14ac:dyDescent="0.3">
      <c r="A289" s="2">
        <v>46192</v>
      </c>
      <c r="B289">
        <v>215</v>
      </c>
      <c r="C289" t="s">
        <v>1151</v>
      </c>
      <c r="D289" s="2">
        <v>46192</v>
      </c>
      <c r="E289" s="2">
        <v>46206</v>
      </c>
      <c r="F289" t="s">
        <v>330</v>
      </c>
      <c r="G289" t="s">
        <v>252</v>
      </c>
      <c r="H289" t="s">
        <v>1152</v>
      </c>
      <c r="I289" t="s">
        <v>26</v>
      </c>
      <c r="J289" t="s">
        <v>1110</v>
      </c>
      <c r="K289" t="s">
        <v>28</v>
      </c>
      <c r="L289" t="s">
        <v>29</v>
      </c>
      <c r="M289" t="s">
        <v>310</v>
      </c>
      <c r="N289" t="s">
        <v>31</v>
      </c>
      <c r="O289" t="s">
        <v>31</v>
      </c>
      <c r="P289" t="s">
        <v>1153</v>
      </c>
      <c r="Q289" s="3" t="s">
        <v>1154</v>
      </c>
    </row>
    <row r="290" spans="1:17" ht="15.6" x14ac:dyDescent="0.3">
      <c r="A290" s="2">
        <v>46192</v>
      </c>
      <c r="B290">
        <v>214</v>
      </c>
      <c r="C290" t="s">
        <v>1155</v>
      </c>
      <c r="D290" s="2">
        <v>46192</v>
      </c>
      <c r="E290" s="2">
        <v>46206</v>
      </c>
      <c r="F290" t="s">
        <v>123</v>
      </c>
      <c r="G290" t="s">
        <v>252</v>
      </c>
      <c r="H290" t="s">
        <v>1156</v>
      </c>
      <c r="I290" t="s">
        <v>26</v>
      </c>
      <c r="J290" t="s">
        <v>1157</v>
      </c>
      <c r="K290" t="s">
        <v>184</v>
      </c>
      <c r="L290" t="s">
        <v>29</v>
      </c>
      <c r="M290" t="s">
        <v>1158</v>
      </c>
      <c r="N290" t="s">
        <v>31</v>
      </c>
      <c r="O290" t="s">
        <v>31</v>
      </c>
      <c r="P290" t="s">
        <v>1159</v>
      </c>
      <c r="Q290" s="3" t="s">
        <v>1160</v>
      </c>
    </row>
    <row r="291" spans="1:17" ht="15.6" x14ac:dyDescent="0.3">
      <c r="A291" s="2">
        <v>46192</v>
      </c>
      <c r="B291">
        <v>213</v>
      </c>
      <c r="C291" t="s">
        <v>1161</v>
      </c>
      <c r="D291" s="2">
        <v>46192</v>
      </c>
      <c r="E291" s="2">
        <v>46206</v>
      </c>
      <c r="F291" t="s">
        <v>123</v>
      </c>
      <c r="G291" t="s">
        <v>24</v>
      </c>
      <c r="H291" t="s">
        <v>1162</v>
      </c>
      <c r="I291" t="s">
        <v>26</v>
      </c>
      <c r="J291" t="s">
        <v>1163</v>
      </c>
      <c r="K291" t="s">
        <v>150</v>
      </c>
      <c r="L291" t="s">
        <v>29</v>
      </c>
      <c r="M291" t="s">
        <v>310</v>
      </c>
      <c r="N291" t="s">
        <v>29</v>
      </c>
      <c r="O291" t="s">
        <v>29</v>
      </c>
      <c r="P291" t="s">
        <v>64</v>
      </c>
      <c r="Q291" s="3" t="s">
        <v>1164</v>
      </c>
    </row>
    <row r="292" spans="1:17" ht="15.6" x14ac:dyDescent="0.3">
      <c r="A292" s="2">
        <v>46192</v>
      </c>
      <c r="B292">
        <v>212</v>
      </c>
      <c r="C292" t="s">
        <v>1165</v>
      </c>
      <c r="D292" s="2">
        <v>46192</v>
      </c>
      <c r="E292" s="2">
        <v>46206</v>
      </c>
      <c r="F292" t="s">
        <v>1166</v>
      </c>
      <c r="G292" t="s">
        <v>147</v>
      </c>
      <c r="H292" t="s">
        <v>1167</v>
      </c>
      <c r="I292" t="s">
        <v>26</v>
      </c>
      <c r="J292" t="s">
        <v>1168</v>
      </c>
      <c r="K292" t="s">
        <v>184</v>
      </c>
      <c r="L292" t="s">
        <v>29</v>
      </c>
      <c r="M292" t="s">
        <v>254</v>
      </c>
      <c r="N292" t="s">
        <v>29</v>
      </c>
      <c r="O292" t="s">
        <v>29</v>
      </c>
      <c r="P292" t="s">
        <v>64</v>
      </c>
      <c r="Q292" s="3" t="s">
        <v>1169</v>
      </c>
    </row>
    <row r="293" spans="1:17" ht="15.6" x14ac:dyDescent="0.3">
      <c r="A293" s="2">
        <v>46192</v>
      </c>
      <c r="B293">
        <v>211</v>
      </c>
      <c r="C293" t="s">
        <v>1170</v>
      </c>
      <c r="D293" s="2">
        <v>46192</v>
      </c>
      <c r="E293" s="2">
        <v>46206</v>
      </c>
      <c r="F293" t="s">
        <v>123</v>
      </c>
      <c r="G293" t="s">
        <v>252</v>
      </c>
      <c r="H293" t="s">
        <v>1171</v>
      </c>
      <c r="I293" t="s">
        <v>26</v>
      </c>
      <c r="J293" t="s">
        <v>373</v>
      </c>
      <c r="K293" t="s">
        <v>184</v>
      </c>
      <c r="L293" t="s">
        <v>29</v>
      </c>
      <c r="M293" t="s">
        <v>254</v>
      </c>
      <c r="N293" t="s">
        <v>29</v>
      </c>
      <c r="O293" t="s">
        <v>29</v>
      </c>
      <c r="P293" t="s">
        <v>64</v>
      </c>
      <c r="Q293" s="3" t="s">
        <v>1172</v>
      </c>
    </row>
    <row r="294" spans="1:17" ht="15.6" x14ac:dyDescent="0.3">
      <c r="A294" s="2">
        <v>46192</v>
      </c>
      <c r="B294">
        <v>210</v>
      </c>
      <c r="C294" t="s">
        <v>1173</v>
      </c>
      <c r="D294" s="2">
        <v>46192</v>
      </c>
      <c r="E294" s="2">
        <v>46205</v>
      </c>
      <c r="F294" t="s">
        <v>123</v>
      </c>
      <c r="G294" t="s">
        <v>252</v>
      </c>
      <c r="H294" t="s">
        <v>1174</v>
      </c>
      <c r="I294" t="s">
        <v>26</v>
      </c>
      <c r="J294" t="s">
        <v>1175</v>
      </c>
      <c r="K294" t="s">
        <v>184</v>
      </c>
      <c r="L294" t="s">
        <v>29</v>
      </c>
      <c r="M294" t="s">
        <v>254</v>
      </c>
      <c r="N294" t="s">
        <v>31</v>
      </c>
      <c r="O294" t="s">
        <v>31</v>
      </c>
      <c r="P294" t="s">
        <v>1176</v>
      </c>
      <c r="Q294" s="3" t="s">
        <v>1177</v>
      </c>
    </row>
    <row r="295" spans="1:17" ht="15.6" x14ac:dyDescent="0.3">
      <c r="A295" s="2">
        <v>46192</v>
      </c>
      <c r="B295">
        <v>209</v>
      </c>
      <c r="C295" t="s">
        <v>1178</v>
      </c>
      <c r="D295" s="2">
        <v>46192</v>
      </c>
      <c r="E295" s="2">
        <v>46206</v>
      </c>
      <c r="F295" t="s">
        <v>123</v>
      </c>
      <c r="G295" t="s">
        <v>227</v>
      </c>
      <c r="H295" t="s">
        <v>1179</v>
      </c>
      <c r="I295" t="s">
        <v>26</v>
      </c>
      <c r="J295" t="s">
        <v>1180</v>
      </c>
      <c r="K295" t="s">
        <v>207</v>
      </c>
      <c r="L295" t="s">
        <v>29</v>
      </c>
      <c r="M295" t="s">
        <v>208</v>
      </c>
      <c r="N295" t="s">
        <v>29</v>
      </c>
      <c r="O295" t="s">
        <v>29</v>
      </c>
      <c r="P295" t="s">
        <v>64</v>
      </c>
      <c r="Q295" s="3" t="s">
        <v>1181</v>
      </c>
    </row>
    <row r="296" spans="1:17" ht="15.6" x14ac:dyDescent="0.3">
      <c r="A296" s="2">
        <v>46192</v>
      </c>
      <c r="B296">
        <v>208</v>
      </c>
      <c r="C296" t="s">
        <v>1182</v>
      </c>
      <c r="D296" s="2">
        <v>46192</v>
      </c>
      <c r="E296" s="2">
        <v>46205</v>
      </c>
      <c r="F296" t="s">
        <v>23</v>
      </c>
      <c r="G296" t="s">
        <v>24</v>
      </c>
      <c r="H296" t="s">
        <v>1183</v>
      </c>
      <c r="I296" t="s">
        <v>26</v>
      </c>
      <c r="J296" t="s">
        <v>1184</v>
      </c>
      <c r="K296" t="s">
        <v>379</v>
      </c>
      <c r="L296" t="s">
        <v>29</v>
      </c>
      <c r="M296" t="s">
        <v>343</v>
      </c>
      <c r="N296" t="s">
        <v>29</v>
      </c>
      <c r="O296" t="s">
        <v>29</v>
      </c>
      <c r="P296" t="s">
        <v>64</v>
      </c>
      <c r="Q296" s="3" t="s">
        <v>1185</v>
      </c>
    </row>
    <row r="297" spans="1:17" ht="15.6" x14ac:dyDescent="0.3">
      <c r="A297" s="2">
        <v>46192</v>
      </c>
      <c r="B297">
        <v>207</v>
      </c>
      <c r="C297" t="s">
        <v>1186</v>
      </c>
      <c r="D297" s="2">
        <v>46192</v>
      </c>
      <c r="E297" s="2">
        <v>46205</v>
      </c>
      <c r="F297" t="s">
        <v>23</v>
      </c>
      <c r="G297" t="s">
        <v>252</v>
      </c>
      <c r="H297" t="s">
        <v>1187</v>
      </c>
      <c r="I297" t="s">
        <v>26</v>
      </c>
      <c r="J297" t="s">
        <v>1188</v>
      </c>
      <c r="K297" t="s">
        <v>28</v>
      </c>
      <c r="L297" t="s">
        <v>29</v>
      </c>
      <c r="M297" t="s">
        <v>30</v>
      </c>
      <c r="N297" t="s">
        <v>29</v>
      </c>
      <c r="O297" t="s">
        <v>29</v>
      </c>
      <c r="P297" t="s">
        <v>64</v>
      </c>
      <c r="Q297" s="3" t="s">
        <v>1189</v>
      </c>
    </row>
    <row r="298" spans="1:17" ht="15.6" x14ac:dyDescent="0.3">
      <c r="A298" s="2">
        <v>46192</v>
      </c>
      <c r="B298">
        <v>206</v>
      </c>
      <c r="C298" t="s">
        <v>1190</v>
      </c>
      <c r="D298" s="2">
        <v>46192</v>
      </c>
      <c r="E298" s="2">
        <v>46205</v>
      </c>
      <c r="F298" t="s">
        <v>347</v>
      </c>
      <c r="G298" t="s">
        <v>227</v>
      </c>
      <c r="H298" t="s">
        <v>1191</v>
      </c>
      <c r="I298" t="s">
        <v>26</v>
      </c>
      <c r="J298" t="s">
        <v>1148</v>
      </c>
      <c r="K298" t="s">
        <v>184</v>
      </c>
      <c r="L298" t="s">
        <v>29</v>
      </c>
      <c r="M298" t="s">
        <v>254</v>
      </c>
      <c r="N298" t="s">
        <v>31</v>
      </c>
      <c r="O298" t="s">
        <v>29</v>
      </c>
      <c r="P298" t="s">
        <v>1149</v>
      </c>
      <c r="Q298" s="3" t="s">
        <v>1192</v>
      </c>
    </row>
    <row r="299" spans="1:17" ht="15.6" x14ac:dyDescent="0.3">
      <c r="A299" s="2">
        <v>46192</v>
      </c>
      <c r="B299">
        <v>205</v>
      </c>
      <c r="C299" t="s">
        <v>1193</v>
      </c>
      <c r="D299" s="2">
        <v>46192</v>
      </c>
      <c r="E299" s="2">
        <v>46205</v>
      </c>
      <c r="F299" t="s">
        <v>258</v>
      </c>
      <c r="G299" t="s">
        <v>227</v>
      </c>
      <c r="H299" t="s">
        <v>1194</v>
      </c>
      <c r="I299" t="s">
        <v>26</v>
      </c>
      <c r="J299" t="s">
        <v>1148</v>
      </c>
      <c r="K299" t="s">
        <v>184</v>
      </c>
      <c r="L299" t="s">
        <v>29</v>
      </c>
      <c r="M299" t="s">
        <v>254</v>
      </c>
      <c r="N299" t="s">
        <v>31</v>
      </c>
      <c r="O299" t="s">
        <v>29</v>
      </c>
      <c r="P299" t="s">
        <v>1149</v>
      </c>
      <c r="Q299" s="3" t="s">
        <v>1195</v>
      </c>
    </row>
    <row r="300" spans="1:17" ht="15.6" x14ac:dyDescent="0.3">
      <c r="A300" s="2">
        <v>46192</v>
      </c>
      <c r="B300">
        <v>204</v>
      </c>
      <c r="C300" t="s">
        <v>1196</v>
      </c>
      <c r="D300" s="2">
        <v>46192</v>
      </c>
      <c r="E300" s="2">
        <v>46203</v>
      </c>
      <c r="F300" t="s">
        <v>330</v>
      </c>
      <c r="G300" t="s">
        <v>147</v>
      </c>
      <c r="H300" t="s">
        <v>1197</v>
      </c>
      <c r="I300" t="s">
        <v>26</v>
      </c>
      <c r="J300" t="s">
        <v>1198</v>
      </c>
      <c r="K300" t="s">
        <v>184</v>
      </c>
      <c r="L300" t="s">
        <v>29</v>
      </c>
      <c r="M300" t="s">
        <v>254</v>
      </c>
      <c r="N300" t="s">
        <v>29</v>
      </c>
      <c r="O300" t="s">
        <v>29</v>
      </c>
      <c r="P300" t="s">
        <v>64</v>
      </c>
      <c r="Q300" s="3" t="s">
        <v>1199</v>
      </c>
    </row>
    <row r="301" spans="1:17" ht="15.6" x14ac:dyDescent="0.3">
      <c r="A301" s="2">
        <v>46192</v>
      </c>
      <c r="B301">
        <v>203</v>
      </c>
      <c r="C301" t="s">
        <v>1200</v>
      </c>
      <c r="D301" s="2">
        <v>46192</v>
      </c>
      <c r="E301" s="2">
        <v>46203</v>
      </c>
      <c r="F301" t="s">
        <v>330</v>
      </c>
      <c r="G301" t="s">
        <v>252</v>
      </c>
      <c r="H301" t="s">
        <v>1201</v>
      </c>
      <c r="I301" t="s">
        <v>26</v>
      </c>
      <c r="J301" t="s">
        <v>1202</v>
      </c>
      <c r="K301" t="s">
        <v>48</v>
      </c>
      <c r="L301" t="s">
        <v>29</v>
      </c>
      <c r="M301" t="s">
        <v>254</v>
      </c>
      <c r="N301" t="s">
        <v>29</v>
      </c>
      <c r="O301" t="s">
        <v>29</v>
      </c>
      <c r="P301" t="s">
        <v>64</v>
      </c>
      <c r="Q301" s="3" t="s">
        <v>1203</v>
      </c>
    </row>
    <row r="302" spans="1:17" ht="15.6" x14ac:dyDescent="0.3">
      <c r="A302" s="2">
        <v>46192</v>
      </c>
      <c r="B302">
        <v>202</v>
      </c>
      <c r="C302" t="s">
        <v>1204</v>
      </c>
      <c r="D302" s="2">
        <v>46192</v>
      </c>
      <c r="E302" s="2">
        <v>46204</v>
      </c>
      <c r="F302" t="s">
        <v>123</v>
      </c>
      <c r="G302" t="s">
        <v>252</v>
      </c>
      <c r="H302" t="s">
        <v>1205</v>
      </c>
      <c r="I302" t="s">
        <v>26</v>
      </c>
      <c r="J302" t="s">
        <v>1085</v>
      </c>
      <c r="K302" t="s">
        <v>28</v>
      </c>
      <c r="L302" t="s">
        <v>29</v>
      </c>
      <c r="M302" t="s">
        <v>478</v>
      </c>
      <c r="N302" t="s">
        <v>29</v>
      </c>
      <c r="O302" t="s">
        <v>29</v>
      </c>
      <c r="P302" t="s">
        <v>64</v>
      </c>
      <c r="Q302" s="3" t="s">
        <v>1206</v>
      </c>
    </row>
    <row r="303" spans="1:17" ht="15.6" x14ac:dyDescent="0.3">
      <c r="A303" s="2">
        <v>46192</v>
      </c>
      <c r="B303">
        <v>201</v>
      </c>
      <c r="C303" t="s">
        <v>1207</v>
      </c>
      <c r="D303" s="2">
        <v>46192</v>
      </c>
      <c r="E303" s="2">
        <v>46203</v>
      </c>
      <c r="F303" t="s">
        <v>258</v>
      </c>
      <c r="G303" t="s">
        <v>252</v>
      </c>
      <c r="H303" t="s">
        <v>1208</v>
      </c>
      <c r="I303" t="s">
        <v>26</v>
      </c>
      <c r="J303" t="s">
        <v>1209</v>
      </c>
      <c r="K303" t="s">
        <v>379</v>
      </c>
      <c r="L303" t="s">
        <v>29</v>
      </c>
      <c r="M303" t="s">
        <v>254</v>
      </c>
      <c r="N303" t="s">
        <v>29</v>
      </c>
      <c r="O303" t="s">
        <v>29</v>
      </c>
      <c r="P303" t="s">
        <v>64</v>
      </c>
      <c r="Q303" s="3" t="s">
        <v>1210</v>
      </c>
    </row>
    <row r="304" spans="1:17" ht="15.6" x14ac:dyDescent="0.3">
      <c r="A304" s="2">
        <v>46192</v>
      </c>
      <c r="B304">
        <v>200</v>
      </c>
      <c r="C304" t="s">
        <v>1211</v>
      </c>
      <c r="D304" s="2">
        <v>46192</v>
      </c>
      <c r="E304" s="2">
        <v>46203</v>
      </c>
      <c r="F304" t="s">
        <v>123</v>
      </c>
      <c r="G304" t="s">
        <v>24</v>
      </c>
      <c r="H304" t="s">
        <v>1212</v>
      </c>
      <c r="I304" t="s">
        <v>26</v>
      </c>
      <c r="J304" t="s">
        <v>1163</v>
      </c>
      <c r="K304" t="s">
        <v>150</v>
      </c>
      <c r="L304" t="s">
        <v>29</v>
      </c>
      <c r="M304" t="s">
        <v>163</v>
      </c>
      <c r="N304" t="s">
        <v>29</v>
      </c>
      <c r="O304" t="s">
        <v>29</v>
      </c>
      <c r="P304" t="s">
        <v>64</v>
      </c>
      <c r="Q304" s="3" t="s">
        <v>1213</v>
      </c>
    </row>
    <row r="305" spans="1:17" ht="15.6" x14ac:dyDescent="0.3">
      <c r="A305" s="2">
        <v>46192</v>
      </c>
      <c r="B305">
        <v>199</v>
      </c>
      <c r="C305" t="s">
        <v>1214</v>
      </c>
      <c r="D305" s="2">
        <v>46192</v>
      </c>
      <c r="E305" s="2">
        <v>46204</v>
      </c>
      <c r="F305" t="s">
        <v>123</v>
      </c>
      <c r="G305" t="s">
        <v>252</v>
      </c>
      <c r="H305" t="s">
        <v>1215</v>
      </c>
      <c r="I305" t="s">
        <v>26</v>
      </c>
      <c r="J305" t="s">
        <v>1216</v>
      </c>
      <c r="K305" t="s">
        <v>42</v>
      </c>
      <c r="L305" t="s">
        <v>29</v>
      </c>
      <c r="M305" t="s">
        <v>171</v>
      </c>
      <c r="N305" t="s">
        <v>29</v>
      </c>
      <c r="O305" t="s">
        <v>29</v>
      </c>
      <c r="P305" t="s">
        <v>64</v>
      </c>
      <c r="Q305" s="3" t="s">
        <v>1217</v>
      </c>
    </row>
    <row r="306" spans="1:17" ht="15.6" x14ac:dyDescent="0.3">
      <c r="A306" s="2">
        <v>46192</v>
      </c>
      <c r="B306">
        <v>198</v>
      </c>
      <c r="C306" t="s">
        <v>1218</v>
      </c>
      <c r="D306" s="2">
        <v>46192</v>
      </c>
      <c r="E306" s="2">
        <v>46204</v>
      </c>
      <c r="F306" t="s">
        <v>123</v>
      </c>
      <c r="G306" t="s">
        <v>252</v>
      </c>
      <c r="H306" t="s">
        <v>1219</v>
      </c>
      <c r="I306" t="s">
        <v>26</v>
      </c>
      <c r="J306" t="s">
        <v>1216</v>
      </c>
      <c r="K306" t="s">
        <v>42</v>
      </c>
      <c r="L306" t="s">
        <v>29</v>
      </c>
      <c r="M306" t="s">
        <v>171</v>
      </c>
      <c r="N306" t="s">
        <v>29</v>
      </c>
      <c r="O306" t="s">
        <v>29</v>
      </c>
      <c r="P306" t="s">
        <v>64</v>
      </c>
      <c r="Q306" s="3" t="s">
        <v>1220</v>
      </c>
    </row>
    <row r="307" spans="1:17" ht="15.6" x14ac:dyDescent="0.3">
      <c r="A307" s="2">
        <v>46192</v>
      </c>
      <c r="B307">
        <v>197</v>
      </c>
      <c r="C307" t="s">
        <v>1221</v>
      </c>
      <c r="D307" s="2">
        <v>46192</v>
      </c>
      <c r="E307" s="2">
        <v>46204</v>
      </c>
      <c r="F307" t="s">
        <v>123</v>
      </c>
      <c r="G307" t="s">
        <v>252</v>
      </c>
      <c r="H307" t="s">
        <v>1222</v>
      </c>
      <c r="I307" t="s">
        <v>26</v>
      </c>
      <c r="J307" t="s">
        <v>1216</v>
      </c>
      <c r="K307" t="s">
        <v>42</v>
      </c>
      <c r="L307" t="s">
        <v>29</v>
      </c>
      <c r="M307" t="s">
        <v>171</v>
      </c>
      <c r="N307" t="s">
        <v>29</v>
      </c>
      <c r="O307" t="s">
        <v>29</v>
      </c>
      <c r="P307" t="s">
        <v>64</v>
      </c>
      <c r="Q307" s="3" t="s">
        <v>1223</v>
      </c>
    </row>
    <row r="308" spans="1:17" ht="15.6" x14ac:dyDescent="0.3">
      <c r="A308" s="2">
        <v>46192</v>
      </c>
      <c r="B308">
        <v>196</v>
      </c>
      <c r="C308" t="s">
        <v>1224</v>
      </c>
      <c r="D308" s="2">
        <v>46192</v>
      </c>
      <c r="E308" s="2">
        <v>46204</v>
      </c>
      <c r="F308" t="s">
        <v>123</v>
      </c>
      <c r="G308" t="s">
        <v>252</v>
      </c>
      <c r="H308" t="s">
        <v>1225</v>
      </c>
      <c r="I308" t="s">
        <v>26</v>
      </c>
      <c r="J308" t="s">
        <v>1216</v>
      </c>
      <c r="K308" t="s">
        <v>42</v>
      </c>
      <c r="L308" t="s">
        <v>29</v>
      </c>
      <c r="M308" t="s">
        <v>254</v>
      </c>
      <c r="N308" t="s">
        <v>29</v>
      </c>
      <c r="O308" t="s">
        <v>29</v>
      </c>
      <c r="P308" t="s">
        <v>64</v>
      </c>
      <c r="Q308" s="3" t="s">
        <v>1226</v>
      </c>
    </row>
    <row r="309" spans="1:17" ht="15.6" x14ac:dyDescent="0.3">
      <c r="A309" s="2">
        <v>46192</v>
      </c>
      <c r="B309">
        <v>195</v>
      </c>
      <c r="C309" t="s">
        <v>1227</v>
      </c>
      <c r="D309" s="2">
        <v>46192</v>
      </c>
      <c r="E309" s="2">
        <v>46203</v>
      </c>
      <c r="F309" t="s">
        <v>123</v>
      </c>
      <c r="G309" t="s">
        <v>252</v>
      </c>
      <c r="H309" t="s">
        <v>1228</v>
      </c>
      <c r="I309" t="s">
        <v>26</v>
      </c>
      <c r="J309" t="s">
        <v>1229</v>
      </c>
      <c r="K309" t="s">
        <v>42</v>
      </c>
      <c r="L309" t="s">
        <v>29</v>
      </c>
      <c r="M309" t="s">
        <v>343</v>
      </c>
      <c r="N309" t="s">
        <v>29</v>
      </c>
      <c r="O309" t="s">
        <v>29</v>
      </c>
      <c r="P309" t="s">
        <v>64</v>
      </c>
      <c r="Q309" s="3" t="s">
        <v>1230</v>
      </c>
    </row>
    <row r="310" spans="1:17" ht="15.6" x14ac:dyDescent="0.3">
      <c r="A310" s="2">
        <v>46192</v>
      </c>
      <c r="B310">
        <v>194</v>
      </c>
      <c r="C310" t="s">
        <v>1231</v>
      </c>
      <c r="D310" s="2">
        <v>46192</v>
      </c>
      <c r="E310" s="2">
        <v>46203</v>
      </c>
      <c r="F310" t="s">
        <v>123</v>
      </c>
      <c r="G310" t="s">
        <v>252</v>
      </c>
      <c r="H310" t="s">
        <v>1232</v>
      </c>
      <c r="I310" t="s">
        <v>26</v>
      </c>
      <c r="J310" t="s">
        <v>1233</v>
      </c>
      <c r="K310" t="s">
        <v>28</v>
      </c>
      <c r="L310" t="s">
        <v>29</v>
      </c>
      <c r="M310" t="s">
        <v>507</v>
      </c>
      <c r="N310" t="s">
        <v>29</v>
      </c>
      <c r="O310" t="s">
        <v>29</v>
      </c>
      <c r="P310" t="s">
        <v>64</v>
      </c>
      <c r="Q310" s="3" t="s">
        <v>1234</v>
      </c>
    </row>
    <row r="311" spans="1:17" ht="15.6" x14ac:dyDescent="0.3">
      <c r="A311" s="2">
        <v>46192</v>
      </c>
      <c r="B311">
        <v>193</v>
      </c>
      <c r="C311" t="s">
        <v>1235</v>
      </c>
      <c r="D311" s="2">
        <v>46192</v>
      </c>
      <c r="E311" s="2">
        <v>46202</v>
      </c>
      <c r="F311" t="s">
        <v>23</v>
      </c>
      <c r="G311" t="s">
        <v>252</v>
      </c>
      <c r="H311" t="s">
        <v>1236</v>
      </c>
      <c r="I311" t="s">
        <v>26</v>
      </c>
      <c r="J311" t="s">
        <v>1237</v>
      </c>
      <c r="K311" t="s">
        <v>48</v>
      </c>
      <c r="L311" t="s">
        <v>29</v>
      </c>
      <c r="M311" t="s">
        <v>254</v>
      </c>
      <c r="N311" t="s">
        <v>29</v>
      </c>
      <c r="O311" t="s">
        <v>29</v>
      </c>
      <c r="P311" t="s">
        <v>64</v>
      </c>
      <c r="Q311" s="3" t="s">
        <v>1238</v>
      </c>
    </row>
    <row r="312" spans="1:17" ht="15.6" x14ac:dyDescent="0.3">
      <c r="A312" s="2">
        <v>46192</v>
      </c>
      <c r="B312">
        <v>192</v>
      </c>
      <c r="C312" t="s">
        <v>1239</v>
      </c>
      <c r="D312" s="2">
        <v>46192</v>
      </c>
      <c r="E312" s="2">
        <v>46202</v>
      </c>
      <c r="F312" t="s">
        <v>123</v>
      </c>
      <c r="G312" t="s">
        <v>252</v>
      </c>
      <c r="H312" t="s">
        <v>1240</v>
      </c>
      <c r="I312" t="s">
        <v>26</v>
      </c>
      <c r="J312" t="s">
        <v>1241</v>
      </c>
      <c r="K312" t="s">
        <v>150</v>
      </c>
      <c r="L312" t="s">
        <v>29</v>
      </c>
      <c r="M312" t="s">
        <v>120</v>
      </c>
      <c r="N312" t="s">
        <v>29</v>
      </c>
      <c r="O312" t="s">
        <v>29</v>
      </c>
      <c r="P312" t="s">
        <v>64</v>
      </c>
      <c r="Q312" s="3" t="s">
        <v>1242</v>
      </c>
    </row>
    <row r="313" spans="1:17" ht="15.6" x14ac:dyDescent="0.3">
      <c r="A313" s="2">
        <v>46192</v>
      </c>
      <c r="B313">
        <v>191</v>
      </c>
      <c r="C313" t="s">
        <v>1243</v>
      </c>
      <c r="D313" s="2">
        <v>46192</v>
      </c>
      <c r="E313" s="2">
        <v>46202</v>
      </c>
      <c r="F313" t="s">
        <v>123</v>
      </c>
      <c r="G313" t="s">
        <v>252</v>
      </c>
      <c r="H313" t="s">
        <v>1244</v>
      </c>
      <c r="I313" t="s">
        <v>26</v>
      </c>
      <c r="J313" t="s">
        <v>1245</v>
      </c>
      <c r="K313" t="s">
        <v>150</v>
      </c>
      <c r="L313" t="s">
        <v>29</v>
      </c>
      <c r="M313" t="s">
        <v>502</v>
      </c>
      <c r="N313" t="s">
        <v>29</v>
      </c>
      <c r="O313" t="s">
        <v>29</v>
      </c>
      <c r="P313" t="s">
        <v>64</v>
      </c>
      <c r="Q313" s="3" t="s">
        <v>1246</v>
      </c>
    </row>
    <row r="314" spans="1:17" ht="15.6" x14ac:dyDescent="0.3">
      <c r="A314" s="2">
        <v>46192</v>
      </c>
      <c r="B314">
        <v>190</v>
      </c>
      <c r="C314" t="s">
        <v>1247</v>
      </c>
      <c r="D314" s="2">
        <v>46192</v>
      </c>
      <c r="E314" s="2">
        <v>46203</v>
      </c>
      <c r="F314" t="s">
        <v>123</v>
      </c>
      <c r="G314" t="s">
        <v>252</v>
      </c>
      <c r="H314" t="s">
        <v>1248</v>
      </c>
      <c r="I314" t="s">
        <v>26</v>
      </c>
      <c r="J314" t="s">
        <v>1249</v>
      </c>
      <c r="K314" t="s">
        <v>42</v>
      </c>
      <c r="L314" t="s">
        <v>29</v>
      </c>
      <c r="M314" t="s">
        <v>356</v>
      </c>
      <c r="N314" t="s">
        <v>29</v>
      </c>
      <c r="O314" t="s">
        <v>29</v>
      </c>
      <c r="P314" t="s">
        <v>64</v>
      </c>
      <c r="Q314" s="3" t="s">
        <v>1250</v>
      </c>
    </row>
    <row r="315" spans="1:17" ht="15.6" x14ac:dyDescent="0.3">
      <c r="A315" s="2">
        <v>46192</v>
      </c>
      <c r="B315">
        <v>189</v>
      </c>
      <c r="C315" t="s">
        <v>1251</v>
      </c>
      <c r="D315" s="2">
        <v>46192</v>
      </c>
      <c r="E315" s="2">
        <v>46202</v>
      </c>
      <c r="F315" t="s">
        <v>123</v>
      </c>
      <c r="G315" t="s">
        <v>252</v>
      </c>
      <c r="H315" t="s">
        <v>1252</v>
      </c>
      <c r="I315" t="s">
        <v>26</v>
      </c>
      <c r="J315" t="s">
        <v>1253</v>
      </c>
      <c r="K315" t="s">
        <v>207</v>
      </c>
      <c r="L315" t="s">
        <v>29</v>
      </c>
      <c r="M315" t="s">
        <v>254</v>
      </c>
      <c r="N315" t="s">
        <v>29</v>
      </c>
      <c r="O315" t="s">
        <v>29</v>
      </c>
      <c r="P315" t="s">
        <v>64</v>
      </c>
      <c r="Q315" s="3" t="s">
        <v>1254</v>
      </c>
    </row>
    <row r="316" spans="1:17" ht="15.6" x14ac:dyDescent="0.3">
      <c r="A316" s="2">
        <v>46192</v>
      </c>
      <c r="B316">
        <v>188</v>
      </c>
      <c r="C316" t="s">
        <v>1255</v>
      </c>
      <c r="D316" s="2">
        <v>46192</v>
      </c>
      <c r="E316" s="2">
        <v>46202</v>
      </c>
      <c r="F316" t="s">
        <v>123</v>
      </c>
      <c r="G316" t="s">
        <v>147</v>
      </c>
      <c r="H316" t="s">
        <v>1256</v>
      </c>
      <c r="I316" t="s">
        <v>26</v>
      </c>
      <c r="J316" t="s">
        <v>275</v>
      </c>
      <c r="K316" t="s">
        <v>62</v>
      </c>
      <c r="L316" t="s">
        <v>29</v>
      </c>
      <c r="M316" t="s">
        <v>482</v>
      </c>
      <c r="N316" t="s">
        <v>29</v>
      </c>
      <c r="O316" t="s">
        <v>29</v>
      </c>
      <c r="P316" t="s">
        <v>64</v>
      </c>
      <c r="Q316" s="3" t="s">
        <v>1257</v>
      </c>
    </row>
    <row r="317" spans="1:17" ht="15.6" x14ac:dyDescent="0.3">
      <c r="A317" s="2">
        <v>46192</v>
      </c>
      <c r="B317">
        <v>187</v>
      </c>
      <c r="C317" t="s">
        <v>1258</v>
      </c>
      <c r="D317" s="2">
        <v>46192</v>
      </c>
      <c r="E317" s="2">
        <v>46202</v>
      </c>
      <c r="F317" t="s">
        <v>23</v>
      </c>
      <c r="G317" t="s">
        <v>252</v>
      </c>
      <c r="H317" t="s">
        <v>1259</v>
      </c>
      <c r="I317" t="s">
        <v>26</v>
      </c>
      <c r="J317" t="s">
        <v>1260</v>
      </c>
      <c r="K317" t="s">
        <v>28</v>
      </c>
      <c r="L317" t="s">
        <v>29</v>
      </c>
      <c r="M317" t="s">
        <v>310</v>
      </c>
      <c r="N317" t="s">
        <v>31</v>
      </c>
      <c r="O317" t="s">
        <v>31</v>
      </c>
      <c r="P317" t="s">
        <v>1261</v>
      </c>
      <c r="Q317" s="3" t="s">
        <v>1262</v>
      </c>
    </row>
    <row r="318" spans="1:17" ht="15.6" x14ac:dyDescent="0.3">
      <c r="A318" s="2">
        <v>46192</v>
      </c>
      <c r="B318">
        <v>186</v>
      </c>
      <c r="C318" t="s">
        <v>1263</v>
      </c>
      <c r="D318" s="2">
        <v>46192</v>
      </c>
      <c r="E318" s="2">
        <v>46202</v>
      </c>
      <c r="F318" t="s">
        <v>123</v>
      </c>
      <c r="G318" t="s">
        <v>147</v>
      </c>
      <c r="H318" t="s">
        <v>1264</v>
      </c>
      <c r="I318" t="s">
        <v>26</v>
      </c>
      <c r="J318" t="s">
        <v>490</v>
      </c>
      <c r="K318" t="s">
        <v>184</v>
      </c>
      <c r="L318" t="s">
        <v>29</v>
      </c>
      <c r="M318" t="s">
        <v>30</v>
      </c>
      <c r="N318" t="s">
        <v>29</v>
      </c>
      <c r="O318" t="s">
        <v>29</v>
      </c>
      <c r="P318" t="s">
        <v>64</v>
      </c>
      <c r="Q318" s="3" t="s">
        <v>1265</v>
      </c>
    </row>
    <row r="319" spans="1:17" ht="15.6" x14ac:dyDescent="0.3">
      <c r="A319" s="2">
        <v>46192</v>
      </c>
      <c r="B319">
        <v>185</v>
      </c>
      <c r="C319" t="s">
        <v>1266</v>
      </c>
      <c r="D319" s="2">
        <v>46192</v>
      </c>
      <c r="E319" s="2">
        <v>46202</v>
      </c>
      <c r="F319" t="s">
        <v>123</v>
      </c>
      <c r="G319" t="s">
        <v>252</v>
      </c>
      <c r="H319" t="s">
        <v>1267</v>
      </c>
      <c r="I319" t="s">
        <v>26</v>
      </c>
      <c r="J319" t="s">
        <v>1241</v>
      </c>
      <c r="K319" t="s">
        <v>150</v>
      </c>
      <c r="L319" t="s">
        <v>29</v>
      </c>
      <c r="M319" t="s">
        <v>433</v>
      </c>
      <c r="N319" t="s">
        <v>29</v>
      </c>
      <c r="O319" t="s">
        <v>29</v>
      </c>
      <c r="P319" t="s">
        <v>64</v>
      </c>
      <c r="Q319" s="3" t="s">
        <v>1268</v>
      </c>
    </row>
    <row r="320" spans="1:17" ht="15.6" x14ac:dyDescent="0.3">
      <c r="A320" s="2">
        <v>46192</v>
      </c>
      <c r="B320">
        <v>184</v>
      </c>
      <c r="C320" t="s">
        <v>1269</v>
      </c>
      <c r="D320" s="2">
        <v>46192</v>
      </c>
      <c r="E320" s="2">
        <v>46202</v>
      </c>
      <c r="F320" t="s">
        <v>123</v>
      </c>
      <c r="G320" t="s">
        <v>252</v>
      </c>
      <c r="H320" t="s">
        <v>1270</v>
      </c>
      <c r="I320" t="s">
        <v>26</v>
      </c>
      <c r="J320" t="s">
        <v>1241</v>
      </c>
      <c r="K320" t="s">
        <v>150</v>
      </c>
      <c r="L320" t="s">
        <v>29</v>
      </c>
      <c r="M320" t="s">
        <v>433</v>
      </c>
      <c r="N320" t="s">
        <v>29</v>
      </c>
      <c r="O320" t="s">
        <v>29</v>
      </c>
      <c r="P320" t="s">
        <v>64</v>
      </c>
      <c r="Q320" s="3" t="s">
        <v>1271</v>
      </c>
    </row>
    <row r="321" spans="1:17" ht="15.6" x14ac:dyDescent="0.3">
      <c r="A321" s="2">
        <v>46192</v>
      </c>
      <c r="B321">
        <v>183</v>
      </c>
      <c r="C321" t="s">
        <v>1272</v>
      </c>
      <c r="D321" s="2">
        <v>46192</v>
      </c>
      <c r="E321" s="2">
        <v>46202</v>
      </c>
      <c r="F321" t="s">
        <v>123</v>
      </c>
      <c r="G321" t="s">
        <v>252</v>
      </c>
      <c r="H321" t="s">
        <v>1273</v>
      </c>
      <c r="I321" t="s">
        <v>26</v>
      </c>
      <c r="J321" t="s">
        <v>1241</v>
      </c>
      <c r="K321" t="s">
        <v>150</v>
      </c>
      <c r="L321" t="s">
        <v>29</v>
      </c>
      <c r="M321" t="s">
        <v>433</v>
      </c>
      <c r="N321" t="s">
        <v>29</v>
      </c>
      <c r="O321" t="s">
        <v>29</v>
      </c>
      <c r="P321" t="s">
        <v>64</v>
      </c>
      <c r="Q321" s="3" t="s">
        <v>1274</v>
      </c>
    </row>
    <row r="322" spans="1:17" ht="15.6" x14ac:dyDescent="0.3">
      <c r="A322" s="2">
        <v>46192</v>
      </c>
      <c r="B322">
        <v>182</v>
      </c>
      <c r="C322" t="s">
        <v>1275</v>
      </c>
      <c r="D322" s="2">
        <v>46192</v>
      </c>
      <c r="E322" s="2">
        <v>46202</v>
      </c>
      <c r="F322" t="s">
        <v>123</v>
      </c>
      <c r="G322" t="s">
        <v>252</v>
      </c>
      <c r="H322" t="s">
        <v>1276</v>
      </c>
      <c r="I322" t="s">
        <v>26</v>
      </c>
      <c r="J322" t="s">
        <v>1277</v>
      </c>
      <c r="K322" t="s">
        <v>62</v>
      </c>
      <c r="L322" t="s">
        <v>29</v>
      </c>
      <c r="M322" t="s">
        <v>171</v>
      </c>
      <c r="N322" t="s">
        <v>29</v>
      </c>
      <c r="O322" t="s">
        <v>29</v>
      </c>
      <c r="P322" t="s">
        <v>64</v>
      </c>
      <c r="Q322" s="3" t="s">
        <v>1278</v>
      </c>
    </row>
    <row r="323" spans="1:17" ht="15.6" x14ac:dyDescent="0.3">
      <c r="A323" s="2">
        <v>46192</v>
      </c>
      <c r="B323">
        <v>181</v>
      </c>
      <c r="C323" t="s">
        <v>1279</v>
      </c>
      <c r="D323" s="2">
        <v>46192</v>
      </c>
      <c r="E323" s="2">
        <v>46199</v>
      </c>
      <c r="F323" t="s">
        <v>330</v>
      </c>
      <c r="G323" t="s">
        <v>252</v>
      </c>
      <c r="H323" t="s">
        <v>1280</v>
      </c>
      <c r="I323" t="s">
        <v>26</v>
      </c>
      <c r="J323" t="s">
        <v>474</v>
      </c>
      <c r="K323" t="s">
        <v>184</v>
      </c>
      <c r="L323" t="s">
        <v>29</v>
      </c>
      <c r="M323" t="s">
        <v>171</v>
      </c>
      <c r="N323" t="s">
        <v>29</v>
      </c>
      <c r="O323" t="s">
        <v>29</v>
      </c>
      <c r="P323" t="s">
        <v>64</v>
      </c>
      <c r="Q323" s="3" t="s">
        <v>1281</v>
      </c>
    </row>
    <row r="324" spans="1:17" ht="15.6" x14ac:dyDescent="0.3">
      <c r="A324" s="2">
        <v>46192</v>
      </c>
      <c r="B324">
        <v>180</v>
      </c>
      <c r="C324" t="s">
        <v>1282</v>
      </c>
      <c r="D324" s="2">
        <v>46192</v>
      </c>
      <c r="E324" s="2">
        <v>46199</v>
      </c>
      <c r="F324" t="s">
        <v>330</v>
      </c>
      <c r="G324" t="s">
        <v>252</v>
      </c>
      <c r="H324" t="s">
        <v>1283</v>
      </c>
      <c r="I324" t="s">
        <v>26</v>
      </c>
      <c r="J324" t="s">
        <v>474</v>
      </c>
      <c r="K324" t="s">
        <v>184</v>
      </c>
      <c r="L324" t="s">
        <v>29</v>
      </c>
      <c r="M324" t="s">
        <v>171</v>
      </c>
      <c r="N324" t="s">
        <v>29</v>
      </c>
      <c r="O324" t="s">
        <v>29</v>
      </c>
      <c r="P324" t="s">
        <v>64</v>
      </c>
      <c r="Q324" s="3" t="s">
        <v>1284</v>
      </c>
    </row>
    <row r="325" spans="1:17" ht="15.6" x14ac:dyDescent="0.3">
      <c r="A325" s="2">
        <v>46192</v>
      </c>
      <c r="B325">
        <v>179</v>
      </c>
      <c r="C325" t="s">
        <v>1285</v>
      </c>
      <c r="D325" s="2">
        <v>46192</v>
      </c>
      <c r="E325" s="2">
        <v>46199</v>
      </c>
      <c r="F325" t="s">
        <v>330</v>
      </c>
      <c r="G325" t="s">
        <v>252</v>
      </c>
      <c r="H325" t="s">
        <v>1286</v>
      </c>
      <c r="I325" t="s">
        <v>26</v>
      </c>
      <c r="J325" t="s">
        <v>1287</v>
      </c>
      <c r="K325" t="s">
        <v>42</v>
      </c>
      <c r="L325" t="s">
        <v>29</v>
      </c>
      <c r="M325" t="s">
        <v>171</v>
      </c>
      <c r="N325" t="s">
        <v>29</v>
      </c>
      <c r="O325" t="s">
        <v>29</v>
      </c>
      <c r="P325" t="s">
        <v>64</v>
      </c>
      <c r="Q325" s="3" t="s">
        <v>1288</v>
      </c>
    </row>
    <row r="326" spans="1:17" ht="15.6" x14ac:dyDescent="0.3">
      <c r="A326" s="2">
        <v>46192</v>
      </c>
      <c r="B326">
        <v>178</v>
      </c>
      <c r="C326" t="s">
        <v>1289</v>
      </c>
      <c r="D326" s="2">
        <v>46192</v>
      </c>
      <c r="E326" s="2">
        <v>46199</v>
      </c>
      <c r="F326" t="s">
        <v>330</v>
      </c>
      <c r="G326" t="s">
        <v>252</v>
      </c>
      <c r="H326" t="s">
        <v>1290</v>
      </c>
      <c r="I326" t="s">
        <v>26</v>
      </c>
      <c r="J326" t="s">
        <v>1291</v>
      </c>
      <c r="K326" t="s">
        <v>284</v>
      </c>
      <c r="L326" t="s">
        <v>29</v>
      </c>
      <c r="M326" t="s">
        <v>190</v>
      </c>
      <c r="N326" t="s">
        <v>29</v>
      </c>
      <c r="O326" t="s">
        <v>29</v>
      </c>
      <c r="P326" t="s">
        <v>64</v>
      </c>
      <c r="Q326" s="3" t="s">
        <v>1292</v>
      </c>
    </row>
    <row r="327" spans="1:17" ht="15.6" x14ac:dyDescent="0.3">
      <c r="A327" s="2">
        <v>46192</v>
      </c>
      <c r="B327">
        <v>177</v>
      </c>
      <c r="C327" t="s">
        <v>1293</v>
      </c>
      <c r="D327" s="2">
        <v>46192</v>
      </c>
      <c r="E327" s="2">
        <v>46199</v>
      </c>
      <c r="F327" t="s">
        <v>330</v>
      </c>
      <c r="G327" t="s">
        <v>252</v>
      </c>
      <c r="H327" t="s">
        <v>1294</v>
      </c>
      <c r="I327" t="s">
        <v>26</v>
      </c>
      <c r="J327" t="s">
        <v>474</v>
      </c>
      <c r="K327" t="s">
        <v>184</v>
      </c>
      <c r="L327" t="s">
        <v>29</v>
      </c>
      <c r="M327" t="s">
        <v>171</v>
      </c>
      <c r="N327" t="s">
        <v>29</v>
      </c>
      <c r="O327" t="s">
        <v>29</v>
      </c>
      <c r="P327" t="s">
        <v>64</v>
      </c>
      <c r="Q327" s="3" t="s">
        <v>1295</v>
      </c>
    </row>
    <row r="328" spans="1:17" ht="15.6" x14ac:dyDescent="0.3">
      <c r="A328" s="2">
        <v>46192</v>
      </c>
      <c r="B328">
        <v>176</v>
      </c>
      <c r="C328" t="s">
        <v>1296</v>
      </c>
      <c r="D328" s="2">
        <v>46192</v>
      </c>
      <c r="E328" s="2">
        <v>46199</v>
      </c>
      <c r="F328" t="s">
        <v>330</v>
      </c>
      <c r="G328" t="s">
        <v>252</v>
      </c>
      <c r="H328" t="s">
        <v>1297</v>
      </c>
      <c r="I328" t="s">
        <v>26</v>
      </c>
      <c r="J328" t="s">
        <v>474</v>
      </c>
      <c r="K328" t="s">
        <v>184</v>
      </c>
      <c r="L328" t="s">
        <v>29</v>
      </c>
      <c r="M328" t="s">
        <v>171</v>
      </c>
      <c r="N328" t="s">
        <v>29</v>
      </c>
      <c r="O328" t="s">
        <v>29</v>
      </c>
      <c r="P328" t="s">
        <v>64</v>
      </c>
      <c r="Q328" s="3" t="s">
        <v>1298</v>
      </c>
    </row>
    <row r="329" spans="1:17" ht="15.6" x14ac:dyDescent="0.3">
      <c r="A329" s="2">
        <v>46192</v>
      </c>
      <c r="B329">
        <v>175</v>
      </c>
      <c r="C329" t="s">
        <v>1299</v>
      </c>
      <c r="D329" s="2">
        <v>46192</v>
      </c>
      <c r="E329" s="2">
        <v>46199</v>
      </c>
      <c r="F329" t="s">
        <v>330</v>
      </c>
      <c r="G329" t="s">
        <v>252</v>
      </c>
      <c r="H329" t="s">
        <v>1300</v>
      </c>
      <c r="I329" t="s">
        <v>26</v>
      </c>
      <c r="J329" t="s">
        <v>474</v>
      </c>
      <c r="K329" t="s">
        <v>184</v>
      </c>
      <c r="L329" t="s">
        <v>29</v>
      </c>
      <c r="M329" t="s">
        <v>30</v>
      </c>
      <c r="N329" t="s">
        <v>29</v>
      </c>
      <c r="O329" t="s">
        <v>29</v>
      </c>
      <c r="P329" t="s">
        <v>64</v>
      </c>
      <c r="Q329" s="3" t="s">
        <v>1301</v>
      </c>
    </row>
    <row r="330" spans="1:17" ht="15.6" x14ac:dyDescent="0.3">
      <c r="A330" s="2">
        <v>46192</v>
      </c>
      <c r="B330">
        <v>174</v>
      </c>
      <c r="C330" t="s">
        <v>1302</v>
      </c>
      <c r="D330" s="2">
        <v>46192</v>
      </c>
      <c r="E330" s="2">
        <v>46199</v>
      </c>
      <c r="F330" t="s">
        <v>330</v>
      </c>
      <c r="G330" t="s">
        <v>252</v>
      </c>
      <c r="H330" t="s">
        <v>1303</v>
      </c>
      <c r="I330" t="s">
        <v>26</v>
      </c>
      <c r="J330" t="s">
        <v>474</v>
      </c>
      <c r="K330" t="s">
        <v>184</v>
      </c>
      <c r="L330" t="s">
        <v>29</v>
      </c>
      <c r="M330" t="s">
        <v>30</v>
      </c>
      <c r="N330" t="s">
        <v>29</v>
      </c>
      <c r="O330" t="s">
        <v>29</v>
      </c>
      <c r="P330" t="s">
        <v>64</v>
      </c>
      <c r="Q330" s="3" t="s">
        <v>1304</v>
      </c>
    </row>
    <row r="331" spans="1:17" ht="15.6" x14ac:dyDescent="0.3">
      <c r="A331" s="2">
        <v>46193</v>
      </c>
      <c r="B331">
        <v>173</v>
      </c>
      <c r="C331" t="s">
        <v>1305</v>
      </c>
      <c r="D331" s="2">
        <v>46193</v>
      </c>
      <c r="E331" s="2">
        <v>46233</v>
      </c>
      <c r="F331" t="s">
        <v>181</v>
      </c>
      <c r="G331" t="s">
        <v>24</v>
      </c>
      <c r="H331" t="s">
        <v>1306</v>
      </c>
      <c r="I331" t="s">
        <v>26</v>
      </c>
      <c r="J331" t="s">
        <v>199</v>
      </c>
      <c r="K331" t="s">
        <v>184</v>
      </c>
      <c r="L331" t="s">
        <v>29</v>
      </c>
      <c r="M331" t="s">
        <v>254</v>
      </c>
      <c r="N331" t="s">
        <v>31</v>
      </c>
      <c r="O331" t="s">
        <v>31</v>
      </c>
      <c r="P331" t="s">
        <v>659</v>
      </c>
      <c r="Q331" s="3" t="s">
        <v>1307</v>
      </c>
    </row>
    <row r="332" spans="1:17" ht="15.6" x14ac:dyDescent="0.3">
      <c r="A332" s="2">
        <v>46193</v>
      </c>
      <c r="B332">
        <v>172</v>
      </c>
      <c r="C332" t="s">
        <v>1308</v>
      </c>
      <c r="D332" s="2">
        <v>46193</v>
      </c>
      <c r="E332" s="2">
        <v>46233</v>
      </c>
      <c r="F332" t="s">
        <v>181</v>
      </c>
      <c r="G332" t="s">
        <v>24</v>
      </c>
      <c r="H332" t="s">
        <v>1309</v>
      </c>
      <c r="I332" t="s">
        <v>26</v>
      </c>
      <c r="J332" t="s">
        <v>199</v>
      </c>
      <c r="K332" t="s">
        <v>184</v>
      </c>
      <c r="L332" t="s">
        <v>29</v>
      </c>
      <c r="M332" t="s">
        <v>254</v>
      </c>
      <c r="N332" t="s">
        <v>31</v>
      </c>
      <c r="O332" t="s">
        <v>29</v>
      </c>
      <c r="P332" t="s">
        <v>659</v>
      </c>
      <c r="Q332" s="3" t="s">
        <v>1310</v>
      </c>
    </row>
    <row r="333" spans="1:17" ht="15.6" x14ac:dyDescent="0.3">
      <c r="A333" s="2">
        <v>46193</v>
      </c>
      <c r="B333">
        <v>171</v>
      </c>
      <c r="C333" t="s">
        <v>1311</v>
      </c>
      <c r="D333" s="2">
        <v>46193</v>
      </c>
      <c r="E333" s="2">
        <v>46217</v>
      </c>
      <c r="F333" t="s">
        <v>123</v>
      </c>
      <c r="G333" t="s">
        <v>147</v>
      </c>
      <c r="H333" t="s">
        <v>1312</v>
      </c>
      <c r="I333" t="s">
        <v>26</v>
      </c>
      <c r="J333" t="s">
        <v>1313</v>
      </c>
      <c r="K333" t="s">
        <v>150</v>
      </c>
      <c r="L333" t="s">
        <v>29</v>
      </c>
      <c r="M333" t="s">
        <v>30</v>
      </c>
      <c r="N333" t="s">
        <v>31</v>
      </c>
      <c r="O333" t="s">
        <v>31</v>
      </c>
      <c r="P333" t="s">
        <v>1314</v>
      </c>
      <c r="Q333" s="3" t="s">
        <v>1315</v>
      </c>
    </row>
    <row r="334" spans="1:17" ht="15.6" x14ac:dyDescent="0.3">
      <c r="A334" s="2">
        <v>46194</v>
      </c>
      <c r="B334">
        <v>170</v>
      </c>
      <c r="C334" t="s">
        <v>1316</v>
      </c>
      <c r="D334" s="2">
        <v>46194</v>
      </c>
      <c r="E334" s="2">
        <v>46224</v>
      </c>
      <c r="F334" t="s">
        <v>123</v>
      </c>
      <c r="G334" t="s">
        <v>24</v>
      </c>
      <c r="H334" t="s">
        <v>1317</v>
      </c>
      <c r="I334" t="s">
        <v>26</v>
      </c>
      <c r="J334" t="s">
        <v>1277</v>
      </c>
      <c r="K334" t="s">
        <v>62</v>
      </c>
      <c r="L334" t="s">
        <v>29</v>
      </c>
      <c r="M334" t="s">
        <v>171</v>
      </c>
      <c r="N334" t="s">
        <v>29</v>
      </c>
      <c r="O334" t="s">
        <v>29</v>
      </c>
      <c r="P334" t="s">
        <v>64</v>
      </c>
      <c r="Q334" s="3" t="s">
        <v>1318</v>
      </c>
    </row>
    <row r="335" spans="1:17" ht="15.6" x14ac:dyDescent="0.3">
      <c r="A335" s="2">
        <v>46194</v>
      </c>
      <c r="B335">
        <v>169</v>
      </c>
      <c r="C335" t="s">
        <v>1319</v>
      </c>
      <c r="D335" s="2">
        <v>46194</v>
      </c>
      <c r="E335" s="2">
        <v>46224</v>
      </c>
      <c r="F335" t="s">
        <v>123</v>
      </c>
      <c r="G335" t="s">
        <v>24</v>
      </c>
      <c r="H335" t="s">
        <v>1320</v>
      </c>
      <c r="I335" t="s">
        <v>26</v>
      </c>
      <c r="J335" t="s">
        <v>1277</v>
      </c>
      <c r="K335" t="s">
        <v>62</v>
      </c>
      <c r="L335" t="s">
        <v>29</v>
      </c>
      <c r="M335" t="s">
        <v>238</v>
      </c>
      <c r="N335" t="s">
        <v>31</v>
      </c>
      <c r="O335" t="s">
        <v>31</v>
      </c>
      <c r="P335" t="s">
        <v>1321</v>
      </c>
      <c r="Q335" s="3" t="s">
        <v>1322</v>
      </c>
    </row>
    <row r="336" spans="1:17" ht="15.6" x14ac:dyDescent="0.3">
      <c r="A336" s="2">
        <v>46194</v>
      </c>
      <c r="B336">
        <v>168</v>
      </c>
      <c r="C336" t="s">
        <v>1323</v>
      </c>
      <c r="D336" s="2">
        <v>46194</v>
      </c>
      <c r="E336" s="2">
        <v>46225</v>
      </c>
      <c r="F336" t="s">
        <v>123</v>
      </c>
      <c r="G336" t="s">
        <v>24</v>
      </c>
      <c r="H336" t="s">
        <v>1324</v>
      </c>
      <c r="I336" t="s">
        <v>26</v>
      </c>
      <c r="J336" t="s">
        <v>1325</v>
      </c>
      <c r="K336" t="s">
        <v>207</v>
      </c>
      <c r="L336" t="s">
        <v>29</v>
      </c>
      <c r="M336" t="s">
        <v>254</v>
      </c>
      <c r="N336" t="s">
        <v>31</v>
      </c>
      <c r="O336" t="s">
        <v>31</v>
      </c>
      <c r="P336" t="s">
        <v>1326</v>
      </c>
      <c r="Q336" s="3" t="s">
        <v>1327</v>
      </c>
    </row>
    <row r="337" spans="1:17" ht="15.6" x14ac:dyDescent="0.3">
      <c r="A337" s="2">
        <v>46194</v>
      </c>
      <c r="B337">
        <v>167</v>
      </c>
      <c r="C337" t="s">
        <v>1328</v>
      </c>
      <c r="D337" s="2">
        <v>46194</v>
      </c>
      <c r="E337" s="2">
        <v>46198</v>
      </c>
      <c r="F337" t="s">
        <v>181</v>
      </c>
      <c r="G337" t="s">
        <v>252</v>
      </c>
      <c r="H337" t="s">
        <v>1329</v>
      </c>
      <c r="I337" t="s">
        <v>26</v>
      </c>
      <c r="J337" t="s">
        <v>126</v>
      </c>
      <c r="K337" t="s">
        <v>127</v>
      </c>
      <c r="L337" t="s">
        <v>29</v>
      </c>
      <c r="M337" t="s">
        <v>1330</v>
      </c>
      <c r="N337" t="s">
        <v>29</v>
      </c>
      <c r="O337" t="s">
        <v>29</v>
      </c>
      <c r="P337" t="s">
        <v>64</v>
      </c>
      <c r="Q337" s="3" t="s">
        <v>1331</v>
      </c>
    </row>
    <row r="338" spans="1:17" ht="15.6" x14ac:dyDescent="0.3">
      <c r="A338" s="2">
        <v>46196</v>
      </c>
      <c r="B338">
        <v>166</v>
      </c>
      <c r="C338" t="s">
        <v>1332</v>
      </c>
      <c r="D338" s="2">
        <v>46196</v>
      </c>
      <c r="E338" s="2">
        <v>46205</v>
      </c>
      <c r="F338" t="s">
        <v>123</v>
      </c>
      <c r="G338" t="s">
        <v>252</v>
      </c>
      <c r="H338" t="s">
        <v>1333</v>
      </c>
      <c r="I338" t="s">
        <v>1334</v>
      </c>
      <c r="J338" t="s">
        <v>1335</v>
      </c>
      <c r="K338" t="s">
        <v>150</v>
      </c>
      <c r="Q338" s="3" t="s">
        <v>1336</v>
      </c>
    </row>
    <row r="339" spans="1:17" ht="15.6" x14ac:dyDescent="0.3">
      <c r="A339" s="2">
        <v>46196</v>
      </c>
      <c r="B339">
        <v>165</v>
      </c>
      <c r="C339" t="s">
        <v>1337</v>
      </c>
      <c r="D339" s="2">
        <v>46195</v>
      </c>
      <c r="E339" s="2">
        <v>46210</v>
      </c>
      <c r="F339" t="s">
        <v>123</v>
      </c>
      <c r="G339" t="s">
        <v>1338</v>
      </c>
      <c r="H339" t="s">
        <v>1339</v>
      </c>
      <c r="I339" t="s">
        <v>1334</v>
      </c>
      <c r="J339" t="s">
        <v>1335</v>
      </c>
      <c r="K339" t="s">
        <v>150</v>
      </c>
      <c r="Q339" s="3" t="s">
        <v>1340</v>
      </c>
    </row>
    <row r="340" spans="1:17" ht="15.6" x14ac:dyDescent="0.3">
      <c r="A340" s="2">
        <v>46196</v>
      </c>
      <c r="B340">
        <v>164</v>
      </c>
      <c r="C340" t="s">
        <v>1341</v>
      </c>
      <c r="D340" s="2">
        <v>46195</v>
      </c>
      <c r="E340" s="2">
        <v>46210</v>
      </c>
      <c r="F340" t="s">
        <v>123</v>
      </c>
      <c r="G340" t="s">
        <v>1338</v>
      </c>
      <c r="H340" t="s">
        <v>1342</v>
      </c>
      <c r="I340" t="s">
        <v>1334</v>
      </c>
      <c r="J340" t="s">
        <v>1335</v>
      </c>
      <c r="K340" t="s">
        <v>150</v>
      </c>
      <c r="Q340" s="3" t="s">
        <v>1343</v>
      </c>
    </row>
    <row r="341" spans="1:17" ht="15.6" x14ac:dyDescent="0.3">
      <c r="A341" s="2">
        <v>46196</v>
      </c>
      <c r="B341">
        <v>163</v>
      </c>
      <c r="C341" t="s">
        <v>1344</v>
      </c>
      <c r="D341" s="2">
        <v>46195</v>
      </c>
      <c r="E341" s="2">
        <v>46224</v>
      </c>
      <c r="G341" t="s">
        <v>1338</v>
      </c>
      <c r="H341" t="s">
        <v>1345</v>
      </c>
      <c r="I341" t="s">
        <v>1334</v>
      </c>
      <c r="J341" t="s">
        <v>1335</v>
      </c>
      <c r="K341" t="s">
        <v>150</v>
      </c>
      <c r="Q341" s="3" t="s">
        <v>1346</v>
      </c>
    </row>
    <row r="342" spans="1:17" ht="15.6" x14ac:dyDescent="0.3">
      <c r="A342" s="2">
        <v>46196</v>
      </c>
      <c r="B342">
        <v>162</v>
      </c>
      <c r="C342" t="s">
        <v>1347</v>
      </c>
      <c r="D342" s="2">
        <v>46195</v>
      </c>
      <c r="E342" s="2">
        <v>46210</v>
      </c>
      <c r="F342" t="s">
        <v>123</v>
      </c>
      <c r="G342" t="s">
        <v>1338</v>
      </c>
      <c r="H342" t="s">
        <v>1348</v>
      </c>
      <c r="I342" t="s">
        <v>1334</v>
      </c>
      <c r="J342" t="s">
        <v>1335</v>
      </c>
      <c r="K342" t="s">
        <v>150</v>
      </c>
      <c r="Q342" s="3" t="s">
        <v>1349</v>
      </c>
    </row>
    <row r="343" spans="1:17" ht="15.6" x14ac:dyDescent="0.3">
      <c r="A343" s="2">
        <v>46196</v>
      </c>
      <c r="B343">
        <v>161</v>
      </c>
      <c r="C343" t="s">
        <v>1350</v>
      </c>
      <c r="D343" s="2">
        <v>46195</v>
      </c>
      <c r="E343" s="2">
        <v>46210</v>
      </c>
      <c r="F343" t="s">
        <v>123</v>
      </c>
      <c r="G343" t="s">
        <v>1338</v>
      </c>
      <c r="H343" t="s">
        <v>1351</v>
      </c>
      <c r="I343" t="s">
        <v>1334</v>
      </c>
      <c r="J343" t="s">
        <v>1335</v>
      </c>
      <c r="K343" t="s">
        <v>150</v>
      </c>
      <c r="Q343" s="3" t="s">
        <v>1352</v>
      </c>
    </row>
    <row r="344" spans="1:17" ht="15.6" x14ac:dyDescent="0.3">
      <c r="A344" s="2">
        <v>46196</v>
      </c>
      <c r="B344">
        <v>160</v>
      </c>
      <c r="C344" t="s">
        <v>1353</v>
      </c>
      <c r="D344" s="2">
        <v>46195</v>
      </c>
      <c r="G344" t="s">
        <v>1338</v>
      </c>
      <c r="H344" t="s">
        <v>1354</v>
      </c>
      <c r="I344" t="s">
        <v>1334</v>
      </c>
      <c r="J344" t="s">
        <v>1335</v>
      </c>
      <c r="K344" t="s">
        <v>150</v>
      </c>
      <c r="Q344" s="3" t="s">
        <v>1355</v>
      </c>
    </row>
    <row r="345" spans="1:17" ht="15.6" x14ac:dyDescent="0.3">
      <c r="A345" s="2">
        <v>46196</v>
      </c>
      <c r="B345">
        <v>159</v>
      </c>
      <c r="C345" t="s">
        <v>1356</v>
      </c>
      <c r="D345" s="2">
        <v>46195</v>
      </c>
      <c r="E345" s="2">
        <v>46238</v>
      </c>
      <c r="F345" t="s">
        <v>211</v>
      </c>
      <c r="G345" t="s">
        <v>1338</v>
      </c>
      <c r="H345" t="s">
        <v>1357</v>
      </c>
      <c r="I345" t="s">
        <v>1334</v>
      </c>
      <c r="J345" t="s">
        <v>1335</v>
      </c>
      <c r="K345" t="s">
        <v>150</v>
      </c>
      <c r="Q345" s="3" t="s">
        <v>1358</v>
      </c>
    </row>
    <row r="346" spans="1:17" ht="15.6" x14ac:dyDescent="0.3">
      <c r="A346" s="2">
        <v>46196</v>
      </c>
      <c r="B346">
        <v>158</v>
      </c>
      <c r="C346" t="s">
        <v>1359</v>
      </c>
      <c r="D346" s="2">
        <v>46195</v>
      </c>
      <c r="E346" s="2">
        <v>46224</v>
      </c>
      <c r="F346" t="s">
        <v>123</v>
      </c>
      <c r="G346" t="s">
        <v>1338</v>
      </c>
      <c r="H346" t="s">
        <v>1360</v>
      </c>
      <c r="I346" t="s">
        <v>1334</v>
      </c>
      <c r="J346" t="s">
        <v>1335</v>
      </c>
      <c r="K346" t="s">
        <v>150</v>
      </c>
      <c r="Q346" s="3" t="s">
        <v>1361</v>
      </c>
    </row>
    <row r="347" spans="1:17" ht="15.6" x14ac:dyDescent="0.3">
      <c r="A347" s="2">
        <v>46196</v>
      </c>
      <c r="B347">
        <v>157</v>
      </c>
      <c r="C347" t="s">
        <v>1362</v>
      </c>
      <c r="D347" s="2">
        <v>46192</v>
      </c>
      <c r="E347" s="2">
        <v>46196</v>
      </c>
      <c r="F347" t="s">
        <v>123</v>
      </c>
      <c r="G347" t="s">
        <v>252</v>
      </c>
      <c r="H347" t="s">
        <v>1363</v>
      </c>
      <c r="I347" t="s">
        <v>1334</v>
      </c>
      <c r="J347" t="s">
        <v>1335</v>
      </c>
      <c r="K347" t="s">
        <v>150</v>
      </c>
      <c r="Q347" s="3" t="s">
        <v>1364</v>
      </c>
    </row>
    <row r="348" spans="1:17" ht="15.6" x14ac:dyDescent="0.3">
      <c r="A348" s="2">
        <v>46196</v>
      </c>
      <c r="B348">
        <v>156</v>
      </c>
      <c r="C348" t="s">
        <v>1365</v>
      </c>
      <c r="D348" s="2">
        <v>46192</v>
      </c>
      <c r="E348" s="2">
        <v>46216</v>
      </c>
      <c r="F348" t="s">
        <v>123</v>
      </c>
      <c r="G348" t="s">
        <v>1338</v>
      </c>
      <c r="H348" t="s">
        <v>1366</v>
      </c>
      <c r="I348" t="s">
        <v>1334</v>
      </c>
      <c r="J348" t="s">
        <v>1335</v>
      </c>
      <c r="K348" t="s">
        <v>150</v>
      </c>
      <c r="Q348" s="3" t="s">
        <v>1367</v>
      </c>
    </row>
    <row r="349" spans="1:17" ht="15.6" x14ac:dyDescent="0.3">
      <c r="A349" s="2">
        <v>46196</v>
      </c>
      <c r="B349">
        <v>155</v>
      </c>
      <c r="C349" t="s">
        <v>1368</v>
      </c>
      <c r="D349" s="2">
        <v>46192</v>
      </c>
      <c r="E349" s="2">
        <v>46213</v>
      </c>
      <c r="F349" t="s">
        <v>123</v>
      </c>
      <c r="G349" t="s">
        <v>1338</v>
      </c>
      <c r="H349" t="s">
        <v>1369</v>
      </c>
      <c r="I349" t="s">
        <v>1334</v>
      </c>
      <c r="J349" t="s">
        <v>1335</v>
      </c>
      <c r="K349" t="s">
        <v>150</v>
      </c>
      <c r="Q349" s="3" t="s">
        <v>1370</v>
      </c>
    </row>
    <row r="350" spans="1:17" ht="15.6" x14ac:dyDescent="0.3">
      <c r="A350" s="2">
        <v>46196</v>
      </c>
      <c r="B350">
        <v>154</v>
      </c>
      <c r="C350" t="s">
        <v>1371</v>
      </c>
      <c r="D350" s="2">
        <v>46192</v>
      </c>
      <c r="E350" s="2">
        <v>46213</v>
      </c>
      <c r="F350" t="s">
        <v>123</v>
      </c>
      <c r="G350" t="s">
        <v>1338</v>
      </c>
      <c r="H350" t="s">
        <v>1372</v>
      </c>
      <c r="I350" t="s">
        <v>1334</v>
      </c>
      <c r="J350" t="s">
        <v>1335</v>
      </c>
      <c r="K350" t="s">
        <v>150</v>
      </c>
      <c r="Q350" s="3" t="s">
        <v>1373</v>
      </c>
    </row>
    <row r="351" spans="1:17" ht="15.6" x14ac:dyDescent="0.3">
      <c r="A351" s="2">
        <v>46194</v>
      </c>
      <c r="B351">
        <v>153</v>
      </c>
      <c r="G351" t="s">
        <v>1338</v>
      </c>
      <c r="H351" t="s">
        <v>1374</v>
      </c>
      <c r="I351" t="s">
        <v>1375</v>
      </c>
      <c r="J351" t="s">
        <v>1054</v>
      </c>
      <c r="K351" t="s">
        <v>150</v>
      </c>
      <c r="Q351" s="3" t="s">
        <v>1376</v>
      </c>
    </row>
    <row r="352" spans="1:17" ht="15.6" x14ac:dyDescent="0.3">
      <c r="A352" s="2">
        <v>46194</v>
      </c>
      <c r="B352">
        <v>152</v>
      </c>
      <c r="G352" t="s">
        <v>1338</v>
      </c>
      <c r="H352" t="s">
        <v>1377</v>
      </c>
      <c r="I352" t="s">
        <v>1375</v>
      </c>
      <c r="J352" t="s">
        <v>1054</v>
      </c>
      <c r="K352" t="s">
        <v>150</v>
      </c>
      <c r="Q352" s="3" t="s">
        <v>1378</v>
      </c>
    </row>
    <row r="353" spans="1:17" ht="15.6" x14ac:dyDescent="0.3">
      <c r="A353" s="2">
        <v>46194</v>
      </c>
      <c r="B353">
        <v>151</v>
      </c>
      <c r="G353" t="s">
        <v>1338</v>
      </c>
      <c r="H353" t="s">
        <v>1379</v>
      </c>
      <c r="I353" t="s">
        <v>1375</v>
      </c>
      <c r="J353" t="s">
        <v>1054</v>
      </c>
      <c r="K353" t="s">
        <v>150</v>
      </c>
      <c r="Q353" s="3" t="s">
        <v>1380</v>
      </c>
    </row>
    <row r="354" spans="1:17" ht="15.6" x14ac:dyDescent="0.3">
      <c r="A354" s="2">
        <v>46194</v>
      </c>
      <c r="B354">
        <v>150</v>
      </c>
      <c r="G354" t="s">
        <v>1338</v>
      </c>
      <c r="H354" t="s">
        <v>1381</v>
      </c>
      <c r="I354" t="s">
        <v>1375</v>
      </c>
      <c r="J354" t="s">
        <v>1054</v>
      </c>
      <c r="K354" t="s">
        <v>150</v>
      </c>
      <c r="Q354" s="3" t="s">
        <v>1382</v>
      </c>
    </row>
    <row r="355" spans="1:17" ht="15.6" x14ac:dyDescent="0.3">
      <c r="A355" s="2">
        <v>46194</v>
      </c>
      <c r="B355">
        <v>149</v>
      </c>
      <c r="G355" t="s">
        <v>1338</v>
      </c>
      <c r="H355" t="s">
        <v>1383</v>
      </c>
      <c r="I355" t="s">
        <v>1375</v>
      </c>
      <c r="J355" t="s">
        <v>1054</v>
      </c>
      <c r="K355" t="s">
        <v>150</v>
      </c>
      <c r="Q355" s="3" t="s">
        <v>1384</v>
      </c>
    </row>
    <row r="356" spans="1:17" ht="15.6" x14ac:dyDescent="0.3">
      <c r="A356" s="2">
        <v>46194</v>
      </c>
      <c r="B356">
        <v>148</v>
      </c>
      <c r="G356" t="s">
        <v>1338</v>
      </c>
      <c r="H356" t="s">
        <v>1385</v>
      </c>
      <c r="I356" t="s">
        <v>1375</v>
      </c>
      <c r="J356" t="s">
        <v>1054</v>
      </c>
      <c r="K356" t="s">
        <v>150</v>
      </c>
      <c r="Q356" s="3" t="s">
        <v>1386</v>
      </c>
    </row>
    <row r="357" spans="1:17" ht="15.6" x14ac:dyDescent="0.3">
      <c r="A357" s="2">
        <v>46194</v>
      </c>
      <c r="B357">
        <v>147</v>
      </c>
      <c r="G357" t="s">
        <v>1338</v>
      </c>
      <c r="H357" t="s">
        <v>1387</v>
      </c>
      <c r="I357" t="s">
        <v>1375</v>
      </c>
      <c r="J357" t="s">
        <v>1054</v>
      </c>
      <c r="K357" t="s">
        <v>150</v>
      </c>
      <c r="Q357" s="3" t="s">
        <v>1388</v>
      </c>
    </row>
    <row r="358" spans="1:17" ht="15.6" x14ac:dyDescent="0.3">
      <c r="A358" s="2">
        <v>46194</v>
      </c>
      <c r="B358">
        <v>146</v>
      </c>
      <c r="G358" t="s">
        <v>1338</v>
      </c>
      <c r="H358" t="s">
        <v>1389</v>
      </c>
      <c r="I358" t="s">
        <v>1375</v>
      </c>
      <c r="J358" t="s">
        <v>1054</v>
      </c>
      <c r="K358" t="s">
        <v>150</v>
      </c>
      <c r="Q358" s="3" t="s">
        <v>1390</v>
      </c>
    </row>
    <row r="359" spans="1:17" ht="15.6" x14ac:dyDescent="0.3">
      <c r="A359" s="2">
        <v>46194</v>
      </c>
      <c r="B359">
        <v>145</v>
      </c>
      <c r="G359" t="s">
        <v>1338</v>
      </c>
      <c r="H359" t="s">
        <v>1391</v>
      </c>
      <c r="I359" t="s">
        <v>1375</v>
      </c>
      <c r="J359" t="s">
        <v>1054</v>
      </c>
      <c r="K359" t="s">
        <v>150</v>
      </c>
      <c r="Q359" s="3" t="s">
        <v>1392</v>
      </c>
    </row>
    <row r="360" spans="1:17" ht="15.6" x14ac:dyDescent="0.3">
      <c r="A360" s="2">
        <v>46194</v>
      </c>
      <c r="B360">
        <v>144</v>
      </c>
      <c r="G360" t="s">
        <v>1338</v>
      </c>
      <c r="H360" t="s">
        <v>1393</v>
      </c>
      <c r="I360" t="s">
        <v>1375</v>
      </c>
      <c r="J360" t="s">
        <v>1054</v>
      </c>
      <c r="K360" t="s">
        <v>150</v>
      </c>
      <c r="Q360" s="3" t="s">
        <v>1394</v>
      </c>
    </row>
    <row r="361" spans="1:17" ht="15.6" x14ac:dyDescent="0.3">
      <c r="A361" s="2">
        <v>46194</v>
      </c>
      <c r="B361">
        <v>143</v>
      </c>
      <c r="G361" t="s">
        <v>1338</v>
      </c>
      <c r="H361" t="s">
        <v>1395</v>
      </c>
      <c r="I361" t="s">
        <v>1396</v>
      </c>
      <c r="J361" t="s">
        <v>1397</v>
      </c>
      <c r="K361" t="s">
        <v>150</v>
      </c>
      <c r="Q361" s="3" t="s">
        <v>1398</v>
      </c>
    </row>
    <row r="362" spans="1:17" ht="15.6" x14ac:dyDescent="0.3">
      <c r="A362" s="2">
        <v>46194</v>
      </c>
      <c r="B362">
        <v>142</v>
      </c>
      <c r="G362" t="s">
        <v>1338</v>
      </c>
      <c r="H362" t="s">
        <v>1399</v>
      </c>
      <c r="I362" t="s">
        <v>1396</v>
      </c>
      <c r="J362" t="s">
        <v>1397</v>
      </c>
      <c r="K362" t="s">
        <v>150</v>
      </c>
      <c r="Q362" s="3" t="s">
        <v>1400</v>
      </c>
    </row>
    <row r="363" spans="1:17" ht="15.6" x14ac:dyDescent="0.3">
      <c r="A363" s="2">
        <v>46194</v>
      </c>
      <c r="B363">
        <v>141</v>
      </c>
      <c r="G363" t="s">
        <v>1338</v>
      </c>
      <c r="H363" t="s">
        <v>1401</v>
      </c>
      <c r="I363" t="s">
        <v>1396</v>
      </c>
      <c r="J363" t="s">
        <v>1397</v>
      </c>
      <c r="K363" t="s">
        <v>150</v>
      </c>
      <c r="Q363" s="3" t="s">
        <v>1402</v>
      </c>
    </row>
    <row r="364" spans="1:17" ht="15.6" x14ac:dyDescent="0.3">
      <c r="A364" s="2">
        <v>46194</v>
      </c>
      <c r="B364">
        <v>140</v>
      </c>
      <c r="G364" t="s">
        <v>1338</v>
      </c>
      <c r="H364" t="s">
        <v>1403</v>
      </c>
      <c r="I364" t="s">
        <v>1396</v>
      </c>
      <c r="J364" t="s">
        <v>1397</v>
      </c>
      <c r="K364" t="s">
        <v>150</v>
      </c>
      <c r="Q364" s="3" t="s">
        <v>1404</v>
      </c>
    </row>
    <row r="365" spans="1:17" ht="15.6" x14ac:dyDescent="0.3">
      <c r="A365" s="2">
        <v>46194</v>
      </c>
      <c r="B365">
        <v>139</v>
      </c>
      <c r="G365" t="s">
        <v>1338</v>
      </c>
      <c r="H365" t="s">
        <v>1405</v>
      </c>
      <c r="I365" t="s">
        <v>1396</v>
      </c>
      <c r="J365" t="s">
        <v>1397</v>
      </c>
      <c r="K365" t="s">
        <v>150</v>
      </c>
      <c r="Q365" s="3" t="s">
        <v>1406</v>
      </c>
    </row>
    <row r="366" spans="1:17" ht="15.6" x14ac:dyDescent="0.3">
      <c r="A366" s="2">
        <v>46194</v>
      </c>
      <c r="B366">
        <v>138</v>
      </c>
      <c r="G366" t="s">
        <v>1338</v>
      </c>
      <c r="H366" t="s">
        <v>1407</v>
      </c>
      <c r="I366" t="s">
        <v>1396</v>
      </c>
      <c r="J366" t="s">
        <v>1397</v>
      </c>
      <c r="K366" t="s">
        <v>150</v>
      </c>
      <c r="Q366" s="3" t="s">
        <v>1408</v>
      </c>
    </row>
    <row r="367" spans="1:17" ht="15.6" x14ac:dyDescent="0.3">
      <c r="A367" s="2">
        <v>46194</v>
      </c>
      <c r="B367">
        <v>137</v>
      </c>
      <c r="G367" t="s">
        <v>1338</v>
      </c>
      <c r="H367" t="s">
        <v>1409</v>
      </c>
      <c r="I367" t="s">
        <v>1396</v>
      </c>
      <c r="J367" t="s">
        <v>1397</v>
      </c>
      <c r="K367" t="s">
        <v>150</v>
      </c>
      <c r="Q367" s="3" t="s">
        <v>1410</v>
      </c>
    </row>
    <row r="368" spans="1:17" ht="15.6" x14ac:dyDescent="0.3">
      <c r="A368" s="2">
        <v>46194</v>
      </c>
      <c r="B368">
        <v>136</v>
      </c>
      <c r="G368" t="s">
        <v>1338</v>
      </c>
      <c r="H368" t="s">
        <v>1411</v>
      </c>
      <c r="I368" t="s">
        <v>1396</v>
      </c>
      <c r="J368" t="s">
        <v>1397</v>
      </c>
      <c r="K368" t="s">
        <v>150</v>
      </c>
      <c r="Q368" s="3" t="s">
        <v>1412</v>
      </c>
    </row>
    <row r="369" spans="1:17" ht="15.6" x14ac:dyDescent="0.3">
      <c r="A369" s="2">
        <v>46194</v>
      </c>
      <c r="B369">
        <v>135</v>
      </c>
      <c r="G369" t="s">
        <v>1338</v>
      </c>
      <c r="H369" t="s">
        <v>1413</v>
      </c>
      <c r="I369" t="s">
        <v>1396</v>
      </c>
      <c r="J369" t="s">
        <v>1397</v>
      </c>
      <c r="K369" t="s">
        <v>150</v>
      </c>
      <c r="Q369" s="3" t="s">
        <v>1414</v>
      </c>
    </row>
    <row r="370" spans="1:17" ht="15.6" x14ac:dyDescent="0.3">
      <c r="A370" s="2">
        <v>46194</v>
      </c>
      <c r="B370">
        <v>134</v>
      </c>
      <c r="G370" t="s">
        <v>1338</v>
      </c>
      <c r="H370" t="s">
        <v>1415</v>
      </c>
      <c r="I370" t="s">
        <v>1396</v>
      </c>
      <c r="J370" t="s">
        <v>1397</v>
      </c>
      <c r="K370" t="s">
        <v>150</v>
      </c>
      <c r="Q370" s="3" t="s">
        <v>1416</v>
      </c>
    </row>
    <row r="371" spans="1:17" ht="15.6" x14ac:dyDescent="0.3">
      <c r="A371" s="2">
        <v>46194</v>
      </c>
      <c r="B371">
        <v>133</v>
      </c>
      <c r="G371" t="s">
        <v>1338</v>
      </c>
      <c r="H371" t="s">
        <v>1417</v>
      </c>
      <c r="I371" t="s">
        <v>1396</v>
      </c>
      <c r="J371" t="s">
        <v>1397</v>
      </c>
      <c r="K371" t="s">
        <v>150</v>
      </c>
      <c r="Q371" s="3" t="s">
        <v>1418</v>
      </c>
    </row>
    <row r="372" spans="1:17" ht="15.6" x14ac:dyDescent="0.3">
      <c r="A372" s="2">
        <v>46194</v>
      </c>
      <c r="B372">
        <v>132</v>
      </c>
      <c r="G372" t="s">
        <v>1338</v>
      </c>
      <c r="H372" t="s">
        <v>1419</v>
      </c>
      <c r="I372" t="s">
        <v>1396</v>
      </c>
      <c r="J372" t="s">
        <v>1397</v>
      </c>
      <c r="K372" t="s">
        <v>150</v>
      </c>
      <c r="Q372" s="3" t="s">
        <v>1420</v>
      </c>
    </row>
    <row r="373" spans="1:17" ht="15.6" x14ac:dyDescent="0.3">
      <c r="A373" s="2">
        <v>46194</v>
      </c>
      <c r="B373">
        <v>131</v>
      </c>
      <c r="G373" t="s">
        <v>1338</v>
      </c>
      <c r="H373" t="s">
        <v>1421</v>
      </c>
      <c r="I373" t="s">
        <v>1396</v>
      </c>
      <c r="J373" t="s">
        <v>1397</v>
      </c>
      <c r="K373" t="s">
        <v>150</v>
      </c>
      <c r="Q373" s="3" t="s">
        <v>1422</v>
      </c>
    </row>
    <row r="374" spans="1:17" ht="15.6" x14ac:dyDescent="0.3">
      <c r="A374" s="2">
        <v>46194</v>
      </c>
      <c r="B374">
        <v>130</v>
      </c>
      <c r="G374" t="s">
        <v>1338</v>
      </c>
      <c r="H374" t="s">
        <v>1423</v>
      </c>
      <c r="I374" t="s">
        <v>1396</v>
      </c>
      <c r="J374" t="s">
        <v>1397</v>
      </c>
      <c r="K374" t="s">
        <v>150</v>
      </c>
      <c r="Q374" s="3" t="s">
        <v>1424</v>
      </c>
    </row>
    <row r="375" spans="1:17" ht="15.6" x14ac:dyDescent="0.3">
      <c r="A375" s="2">
        <v>46194</v>
      </c>
      <c r="B375">
        <v>129</v>
      </c>
      <c r="G375" t="s">
        <v>1338</v>
      </c>
      <c r="H375" t="s">
        <v>1425</v>
      </c>
      <c r="I375" t="s">
        <v>1396</v>
      </c>
      <c r="J375" t="s">
        <v>1397</v>
      </c>
      <c r="K375" t="s">
        <v>150</v>
      </c>
      <c r="Q375" s="3" t="s">
        <v>1426</v>
      </c>
    </row>
    <row r="376" spans="1:17" ht="15.6" x14ac:dyDescent="0.3">
      <c r="A376" s="2">
        <v>46194</v>
      </c>
      <c r="B376">
        <v>128</v>
      </c>
      <c r="G376" t="s">
        <v>1338</v>
      </c>
      <c r="H376" t="s">
        <v>1427</v>
      </c>
      <c r="I376" t="s">
        <v>1396</v>
      </c>
      <c r="J376" t="s">
        <v>1397</v>
      </c>
      <c r="K376" t="s">
        <v>150</v>
      </c>
      <c r="Q376" s="3" t="s">
        <v>1428</v>
      </c>
    </row>
    <row r="377" spans="1:17" ht="15.6" x14ac:dyDescent="0.3">
      <c r="A377" s="2">
        <v>46194</v>
      </c>
      <c r="B377">
        <v>127</v>
      </c>
      <c r="G377" t="s">
        <v>1338</v>
      </c>
      <c r="H377" t="s">
        <v>1429</v>
      </c>
      <c r="I377" t="s">
        <v>1396</v>
      </c>
      <c r="J377" t="s">
        <v>1397</v>
      </c>
      <c r="K377" t="s">
        <v>150</v>
      </c>
      <c r="Q377" s="3" t="s">
        <v>1430</v>
      </c>
    </row>
    <row r="378" spans="1:17" ht="15.6" x14ac:dyDescent="0.3">
      <c r="A378" s="2">
        <v>46194</v>
      </c>
      <c r="B378">
        <v>126</v>
      </c>
      <c r="G378" t="s">
        <v>1338</v>
      </c>
      <c r="H378" t="s">
        <v>1431</v>
      </c>
      <c r="I378" t="s">
        <v>1396</v>
      </c>
      <c r="J378" t="s">
        <v>1397</v>
      </c>
      <c r="K378" t="s">
        <v>150</v>
      </c>
      <c r="Q378" s="3" t="s">
        <v>1432</v>
      </c>
    </row>
    <row r="379" spans="1:17" ht="15.6" x14ac:dyDescent="0.3">
      <c r="A379" s="2">
        <v>46194</v>
      </c>
      <c r="B379">
        <v>125</v>
      </c>
      <c r="G379" t="s">
        <v>1338</v>
      </c>
      <c r="H379" t="s">
        <v>1433</v>
      </c>
      <c r="I379" t="s">
        <v>1396</v>
      </c>
      <c r="J379" t="s">
        <v>1397</v>
      </c>
      <c r="K379" t="s">
        <v>150</v>
      </c>
      <c r="Q379" s="3" t="s">
        <v>1434</v>
      </c>
    </row>
    <row r="380" spans="1:17" ht="15.6" x14ac:dyDescent="0.3">
      <c r="A380" s="2">
        <v>46194</v>
      </c>
      <c r="B380">
        <v>124</v>
      </c>
      <c r="G380" t="s">
        <v>1338</v>
      </c>
      <c r="H380" t="s">
        <v>1435</v>
      </c>
      <c r="I380" t="s">
        <v>1396</v>
      </c>
      <c r="J380" t="s">
        <v>1397</v>
      </c>
      <c r="K380" t="s">
        <v>150</v>
      </c>
      <c r="Q380" s="3" t="s">
        <v>1436</v>
      </c>
    </row>
    <row r="381" spans="1:17" ht="15.6" x14ac:dyDescent="0.3">
      <c r="A381" s="2">
        <v>46194</v>
      </c>
      <c r="B381">
        <v>123</v>
      </c>
      <c r="G381" t="s">
        <v>1338</v>
      </c>
      <c r="H381" t="s">
        <v>1437</v>
      </c>
      <c r="I381" t="s">
        <v>1396</v>
      </c>
      <c r="J381" t="s">
        <v>1397</v>
      </c>
      <c r="K381" t="s">
        <v>150</v>
      </c>
      <c r="Q381" s="3" t="s">
        <v>1438</v>
      </c>
    </row>
    <row r="382" spans="1:17" ht="15.6" x14ac:dyDescent="0.3">
      <c r="A382" s="2">
        <v>46194</v>
      </c>
      <c r="B382">
        <v>122</v>
      </c>
      <c r="G382" t="s">
        <v>1338</v>
      </c>
      <c r="H382" t="s">
        <v>1439</v>
      </c>
      <c r="I382" t="s">
        <v>1396</v>
      </c>
      <c r="J382" t="s">
        <v>1397</v>
      </c>
      <c r="K382" t="s">
        <v>150</v>
      </c>
      <c r="Q382" s="3" t="s">
        <v>1440</v>
      </c>
    </row>
    <row r="383" spans="1:17" ht="15.6" x14ac:dyDescent="0.3">
      <c r="A383" s="2">
        <v>46194</v>
      </c>
      <c r="B383">
        <v>121</v>
      </c>
      <c r="G383" t="s">
        <v>1338</v>
      </c>
      <c r="H383" t="s">
        <v>1441</v>
      </c>
      <c r="I383" t="s">
        <v>1396</v>
      </c>
      <c r="J383" t="s">
        <v>1397</v>
      </c>
      <c r="K383" t="s">
        <v>150</v>
      </c>
      <c r="Q383" s="3" t="s">
        <v>1442</v>
      </c>
    </row>
    <row r="384" spans="1:17" ht="15.6" x14ac:dyDescent="0.3">
      <c r="A384" s="2">
        <v>46194</v>
      </c>
      <c r="B384">
        <v>120</v>
      </c>
      <c r="G384" t="s">
        <v>1338</v>
      </c>
      <c r="H384" t="s">
        <v>1443</v>
      </c>
      <c r="I384" t="s">
        <v>1396</v>
      </c>
      <c r="J384" t="s">
        <v>1397</v>
      </c>
      <c r="K384" t="s">
        <v>150</v>
      </c>
      <c r="Q384" s="3" t="s">
        <v>1444</v>
      </c>
    </row>
    <row r="385" spans="1:17" ht="15.6" x14ac:dyDescent="0.3">
      <c r="A385" s="2">
        <v>46194</v>
      </c>
      <c r="B385">
        <v>119</v>
      </c>
      <c r="G385" t="s">
        <v>1338</v>
      </c>
      <c r="H385" t="s">
        <v>1445</v>
      </c>
      <c r="I385" t="s">
        <v>1396</v>
      </c>
      <c r="J385" t="s">
        <v>1397</v>
      </c>
      <c r="K385" t="s">
        <v>150</v>
      </c>
      <c r="Q385" s="3" t="s">
        <v>1446</v>
      </c>
    </row>
    <row r="386" spans="1:17" ht="15.6" x14ac:dyDescent="0.3">
      <c r="A386" s="2">
        <v>46194</v>
      </c>
      <c r="B386">
        <v>118</v>
      </c>
      <c r="G386" t="s">
        <v>1338</v>
      </c>
      <c r="H386" t="s">
        <v>1447</v>
      </c>
      <c r="I386" t="s">
        <v>1396</v>
      </c>
      <c r="J386" t="s">
        <v>1397</v>
      </c>
      <c r="K386" t="s">
        <v>150</v>
      </c>
      <c r="Q386" s="3" t="s">
        <v>1448</v>
      </c>
    </row>
    <row r="387" spans="1:17" ht="15.6" x14ac:dyDescent="0.3">
      <c r="A387" s="2">
        <v>46194</v>
      </c>
      <c r="B387">
        <v>117</v>
      </c>
      <c r="G387" t="s">
        <v>1338</v>
      </c>
      <c r="H387" t="s">
        <v>1449</v>
      </c>
      <c r="I387" t="s">
        <v>1396</v>
      </c>
      <c r="J387" t="s">
        <v>1397</v>
      </c>
      <c r="K387" t="s">
        <v>150</v>
      </c>
      <c r="Q387" s="3" t="s">
        <v>1450</v>
      </c>
    </row>
    <row r="388" spans="1:17" ht="15.6" x14ac:dyDescent="0.3">
      <c r="A388" s="2">
        <v>46194</v>
      </c>
      <c r="B388">
        <v>116</v>
      </c>
      <c r="G388" t="s">
        <v>1338</v>
      </c>
      <c r="H388" t="s">
        <v>1451</v>
      </c>
      <c r="I388" t="s">
        <v>1396</v>
      </c>
      <c r="J388" t="s">
        <v>1397</v>
      </c>
      <c r="K388" t="s">
        <v>150</v>
      </c>
      <c r="Q388" s="3" t="s">
        <v>1452</v>
      </c>
    </row>
    <row r="389" spans="1:17" ht="15.6" x14ac:dyDescent="0.3">
      <c r="A389" s="2">
        <v>46194</v>
      </c>
      <c r="B389">
        <v>115</v>
      </c>
      <c r="G389" t="s">
        <v>1338</v>
      </c>
      <c r="H389" t="s">
        <v>1453</v>
      </c>
      <c r="I389" t="s">
        <v>1396</v>
      </c>
      <c r="J389" t="s">
        <v>1397</v>
      </c>
      <c r="K389" t="s">
        <v>150</v>
      </c>
      <c r="Q389" s="3" t="s">
        <v>1454</v>
      </c>
    </row>
    <row r="390" spans="1:17" ht="15.6" x14ac:dyDescent="0.3">
      <c r="A390" s="2">
        <v>46194</v>
      </c>
      <c r="B390">
        <v>114</v>
      </c>
      <c r="G390" t="s">
        <v>1338</v>
      </c>
      <c r="H390" t="s">
        <v>1455</v>
      </c>
      <c r="I390" t="s">
        <v>1396</v>
      </c>
      <c r="J390" t="s">
        <v>1397</v>
      </c>
      <c r="K390" t="s">
        <v>150</v>
      </c>
      <c r="Q390" s="3" t="s">
        <v>1456</v>
      </c>
    </row>
    <row r="391" spans="1:17" ht="15.6" x14ac:dyDescent="0.3">
      <c r="A391" s="2">
        <v>46194</v>
      </c>
      <c r="B391">
        <v>113</v>
      </c>
      <c r="G391" t="s">
        <v>1338</v>
      </c>
      <c r="H391" t="s">
        <v>1457</v>
      </c>
      <c r="I391" t="s">
        <v>1396</v>
      </c>
      <c r="J391" t="s">
        <v>1397</v>
      </c>
      <c r="K391" t="s">
        <v>150</v>
      </c>
      <c r="Q391" s="3" t="s">
        <v>1458</v>
      </c>
    </row>
    <row r="392" spans="1:17" ht="15.6" x14ac:dyDescent="0.3">
      <c r="A392" s="2">
        <v>46194</v>
      </c>
      <c r="B392">
        <v>112</v>
      </c>
      <c r="G392" t="s">
        <v>1338</v>
      </c>
      <c r="H392" t="s">
        <v>1459</v>
      </c>
      <c r="I392" t="s">
        <v>1396</v>
      </c>
      <c r="J392" t="s">
        <v>1397</v>
      </c>
      <c r="K392" t="s">
        <v>150</v>
      </c>
      <c r="Q392" s="3" t="s">
        <v>1460</v>
      </c>
    </row>
    <row r="393" spans="1:17" ht="15.6" x14ac:dyDescent="0.3">
      <c r="A393" s="2">
        <v>46194</v>
      </c>
      <c r="B393">
        <v>111</v>
      </c>
      <c r="G393" t="s">
        <v>1338</v>
      </c>
      <c r="H393" t="s">
        <v>1461</v>
      </c>
      <c r="I393" t="s">
        <v>1396</v>
      </c>
      <c r="J393" t="s">
        <v>1397</v>
      </c>
      <c r="K393" t="s">
        <v>150</v>
      </c>
      <c r="Q393" s="3" t="s">
        <v>1462</v>
      </c>
    </row>
    <row r="394" spans="1:17" ht="15.6" x14ac:dyDescent="0.3">
      <c r="A394" s="2">
        <v>46194</v>
      </c>
      <c r="B394">
        <v>110</v>
      </c>
      <c r="G394" t="s">
        <v>1338</v>
      </c>
      <c r="H394" t="s">
        <v>1463</v>
      </c>
      <c r="I394" t="s">
        <v>1396</v>
      </c>
      <c r="J394" t="s">
        <v>1397</v>
      </c>
      <c r="K394" t="s">
        <v>150</v>
      </c>
      <c r="Q394" s="3" t="s">
        <v>1464</v>
      </c>
    </row>
    <row r="395" spans="1:17" ht="15.6" x14ac:dyDescent="0.3">
      <c r="A395" s="2">
        <v>46194</v>
      </c>
      <c r="B395">
        <v>109</v>
      </c>
      <c r="G395" t="s">
        <v>1338</v>
      </c>
      <c r="H395" t="s">
        <v>1465</v>
      </c>
      <c r="I395" t="s">
        <v>1396</v>
      </c>
      <c r="J395" t="s">
        <v>1397</v>
      </c>
      <c r="K395" t="s">
        <v>150</v>
      </c>
      <c r="Q395" s="3" t="s">
        <v>1466</v>
      </c>
    </row>
    <row r="396" spans="1:17" ht="15.6" x14ac:dyDescent="0.3">
      <c r="A396" s="2">
        <v>46194</v>
      </c>
      <c r="B396">
        <v>108</v>
      </c>
      <c r="G396" t="s">
        <v>1338</v>
      </c>
      <c r="H396" t="s">
        <v>1467</v>
      </c>
      <c r="I396" t="s">
        <v>1396</v>
      </c>
      <c r="J396" t="s">
        <v>1397</v>
      </c>
      <c r="K396" t="s">
        <v>150</v>
      </c>
      <c r="Q396" s="3" t="s">
        <v>1468</v>
      </c>
    </row>
    <row r="397" spans="1:17" ht="15.6" x14ac:dyDescent="0.3">
      <c r="A397" s="2">
        <v>46194</v>
      </c>
      <c r="B397">
        <v>107</v>
      </c>
      <c r="G397" t="s">
        <v>1338</v>
      </c>
      <c r="H397" t="s">
        <v>1469</v>
      </c>
      <c r="I397" t="s">
        <v>1396</v>
      </c>
      <c r="J397" t="s">
        <v>1397</v>
      </c>
      <c r="K397" t="s">
        <v>150</v>
      </c>
      <c r="Q397" s="3" t="s">
        <v>1470</v>
      </c>
    </row>
    <row r="398" spans="1:17" ht="15.6" x14ac:dyDescent="0.3">
      <c r="A398" s="2">
        <v>46194</v>
      </c>
      <c r="B398">
        <v>106</v>
      </c>
      <c r="G398" t="s">
        <v>1338</v>
      </c>
      <c r="H398" t="s">
        <v>1471</v>
      </c>
      <c r="I398" t="s">
        <v>1396</v>
      </c>
      <c r="J398" t="s">
        <v>1397</v>
      </c>
      <c r="K398" t="s">
        <v>150</v>
      </c>
      <c r="Q398" s="3" t="s">
        <v>1472</v>
      </c>
    </row>
    <row r="399" spans="1:17" ht="15.6" x14ac:dyDescent="0.3">
      <c r="A399" s="2">
        <v>46194</v>
      </c>
      <c r="B399">
        <v>105</v>
      </c>
      <c r="G399" t="s">
        <v>1338</v>
      </c>
      <c r="H399" t="s">
        <v>1473</v>
      </c>
      <c r="I399" t="s">
        <v>1396</v>
      </c>
      <c r="J399" t="s">
        <v>1397</v>
      </c>
      <c r="K399" t="s">
        <v>150</v>
      </c>
      <c r="Q399" s="3" t="s">
        <v>1474</v>
      </c>
    </row>
    <row r="400" spans="1:17" ht="15.6" x14ac:dyDescent="0.3">
      <c r="A400" s="2">
        <v>46194</v>
      </c>
      <c r="B400">
        <v>104</v>
      </c>
      <c r="G400" t="s">
        <v>1338</v>
      </c>
      <c r="H400" t="s">
        <v>1475</v>
      </c>
      <c r="I400" t="s">
        <v>1396</v>
      </c>
      <c r="J400" t="s">
        <v>1397</v>
      </c>
      <c r="K400" t="s">
        <v>150</v>
      </c>
      <c r="Q400" s="3" t="s">
        <v>1476</v>
      </c>
    </row>
    <row r="401" spans="1:17" ht="15.6" x14ac:dyDescent="0.3">
      <c r="A401" s="2">
        <v>46194</v>
      </c>
      <c r="B401">
        <v>103</v>
      </c>
      <c r="G401" t="s">
        <v>1338</v>
      </c>
      <c r="H401" t="s">
        <v>1477</v>
      </c>
      <c r="I401" t="s">
        <v>1396</v>
      </c>
      <c r="J401" t="s">
        <v>1397</v>
      </c>
      <c r="K401" t="s">
        <v>150</v>
      </c>
      <c r="Q401" s="3" t="s">
        <v>1478</v>
      </c>
    </row>
    <row r="402" spans="1:17" ht="15.6" x14ac:dyDescent="0.3">
      <c r="A402" s="2">
        <v>46194</v>
      </c>
      <c r="B402">
        <v>102</v>
      </c>
      <c r="G402" t="s">
        <v>1338</v>
      </c>
      <c r="H402" t="s">
        <v>1479</v>
      </c>
      <c r="I402" t="s">
        <v>1396</v>
      </c>
      <c r="J402" t="s">
        <v>1397</v>
      </c>
      <c r="K402" t="s">
        <v>150</v>
      </c>
      <c r="Q402" s="3" t="s">
        <v>1480</v>
      </c>
    </row>
    <row r="403" spans="1:17" ht="15.6" x14ac:dyDescent="0.3">
      <c r="A403" s="2">
        <v>46194</v>
      </c>
      <c r="B403">
        <v>101</v>
      </c>
      <c r="G403" t="s">
        <v>1338</v>
      </c>
      <c r="H403" t="s">
        <v>1481</v>
      </c>
      <c r="I403" t="s">
        <v>1396</v>
      </c>
      <c r="J403" t="s">
        <v>1397</v>
      </c>
      <c r="K403" t="s">
        <v>150</v>
      </c>
      <c r="Q403" s="3" t="s">
        <v>1482</v>
      </c>
    </row>
    <row r="404" spans="1:17" ht="15.6" x14ac:dyDescent="0.3">
      <c r="A404" s="2">
        <v>46194</v>
      </c>
      <c r="B404">
        <v>100</v>
      </c>
      <c r="G404" t="s">
        <v>1338</v>
      </c>
      <c r="H404" t="s">
        <v>1483</v>
      </c>
      <c r="I404" t="s">
        <v>1396</v>
      </c>
      <c r="J404" t="s">
        <v>1397</v>
      </c>
      <c r="K404" t="s">
        <v>150</v>
      </c>
      <c r="Q404" s="3" t="s">
        <v>1484</v>
      </c>
    </row>
    <row r="405" spans="1:17" ht="15.6" x14ac:dyDescent="0.3">
      <c r="A405" s="2">
        <v>46194</v>
      </c>
      <c r="B405">
        <v>99</v>
      </c>
      <c r="G405" t="s">
        <v>1338</v>
      </c>
      <c r="H405" t="s">
        <v>1485</v>
      </c>
      <c r="I405" t="s">
        <v>1396</v>
      </c>
      <c r="J405" t="s">
        <v>1397</v>
      </c>
      <c r="K405" t="s">
        <v>150</v>
      </c>
      <c r="Q405" s="3" t="s">
        <v>1486</v>
      </c>
    </row>
    <row r="406" spans="1:17" ht="15.6" x14ac:dyDescent="0.3">
      <c r="A406" s="2">
        <v>46194</v>
      </c>
      <c r="B406">
        <v>98</v>
      </c>
      <c r="G406" t="s">
        <v>1338</v>
      </c>
      <c r="H406" t="s">
        <v>1487</v>
      </c>
      <c r="I406" t="s">
        <v>1396</v>
      </c>
      <c r="J406" t="s">
        <v>1397</v>
      </c>
      <c r="K406" t="s">
        <v>150</v>
      </c>
      <c r="Q406" s="3" t="s">
        <v>1488</v>
      </c>
    </row>
    <row r="407" spans="1:17" ht="15.6" x14ac:dyDescent="0.3">
      <c r="A407" s="2">
        <v>46194</v>
      </c>
      <c r="B407">
        <v>97</v>
      </c>
      <c r="G407" t="s">
        <v>1338</v>
      </c>
      <c r="H407" t="s">
        <v>1489</v>
      </c>
      <c r="I407" t="s">
        <v>1396</v>
      </c>
      <c r="J407" t="s">
        <v>1397</v>
      </c>
      <c r="K407" t="s">
        <v>150</v>
      </c>
      <c r="Q407" s="3" t="s">
        <v>1490</v>
      </c>
    </row>
    <row r="408" spans="1:17" ht="15.6" x14ac:dyDescent="0.3">
      <c r="A408" s="2">
        <v>46194</v>
      </c>
      <c r="B408">
        <v>96</v>
      </c>
      <c r="G408" t="s">
        <v>1338</v>
      </c>
      <c r="H408" t="s">
        <v>1491</v>
      </c>
      <c r="I408" t="s">
        <v>1396</v>
      </c>
      <c r="J408" t="s">
        <v>1397</v>
      </c>
      <c r="K408" t="s">
        <v>150</v>
      </c>
      <c r="Q408" s="3" t="s">
        <v>1492</v>
      </c>
    </row>
    <row r="409" spans="1:17" ht="15.6" x14ac:dyDescent="0.3">
      <c r="A409" s="2">
        <v>46194</v>
      </c>
      <c r="B409">
        <v>95</v>
      </c>
      <c r="G409" t="s">
        <v>1338</v>
      </c>
      <c r="H409" t="s">
        <v>1493</v>
      </c>
      <c r="I409" t="s">
        <v>1396</v>
      </c>
      <c r="J409" t="s">
        <v>1397</v>
      </c>
      <c r="K409" t="s">
        <v>150</v>
      </c>
      <c r="Q409" s="3" t="s">
        <v>1494</v>
      </c>
    </row>
    <row r="410" spans="1:17" ht="15.6" x14ac:dyDescent="0.3">
      <c r="A410" s="2">
        <v>46194</v>
      </c>
      <c r="B410">
        <v>94</v>
      </c>
      <c r="G410" t="s">
        <v>1338</v>
      </c>
      <c r="H410" t="s">
        <v>1495</v>
      </c>
      <c r="I410" t="s">
        <v>1396</v>
      </c>
      <c r="J410" t="s">
        <v>1397</v>
      </c>
      <c r="K410" t="s">
        <v>150</v>
      </c>
      <c r="Q410" s="3" t="s">
        <v>1496</v>
      </c>
    </row>
    <row r="411" spans="1:17" ht="15.6" x14ac:dyDescent="0.3">
      <c r="A411" s="2">
        <v>46194</v>
      </c>
      <c r="B411">
        <v>93</v>
      </c>
      <c r="G411" t="s">
        <v>1338</v>
      </c>
      <c r="H411" t="s">
        <v>1497</v>
      </c>
      <c r="I411" t="s">
        <v>1396</v>
      </c>
      <c r="J411" t="s">
        <v>1397</v>
      </c>
      <c r="K411" t="s">
        <v>150</v>
      </c>
      <c r="Q411" s="3" t="s">
        <v>1498</v>
      </c>
    </row>
    <row r="412" spans="1:17" ht="15.6" x14ac:dyDescent="0.3">
      <c r="A412" s="2">
        <v>46194</v>
      </c>
      <c r="B412">
        <v>92</v>
      </c>
      <c r="G412" t="s">
        <v>1338</v>
      </c>
      <c r="H412" t="s">
        <v>1499</v>
      </c>
      <c r="I412" t="s">
        <v>1396</v>
      </c>
      <c r="J412" t="s">
        <v>1397</v>
      </c>
      <c r="K412" t="s">
        <v>150</v>
      </c>
      <c r="Q412" s="3" t="s">
        <v>1500</v>
      </c>
    </row>
    <row r="413" spans="1:17" ht="15.6" x14ac:dyDescent="0.3">
      <c r="A413" s="2">
        <v>46194</v>
      </c>
      <c r="B413">
        <v>91</v>
      </c>
      <c r="G413" t="s">
        <v>1338</v>
      </c>
      <c r="H413" t="s">
        <v>1501</v>
      </c>
      <c r="I413" t="s">
        <v>1396</v>
      </c>
      <c r="J413" t="s">
        <v>1397</v>
      </c>
      <c r="K413" t="s">
        <v>150</v>
      </c>
      <c r="Q413" s="3" t="s">
        <v>1502</v>
      </c>
    </row>
    <row r="414" spans="1:17" ht="15.6" x14ac:dyDescent="0.3">
      <c r="A414" s="2">
        <v>46194</v>
      </c>
      <c r="B414">
        <v>90</v>
      </c>
      <c r="G414" t="s">
        <v>1338</v>
      </c>
      <c r="H414" t="s">
        <v>1503</v>
      </c>
      <c r="I414" t="s">
        <v>1396</v>
      </c>
      <c r="J414" t="s">
        <v>1397</v>
      </c>
      <c r="K414" t="s">
        <v>150</v>
      </c>
      <c r="Q414" s="3" t="s">
        <v>1504</v>
      </c>
    </row>
    <row r="415" spans="1:17" ht="15.6" x14ac:dyDescent="0.3">
      <c r="A415" s="2">
        <v>46194</v>
      </c>
      <c r="B415">
        <v>89</v>
      </c>
      <c r="G415" t="s">
        <v>1338</v>
      </c>
      <c r="H415" t="s">
        <v>1505</v>
      </c>
      <c r="I415" t="s">
        <v>1396</v>
      </c>
      <c r="J415" t="s">
        <v>1397</v>
      </c>
      <c r="K415" t="s">
        <v>150</v>
      </c>
      <c r="Q415" s="3" t="s">
        <v>1506</v>
      </c>
    </row>
    <row r="416" spans="1:17" ht="15.6" x14ac:dyDescent="0.3">
      <c r="A416" s="2">
        <v>46194</v>
      </c>
      <c r="B416">
        <v>88</v>
      </c>
      <c r="G416" t="s">
        <v>1338</v>
      </c>
      <c r="H416" t="s">
        <v>1507</v>
      </c>
      <c r="I416" t="s">
        <v>1396</v>
      </c>
      <c r="J416" t="s">
        <v>1397</v>
      </c>
      <c r="K416" t="s">
        <v>150</v>
      </c>
      <c r="Q416" s="3" t="s">
        <v>1508</v>
      </c>
    </row>
    <row r="417" spans="1:17" ht="15.6" x14ac:dyDescent="0.3">
      <c r="A417" s="2">
        <v>46194</v>
      </c>
      <c r="B417">
        <v>87</v>
      </c>
      <c r="G417" t="s">
        <v>1338</v>
      </c>
      <c r="H417" t="s">
        <v>1509</v>
      </c>
      <c r="I417" t="s">
        <v>1396</v>
      </c>
      <c r="J417" t="s">
        <v>1397</v>
      </c>
      <c r="K417" t="s">
        <v>150</v>
      </c>
      <c r="Q417" s="3" t="s">
        <v>1510</v>
      </c>
    </row>
    <row r="418" spans="1:17" ht="15.6" x14ac:dyDescent="0.3">
      <c r="A418" s="2">
        <v>46194</v>
      </c>
      <c r="B418">
        <v>86</v>
      </c>
      <c r="G418" t="s">
        <v>1338</v>
      </c>
      <c r="H418" t="s">
        <v>1511</v>
      </c>
      <c r="I418" t="s">
        <v>1396</v>
      </c>
      <c r="J418" t="s">
        <v>1397</v>
      </c>
      <c r="K418" t="s">
        <v>150</v>
      </c>
      <c r="Q418" s="3" t="s">
        <v>1512</v>
      </c>
    </row>
    <row r="419" spans="1:17" ht="15.6" x14ac:dyDescent="0.3">
      <c r="A419" s="2">
        <v>46194</v>
      </c>
      <c r="B419">
        <v>85</v>
      </c>
      <c r="G419" t="s">
        <v>1338</v>
      </c>
      <c r="H419" t="s">
        <v>1513</v>
      </c>
      <c r="I419" t="s">
        <v>1396</v>
      </c>
      <c r="J419" t="s">
        <v>1397</v>
      </c>
      <c r="K419" t="s">
        <v>150</v>
      </c>
      <c r="Q419" s="3" t="s">
        <v>1514</v>
      </c>
    </row>
    <row r="420" spans="1:17" ht="15.6" x14ac:dyDescent="0.3">
      <c r="A420" s="2">
        <v>46194</v>
      </c>
      <c r="B420">
        <v>84</v>
      </c>
      <c r="G420" t="s">
        <v>1338</v>
      </c>
      <c r="H420" t="s">
        <v>1515</v>
      </c>
      <c r="I420" t="s">
        <v>1396</v>
      </c>
      <c r="J420" t="s">
        <v>1397</v>
      </c>
      <c r="K420" t="s">
        <v>150</v>
      </c>
      <c r="Q420" s="3" t="s">
        <v>1516</v>
      </c>
    </row>
    <row r="421" spans="1:17" ht="15.6" x14ac:dyDescent="0.3">
      <c r="A421" s="2">
        <v>46194</v>
      </c>
      <c r="B421">
        <v>83</v>
      </c>
      <c r="G421" t="s">
        <v>1338</v>
      </c>
      <c r="H421" t="s">
        <v>1517</v>
      </c>
      <c r="I421" t="s">
        <v>1396</v>
      </c>
      <c r="J421" t="s">
        <v>1397</v>
      </c>
      <c r="K421" t="s">
        <v>150</v>
      </c>
      <c r="Q421" s="3" t="s">
        <v>1518</v>
      </c>
    </row>
    <row r="422" spans="1:17" ht="15.6" x14ac:dyDescent="0.3">
      <c r="A422" s="2">
        <v>46194</v>
      </c>
      <c r="B422">
        <v>82</v>
      </c>
      <c r="G422" t="s">
        <v>1338</v>
      </c>
      <c r="H422" t="s">
        <v>1519</v>
      </c>
      <c r="I422" t="s">
        <v>1396</v>
      </c>
      <c r="J422" t="s">
        <v>1397</v>
      </c>
      <c r="K422" t="s">
        <v>150</v>
      </c>
      <c r="Q422" s="3" t="s">
        <v>1520</v>
      </c>
    </row>
    <row r="423" spans="1:17" ht="15.6" x14ac:dyDescent="0.3">
      <c r="A423" s="2">
        <v>46194</v>
      </c>
      <c r="B423">
        <v>81</v>
      </c>
      <c r="G423" t="s">
        <v>1338</v>
      </c>
      <c r="H423" t="s">
        <v>1521</v>
      </c>
      <c r="I423" t="s">
        <v>1396</v>
      </c>
      <c r="J423" t="s">
        <v>1397</v>
      </c>
      <c r="K423" t="s">
        <v>150</v>
      </c>
      <c r="Q423" s="3" t="s">
        <v>1522</v>
      </c>
    </row>
    <row r="424" spans="1:17" ht="15.6" x14ac:dyDescent="0.3">
      <c r="A424" s="2">
        <v>46194</v>
      </c>
      <c r="B424">
        <v>80</v>
      </c>
      <c r="G424" t="s">
        <v>1338</v>
      </c>
      <c r="H424" t="s">
        <v>1523</v>
      </c>
      <c r="I424" t="s">
        <v>1396</v>
      </c>
      <c r="J424" t="s">
        <v>1397</v>
      </c>
      <c r="K424" t="s">
        <v>150</v>
      </c>
      <c r="Q424" s="3" t="s">
        <v>1524</v>
      </c>
    </row>
    <row r="425" spans="1:17" ht="15.6" x14ac:dyDescent="0.3">
      <c r="A425" s="2">
        <v>46194</v>
      </c>
      <c r="B425">
        <v>79</v>
      </c>
      <c r="G425" t="s">
        <v>1338</v>
      </c>
      <c r="H425" t="s">
        <v>1525</v>
      </c>
      <c r="I425" t="s">
        <v>1396</v>
      </c>
      <c r="J425" t="s">
        <v>1397</v>
      </c>
      <c r="K425" t="s">
        <v>150</v>
      </c>
      <c r="Q425" s="3" t="s">
        <v>1526</v>
      </c>
    </row>
    <row r="426" spans="1:17" ht="15.6" x14ac:dyDescent="0.3">
      <c r="A426" s="2">
        <v>46194</v>
      </c>
      <c r="B426">
        <v>78</v>
      </c>
      <c r="G426" t="s">
        <v>1338</v>
      </c>
      <c r="H426" t="s">
        <v>1527</v>
      </c>
      <c r="I426" t="s">
        <v>1396</v>
      </c>
      <c r="J426" t="s">
        <v>1397</v>
      </c>
      <c r="K426" t="s">
        <v>150</v>
      </c>
      <c r="Q426" s="3" t="s">
        <v>1528</v>
      </c>
    </row>
    <row r="427" spans="1:17" ht="15.6" x14ac:dyDescent="0.3">
      <c r="A427" s="2">
        <v>46194</v>
      </c>
      <c r="B427">
        <v>77</v>
      </c>
      <c r="G427" t="s">
        <v>1338</v>
      </c>
      <c r="H427" t="s">
        <v>1529</v>
      </c>
      <c r="I427" t="s">
        <v>1396</v>
      </c>
      <c r="J427" t="s">
        <v>1397</v>
      </c>
      <c r="K427" t="s">
        <v>150</v>
      </c>
      <c r="Q427" s="3" t="s">
        <v>1530</v>
      </c>
    </row>
    <row r="428" spans="1:17" ht="15.6" x14ac:dyDescent="0.3">
      <c r="A428" s="2">
        <v>46194</v>
      </c>
      <c r="B428">
        <v>76</v>
      </c>
      <c r="G428" t="s">
        <v>1338</v>
      </c>
      <c r="H428" t="s">
        <v>1531</v>
      </c>
      <c r="I428" t="s">
        <v>1396</v>
      </c>
      <c r="J428" t="s">
        <v>1397</v>
      </c>
      <c r="K428" t="s">
        <v>150</v>
      </c>
      <c r="Q428" s="3" t="s">
        <v>1532</v>
      </c>
    </row>
    <row r="429" spans="1:17" ht="15.6" x14ac:dyDescent="0.3">
      <c r="A429" s="2">
        <v>46194</v>
      </c>
      <c r="B429">
        <v>75</v>
      </c>
      <c r="G429" t="s">
        <v>1338</v>
      </c>
      <c r="H429" t="s">
        <v>1533</v>
      </c>
      <c r="I429" t="s">
        <v>1396</v>
      </c>
      <c r="J429" t="s">
        <v>1397</v>
      </c>
      <c r="K429" t="s">
        <v>150</v>
      </c>
      <c r="Q429" s="3" t="s">
        <v>1534</v>
      </c>
    </row>
    <row r="430" spans="1:17" ht="15.6" x14ac:dyDescent="0.3">
      <c r="A430" s="2">
        <v>46194</v>
      </c>
      <c r="B430">
        <v>74</v>
      </c>
      <c r="G430" t="s">
        <v>1338</v>
      </c>
      <c r="H430" t="s">
        <v>1535</v>
      </c>
      <c r="I430" t="s">
        <v>1396</v>
      </c>
      <c r="J430" t="s">
        <v>1397</v>
      </c>
      <c r="K430" t="s">
        <v>150</v>
      </c>
      <c r="Q430" s="3" t="s">
        <v>1536</v>
      </c>
    </row>
    <row r="431" spans="1:17" ht="15.6" x14ac:dyDescent="0.3">
      <c r="A431" s="2">
        <v>46194</v>
      </c>
      <c r="B431">
        <v>73</v>
      </c>
      <c r="G431" t="s">
        <v>1338</v>
      </c>
      <c r="H431" t="s">
        <v>1537</v>
      </c>
      <c r="I431" t="s">
        <v>1396</v>
      </c>
      <c r="J431" t="s">
        <v>1397</v>
      </c>
      <c r="K431" t="s">
        <v>150</v>
      </c>
      <c r="Q431" s="3" t="s">
        <v>1538</v>
      </c>
    </row>
    <row r="432" spans="1:17" ht="15.6" x14ac:dyDescent="0.3">
      <c r="A432" s="2">
        <v>46194</v>
      </c>
      <c r="B432">
        <v>72</v>
      </c>
      <c r="G432" t="s">
        <v>1338</v>
      </c>
      <c r="H432" t="s">
        <v>1539</v>
      </c>
      <c r="I432" t="s">
        <v>1396</v>
      </c>
      <c r="J432" t="s">
        <v>1397</v>
      </c>
      <c r="K432" t="s">
        <v>150</v>
      </c>
      <c r="Q432" s="3" t="s">
        <v>1540</v>
      </c>
    </row>
    <row r="433" spans="1:17" ht="15.6" x14ac:dyDescent="0.3">
      <c r="A433" s="2">
        <v>46194</v>
      </c>
      <c r="B433">
        <v>71</v>
      </c>
      <c r="G433" t="s">
        <v>1338</v>
      </c>
      <c r="H433" t="s">
        <v>1541</v>
      </c>
      <c r="I433" t="s">
        <v>1396</v>
      </c>
      <c r="J433" t="s">
        <v>1397</v>
      </c>
      <c r="K433" t="s">
        <v>150</v>
      </c>
      <c r="Q433" s="3" t="s">
        <v>1542</v>
      </c>
    </row>
    <row r="434" spans="1:17" ht="15.6" x14ac:dyDescent="0.3">
      <c r="A434" s="2">
        <v>46194</v>
      </c>
      <c r="B434">
        <v>70</v>
      </c>
      <c r="G434" t="s">
        <v>1338</v>
      </c>
      <c r="H434" t="s">
        <v>1543</v>
      </c>
      <c r="I434" t="s">
        <v>1544</v>
      </c>
      <c r="J434" t="s">
        <v>1545</v>
      </c>
      <c r="K434" t="s">
        <v>150</v>
      </c>
      <c r="Q434" s="3" t="s">
        <v>1546</v>
      </c>
    </row>
    <row r="435" spans="1:17" ht="15.6" x14ac:dyDescent="0.3">
      <c r="A435" s="2">
        <v>46194</v>
      </c>
      <c r="B435">
        <v>69</v>
      </c>
      <c r="G435" t="s">
        <v>1338</v>
      </c>
      <c r="H435" t="s">
        <v>1547</v>
      </c>
      <c r="I435" t="s">
        <v>1544</v>
      </c>
      <c r="J435" t="s">
        <v>1545</v>
      </c>
      <c r="K435" t="s">
        <v>150</v>
      </c>
      <c r="Q435" s="3" t="s">
        <v>1548</v>
      </c>
    </row>
    <row r="436" spans="1:17" ht="15.6" x14ac:dyDescent="0.3">
      <c r="A436" s="2">
        <v>46194</v>
      </c>
      <c r="B436">
        <v>68</v>
      </c>
      <c r="G436" t="s">
        <v>1338</v>
      </c>
      <c r="H436" t="s">
        <v>1549</v>
      </c>
      <c r="I436" t="s">
        <v>1550</v>
      </c>
      <c r="J436" t="s">
        <v>1551</v>
      </c>
      <c r="K436" t="s">
        <v>150</v>
      </c>
      <c r="Q436" s="3" t="s">
        <v>1552</v>
      </c>
    </row>
    <row r="437" spans="1:17" ht="15.6" x14ac:dyDescent="0.3">
      <c r="A437" s="2">
        <v>46194</v>
      </c>
      <c r="B437">
        <v>67</v>
      </c>
      <c r="C437" t="s">
        <v>1553</v>
      </c>
      <c r="G437" t="s">
        <v>1338</v>
      </c>
      <c r="H437" t="s">
        <v>1554</v>
      </c>
      <c r="I437" t="s">
        <v>1550</v>
      </c>
      <c r="J437" t="s">
        <v>1551</v>
      </c>
      <c r="K437" t="s">
        <v>150</v>
      </c>
      <c r="Q437" s="3" t="s">
        <v>1555</v>
      </c>
    </row>
    <row r="438" spans="1:17" ht="15.6" x14ac:dyDescent="0.3">
      <c r="A438" s="2">
        <v>46194</v>
      </c>
      <c r="B438">
        <v>66</v>
      </c>
      <c r="G438" t="s">
        <v>1338</v>
      </c>
      <c r="H438" t="s">
        <v>1556</v>
      </c>
      <c r="I438" t="s">
        <v>1550</v>
      </c>
      <c r="J438" t="s">
        <v>1551</v>
      </c>
      <c r="K438" t="s">
        <v>150</v>
      </c>
      <c r="Q438" s="3" t="s">
        <v>1557</v>
      </c>
    </row>
    <row r="439" spans="1:17" ht="15.6" x14ac:dyDescent="0.3">
      <c r="A439" s="2">
        <v>46194</v>
      </c>
      <c r="B439">
        <v>65</v>
      </c>
      <c r="G439" t="s">
        <v>1338</v>
      </c>
      <c r="H439" t="s">
        <v>1558</v>
      </c>
      <c r="I439" t="s">
        <v>1550</v>
      </c>
      <c r="J439" t="s">
        <v>1551</v>
      </c>
      <c r="K439" t="s">
        <v>150</v>
      </c>
      <c r="Q439" s="3" t="s">
        <v>1559</v>
      </c>
    </row>
    <row r="440" spans="1:17" ht="15.6" x14ac:dyDescent="0.3">
      <c r="A440" s="2">
        <v>46194</v>
      </c>
      <c r="B440">
        <v>64</v>
      </c>
      <c r="G440" t="s">
        <v>1338</v>
      </c>
      <c r="H440" t="s">
        <v>1560</v>
      </c>
      <c r="I440" t="s">
        <v>1550</v>
      </c>
      <c r="J440" t="s">
        <v>1551</v>
      </c>
      <c r="K440" t="s">
        <v>150</v>
      </c>
      <c r="Q440" s="3" t="s">
        <v>1561</v>
      </c>
    </row>
    <row r="441" spans="1:17" ht="15.6" x14ac:dyDescent="0.3">
      <c r="A441" s="2">
        <v>46194</v>
      </c>
      <c r="B441">
        <v>63</v>
      </c>
      <c r="G441" t="s">
        <v>1338</v>
      </c>
      <c r="H441" t="s">
        <v>1562</v>
      </c>
      <c r="I441" t="s">
        <v>1550</v>
      </c>
      <c r="J441" t="s">
        <v>1551</v>
      </c>
      <c r="K441" t="s">
        <v>150</v>
      </c>
      <c r="Q441" s="3" t="s">
        <v>1563</v>
      </c>
    </row>
    <row r="442" spans="1:17" ht="15.6" x14ac:dyDescent="0.3">
      <c r="A442" s="2">
        <v>46194</v>
      </c>
      <c r="B442">
        <v>62</v>
      </c>
      <c r="G442" t="s">
        <v>1338</v>
      </c>
      <c r="H442" t="s">
        <v>1564</v>
      </c>
      <c r="I442" t="s">
        <v>1550</v>
      </c>
      <c r="J442" t="s">
        <v>1551</v>
      </c>
      <c r="K442" t="s">
        <v>150</v>
      </c>
      <c r="Q442" s="3" t="s">
        <v>1565</v>
      </c>
    </row>
    <row r="443" spans="1:17" ht="15.6" x14ac:dyDescent="0.3">
      <c r="A443" s="2">
        <v>46194</v>
      </c>
      <c r="B443">
        <v>61</v>
      </c>
      <c r="G443" t="s">
        <v>1338</v>
      </c>
      <c r="H443" t="s">
        <v>1566</v>
      </c>
      <c r="I443" t="s">
        <v>1550</v>
      </c>
      <c r="J443" t="s">
        <v>1551</v>
      </c>
      <c r="K443" t="s">
        <v>150</v>
      </c>
      <c r="Q443" s="3" t="s">
        <v>1567</v>
      </c>
    </row>
    <row r="444" spans="1:17" ht="15.6" x14ac:dyDescent="0.3">
      <c r="A444" s="2">
        <v>46194</v>
      </c>
      <c r="B444">
        <v>60</v>
      </c>
      <c r="G444" t="s">
        <v>1338</v>
      </c>
      <c r="H444" t="s">
        <v>1568</v>
      </c>
      <c r="I444" t="s">
        <v>1550</v>
      </c>
      <c r="J444" t="s">
        <v>1551</v>
      </c>
      <c r="K444" t="s">
        <v>150</v>
      </c>
      <c r="Q444" s="3" t="s">
        <v>1569</v>
      </c>
    </row>
    <row r="445" spans="1:17" ht="15.6" x14ac:dyDescent="0.3">
      <c r="A445" s="2">
        <v>46194</v>
      </c>
      <c r="B445">
        <v>59</v>
      </c>
      <c r="C445" t="s">
        <v>1570</v>
      </c>
      <c r="G445" t="s">
        <v>1338</v>
      </c>
      <c r="H445" t="s">
        <v>1571</v>
      </c>
      <c r="I445" t="s">
        <v>1550</v>
      </c>
      <c r="J445" t="s">
        <v>1551</v>
      </c>
      <c r="K445" t="s">
        <v>150</v>
      </c>
      <c r="Q445" s="3" t="s">
        <v>1572</v>
      </c>
    </row>
    <row r="446" spans="1:17" ht="15.6" x14ac:dyDescent="0.3">
      <c r="A446" s="2">
        <v>46194</v>
      </c>
      <c r="B446">
        <v>58</v>
      </c>
      <c r="C446" t="s">
        <v>1573</v>
      </c>
      <c r="G446" t="s">
        <v>1338</v>
      </c>
      <c r="H446" t="s">
        <v>1574</v>
      </c>
      <c r="I446" t="s">
        <v>1550</v>
      </c>
      <c r="J446" t="s">
        <v>1551</v>
      </c>
      <c r="K446" t="s">
        <v>150</v>
      </c>
      <c r="Q446" s="3" t="s">
        <v>1575</v>
      </c>
    </row>
    <row r="447" spans="1:17" ht="15.6" x14ac:dyDescent="0.3">
      <c r="A447" s="2">
        <v>46194</v>
      </c>
      <c r="B447">
        <v>57</v>
      </c>
      <c r="C447" t="s">
        <v>1576</v>
      </c>
      <c r="G447" t="s">
        <v>1338</v>
      </c>
      <c r="H447" t="s">
        <v>1577</v>
      </c>
      <c r="I447" t="s">
        <v>1550</v>
      </c>
      <c r="J447" t="s">
        <v>1551</v>
      </c>
      <c r="K447" t="s">
        <v>150</v>
      </c>
      <c r="Q447" s="3" t="s">
        <v>1578</v>
      </c>
    </row>
    <row r="448" spans="1:17" ht="15.6" x14ac:dyDescent="0.3">
      <c r="A448" s="2">
        <v>46194</v>
      </c>
      <c r="B448">
        <v>56</v>
      </c>
      <c r="C448" t="s">
        <v>1579</v>
      </c>
      <c r="G448" t="s">
        <v>1338</v>
      </c>
      <c r="H448" t="s">
        <v>1580</v>
      </c>
      <c r="I448" t="s">
        <v>1550</v>
      </c>
      <c r="J448" t="s">
        <v>1551</v>
      </c>
      <c r="K448" t="s">
        <v>150</v>
      </c>
      <c r="Q448" s="3" t="s">
        <v>1581</v>
      </c>
    </row>
    <row r="449" spans="1:17" ht="15.6" x14ac:dyDescent="0.3">
      <c r="A449" s="2">
        <v>46194</v>
      </c>
      <c r="B449">
        <v>55</v>
      </c>
      <c r="G449" t="s">
        <v>1338</v>
      </c>
      <c r="H449" t="s">
        <v>1582</v>
      </c>
      <c r="I449" t="s">
        <v>1550</v>
      </c>
      <c r="J449" t="s">
        <v>1551</v>
      </c>
      <c r="K449" t="s">
        <v>150</v>
      </c>
      <c r="Q449" s="3" t="s">
        <v>1583</v>
      </c>
    </row>
    <row r="450" spans="1:17" ht="15.6" x14ac:dyDescent="0.3">
      <c r="A450" s="2">
        <v>46194</v>
      </c>
      <c r="B450">
        <v>54</v>
      </c>
      <c r="G450" t="s">
        <v>1338</v>
      </c>
      <c r="H450" t="s">
        <v>1584</v>
      </c>
      <c r="I450" t="s">
        <v>1550</v>
      </c>
      <c r="J450" t="s">
        <v>1551</v>
      </c>
      <c r="K450" t="s">
        <v>150</v>
      </c>
      <c r="Q450" s="3" t="s">
        <v>1585</v>
      </c>
    </row>
    <row r="451" spans="1:17" ht="15.6" x14ac:dyDescent="0.3">
      <c r="A451" s="2">
        <v>46194</v>
      </c>
      <c r="B451">
        <v>53</v>
      </c>
      <c r="C451" t="s">
        <v>1586</v>
      </c>
      <c r="G451" t="s">
        <v>1338</v>
      </c>
      <c r="H451" t="s">
        <v>1587</v>
      </c>
      <c r="I451" t="s">
        <v>1550</v>
      </c>
      <c r="J451" t="s">
        <v>1551</v>
      </c>
      <c r="K451" t="s">
        <v>150</v>
      </c>
      <c r="Q451" s="3" t="s">
        <v>1588</v>
      </c>
    </row>
    <row r="452" spans="1:17" ht="15.6" x14ac:dyDescent="0.3">
      <c r="A452" s="2">
        <v>46194</v>
      </c>
      <c r="B452">
        <v>52</v>
      </c>
      <c r="C452" t="s">
        <v>1589</v>
      </c>
      <c r="G452" t="s">
        <v>1338</v>
      </c>
      <c r="H452" t="s">
        <v>1590</v>
      </c>
      <c r="I452" t="s">
        <v>1550</v>
      </c>
      <c r="J452" t="s">
        <v>1551</v>
      </c>
      <c r="K452" t="s">
        <v>150</v>
      </c>
      <c r="Q452" s="3" t="s">
        <v>1591</v>
      </c>
    </row>
    <row r="453" spans="1:17" ht="15.6" x14ac:dyDescent="0.3">
      <c r="A453" s="2">
        <v>46194</v>
      </c>
      <c r="B453">
        <v>51</v>
      </c>
      <c r="C453" t="s">
        <v>1592</v>
      </c>
      <c r="G453" t="s">
        <v>1338</v>
      </c>
      <c r="H453" t="s">
        <v>1593</v>
      </c>
      <c r="I453" t="s">
        <v>1550</v>
      </c>
      <c r="J453" t="s">
        <v>1551</v>
      </c>
      <c r="K453" t="s">
        <v>150</v>
      </c>
      <c r="Q453" s="3" t="s">
        <v>1594</v>
      </c>
    </row>
    <row r="454" spans="1:17" ht="15.6" x14ac:dyDescent="0.3">
      <c r="A454" s="2">
        <v>46194</v>
      </c>
      <c r="B454">
        <v>50</v>
      </c>
      <c r="G454" t="s">
        <v>252</v>
      </c>
      <c r="H454" t="s">
        <v>1595</v>
      </c>
      <c r="I454" t="s">
        <v>1596</v>
      </c>
      <c r="J454" t="s">
        <v>1597</v>
      </c>
      <c r="K454" t="s">
        <v>184</v>
      </c>
      <c r="Q454" s="3" t="s">
        <v>1598</v>
      </c>
    </row>
    <row r="455" spans="1:17" x14ac:dyDescent="0.3">
      <c r="A455" s="2">
        <v>46194</v>
      </c>
      <c r="B455">
        <v>49</v>
      </c>
      <c r="C455" t="s">
        <v>1599</v>
      </c>
      <c r="G455" t="s">
        <v>1338</v>
      </c>
      <c r="H455" t="s">
        <v>1600</v>
      </c>
      <c r="I455" t="s">
        <v>1601</v>
      </c>
      <c r="J455" t="s">
        <v>1602</v>
      </c>
      <c r="K455" t="s">
        <v>150</v>
      </c>
    </row>
    <row r="456" spans="1:17" x14ac:dyDescent="0.3">
      <c r="A456" s="2">
        <v>46194</v>
      </c>
      <c r="B456">
        <v>48</v>
      </c>
      <c r="C456" t="s">
        <v>1603</v>
      </c>
      <c r="G456" t="s">
        <v>1338</v>
      </c>
      <c r="H456" t="s">
        <v>1604</v>
      </c>
      <c r="I456" t="s">
        <v>1601</v>
      </c>
      <c r="J456" t="s">
        <v>1602</v>
      </c>
      <c r="K456" t="s">
        <v>150</v>
      </c>
    </row>
    <row r="457" spans="1:17" x14ac:dyDescent="0.3">
      <c r="A457" s="2">
        <v>46194</v>
      </c>
      <c r="B457">
        <v>47</v>
      </c>
      <c r="C457" t="s">
        <v>1605</v>
      </c>
      <c r="G457" t="s">
        <v>1606</v>
      </c>
      <c r="H457" t="s">
        <v>1607</v>
      </c>
      <c r="I457" t="s">
        <v>1601</v>
      </c>
      <c r="J457" t="s">
        <v>1602</v>
      </c>
      <c r="K457" t="s">
        <v>150</v>
      </c>
    </row>
    <row r="458" spans="1:17" x14ac:dyDescent="0.3">
      <c r="A458" s="2">
        <v>46194</v>
      </c>
      <c r="B458">
        <v>46</v>
      </c>
      <c r="C458" t="s">
        <v>1608</v>
      </c>
      <c r="G458" t="s">
        <v>1338</v>
      </c>
      <c r="H458" t="s">
        <v>1609</v>
      </c>
      <c r="I458" t="s">
        <v>1601</v>
      </c>
      <c r="J458" t="s">
        <v>1602</v>
      </c>
      <c r="K458" t="s">
        <v>150</v>
      </c>
    </row>
    <row r="459" spans="1:17" x14ac:dyDescent="0.3">
      <c r="A459" s="2">
        <v>46194</v>
      </c>
      <c r="B459">
        <v>45</v>
      </c>
      <c r="C459" t="s">
        <v>1610</v>
      </c>
      <c r="G459" t="s">
        <v>1606</v>
      </c>
      <c r="H459" t="s">
        <v>1611</v>
      </c>
      <c r="I459" t="s">
        <v>1601</v>
      </c>
      <c r="J459" t="s">
        <v>1602</v>
      </c>
      <c r="K459" t="s">
        <v>150</v>
      </c>
    </row>
    <row r="460" spans="1:17" x14ac:dyDescent="0.3">
      <c r="A460" s="2">
        <v>46194</v>
      </c>
      <c r="B460">
        <v>44</v>
      </c>
      <c r="C460" t="s">
        <v>1612</v>
      </c>
      <c r="G460" t="s">
        <v>1338</v>
      </c>
      <c r="H460" t="s">
        <v>1613</v>
      </c>
      <c r="I460" t="s">
        <v>1601</v>
      </c>
      <c r="J460" t="s">
        <v>1602</v>
      </c>
      <c r="K460" t="s">
        <v>150</v>
      </c>
    </row>
    <row r="461" spans="1:17" x14ac:dyDescent="0.3">
      <c r="A461" s="2">
        <v>46194</v>
      </c>
      <c r="B461">
        <v>43</v>
      </c>
      <c r="C461" t="s">
        <v>1614</v>
      </c>
      <c r="G461" t="s">
        <v>1338</v>
      </c>
      <c r="H461" t="s">
        <v>1615</v>
      </c>
      <c r="I461" t="s">
        <v>1601</v>
      </c>
      <c r="J461" t="s">
        <v>1602</v>
      </c>
      <c r="K461" t="s">
        <v>150</v>
      </c>
    </row>
    <row r="462" spans="1:17" x14ac:dyDescent="0.3">
      <c r="A462" s="2">
        <v>46194</v>
      </c>
      <c r="B462">
        <v>42</v>
      </c>
      <c r="C462" t="s">
        <v>1616</v>
      </c>
      <c r="G462" t="s">
        <v>1338</v>
      </c>
      <c r="H462" t="s">
        <v>1617</v>
      </c>
      <c r="I462" t="s">
        <v>1601</v>
      </c>
      <c r="J462" t="s">
        <v>1602</v>
      </c>
      <c r="K462" t="s">
        <v>150</v>
      </c>
    </row>
    <row r="463" spans="1:17" x14ac:dyDescent="0.3">
      <c r="A463" s="2">
        <v>46194</v>
      </c>
      <c r="B463">
        <v>41</v>
      </c>
      <c r="C463" t="s">
        <v>1618</v>
      </c>
      <c r="G463" t="s">
        <v>1338</v>
      </c>
      <c r="H463" t="s">
        <v>1619</v>
      </c>
      <c r="I463" t="s">
        <v>1601</v>
      </c>
      <c r="J463" t="s">
        <v>1602</v>
      </c>
      <c r="K463" t="s">
        <v>150</v>
      </c>
    </row>
    <row r="464" spans="1:17" x14ac:dyDescent="0.3">
      <c r="A464" s="2">
        <v>46194</v>
      </c>
      <c r="B464">
        <v>40</v>
      </c>
      <c r="C464" t="s">
        <v>1620</v>
      </c>
      <c r="G464" t="s">
        <v>1338</v>
      </c>
      <c r="H464" t="s">
        <v>1621</v>
      </c>
      <c r="I464" t="s">
        <v>1601</v>
      </c>
      <c r="J464" t="s">
        <v>1602</v>
      </c>
      <c r="K464" t="s">
        <v>150</v>
      </c>
    </row>
    <row r="465" spans="1:17" x14ac:dyDescent="0.3">
      <c r="A465" s="2">
        <v>46194</v>
      </c>
      <c r="B465">
        <v>39</v>
      </c>
      <c r="C465" t="s">
        <v>1622</v>
      </c>
      <c r="G465" t="s">
        <v>1338</v>
      </c>
      <c r="H465" t="s">
        <v>1623</v>
      </c>
      <c r="I465" t="s">
        <v>1601</v>
      </c>
      <c r="J465" t="s">
        <v>1602</v>
      </c>
      <c r="K465" t="s">
        <v>150</v>
      </c>
    </row>
    <row r="466" spans="1:17" x14ac:dyDescent="0.3">
      <c r="A466" s="2">
        <v>46194</v>
      </c>
      <c r="B466">
        <v>38</v>
      </c>
      <c r="C466" t="s">
        <v>1624</v>
      </c>
      <c r="G466" t="s">
        <v>1338</v>
      </c>
      <c r="H466" t="s">
        <v>1625</v>
      </c>
      <c r="I466" t="s">
        <v>1601</v>
      </c>
      <c r="J466" t="s">
        <v>1602</v>
      </c>
      <c r="K466" t="s">
        <v>150</v>
      </c>
    </row>
    <row r="467" spans="1:17" x14ac:dyDescent="0.3">
      <c r="A467" s="2">
        <v>46194</v>
      </c>
      <c r="B467">
        <v>37</v>
      </c>
      <c r="C467" t="s">
        <v>1626</v>
      </c>
      <c r="G467" t="s">
        <v>1338</v>
      </c>
      <c r="H467" t="s">
        <v>1627</v>
      </c>
      <c r="I467" t="s">
        <v>1601</v>
      </c>
      <c r="J467" t="s">
        <v>1602</v>
      </c>
      <c r="K467" t="s">
        <v>150</v>
      </c>
    </row>
    <row r="468" spans="1:17" x14ac:dyDescent="0.3">
      <c r="A468" s="2">
        <v>46194</v>
      </c>
      <c r="B468">
        <v>36</v>
      </c>
      <c r="C468" t="s">
        <v>1628</v>
      </c>
      <c r="G468" t="s">
        <v>1338</v>
      </c>
      <c r="H468" t="s">
        <v>1629</v>
      </c>
      <c r="I468" t="s">
        <v>1601</v>
      </c>
      <c r="J468" t="s">
        <v>1602</v>
      </c>
      <c r="K468" t="s">
        <v>150</v>
      </c>
    </row>
    <row r="469" spans="1:17" x14ac:dyDescent="0.3">
      <c r="A469" s="2">
        <v>46194</v>
      </c>
      <c r="B469">
        <v>35</v>
      </c>
      <c r="C469" t="s">
        <v>1630</v>
      </c>
      <c r="G469" t="s">
        <v>1338</v>
      </c>
      <c r="H469" t="s">
        <v>1631</v>
      </c>
      <c r="I469" t="s">
        <v>1601</v>
      </c>
      <c r="J469" t="s">
        <v>1602</v>
      </c>
      <c r="K469" t="s">
        <v>150</v>
      </c>
    </row>
    <row r="470" spans="1:17" x14ac:dyDescent="0.3">
      <c r="A470" s="2">
        <v>46194</v>
      </c>
      <c r="B470">
        <v>34</v>
      </c>
      <c r="C470" t="s">
        <v>1632</v>
      </c>
      <c r="G470" t="s">
        <v>1338</v>
      </c>
      <c r="H470" t="s">
        <v>1633</v>
      </c>
      <c r="I470" t="s">
        <v>1601</v>
      </c>
      <c r="J470" t="s">
        <v>1602</v>
      </c>
      <c r="K470" t="s">
        <v>150</v>
      </c>
    </row>
    <row r="471" spans="1:17" x14ac:dyDescent="0.3">
      <c r="A471" s="2">
        <v>46194</v>
      </c>
      <c r="B471">
        <v>33</v>
      </c>
      <c r="C471" t="s">
        <v>1634</v>
      </c>
      <c r="G471" t="s">
        <v>1338</v>
      </c>
      <c r="H471" t="s">
        <v>1635</v>
      </c>
      <c r="I471" t="s">
        <v>1601</v>
      </c>
      <c r="J471" t="s">
        <v>1602</v>
      </c>
      <c r="K471" t="s">
        <v>150</v>
      </c>
    </row>
    <row r="472" spans="1:17" x14ac:dyDescent="0.3">
      <c r="A472" s="2">
        <v>46194</v>
      </c>
      <c r="B472">
        <v>32</v>
      </c>
      <c r="C472" t="s">
        <v>1636</v>
      </c>
      <c r="G472" t="s">
        <v>1338</v>
      </c>
      <c r="H472" t="s">
        <v>1637</v>
      </c>
      <c r="I472" t="s">
        <v>1601</v>
      </c>
      <c r="J472" t="s">
        <v>1602</v>
      </c>
      <c r="K472" t="s">
        <v>150</v>
      </c>
    </row>
    <row r="473" spans="1:17" x14ac:dyDescent="0.3">
      <c r="A473" s="2">
        <v>46194</v>
      </c>
      <c r="B473">
        <v>31</v>
      </c>
      <c r="C473" t="s">
        <v>1638</v>
      </c>
      <c r="G473" t="s">
        <v>1338</v>
      </c>
      <c r="H473" t="s">
        <v>1639</v>
      </c>
      <c r="I473" t="s">
        <v>1601</v>
      </c>
      <c r="J473" t="s">
        <v>1602</v>
      </c>
      <c r="K473" t="s">
        <v>150</v>
      </c>
    </row>
    <row r="474" spans="1:17" ht="15.6" x14ac:dyDescent="0.3">
      <c r="A474" s="2">
        <v>46194</v>
      </c>
      <c r="B474">
        <v>30</v>
      </c>
      <c r="C474" t="s">
        <v>1640</v>
      </c>
      <c r="E474" s="2">
        <v>46205</v>
      </c>
      <c r="F474" t="s">
        <v>307</v>
      </c>
      <c r="G474" t="s">
        <v>147</v>
      </c>
      <c r="H474" t="s">
        <v>1641</v>
      </c>
      <c r="I474" t="s">
        <v>1642</v>
      </c>
      <c r="J474" t="s">
        <v>1643</v>
      </c>
      <c r="K474" t="s">
        <v>207</v>
      </c>
      <c r="Q474" s="3" t="s">
        <v>1644</v>
      </c>
    </row>
    <row r="475" spans="1:17" ht="15.6" x14ac:dyDescent="0.3">
      <c r="A475" s="2">
        <v>46194</v>
      </c>
      <c r="B475">
        <v>29</v>
      </c>
      <c r="C475" t="s">
        <v>1645</v>
      </c>
      <c r="E475" s="2">
        <v>46205</v>
      </c>
      <c r="F475" t="s">
        <v>307</v>
      </c>
      <c r="G475" t="s">
        <v>147</v>
      </c>
      <c r="H475" t="s">
        <v>1646</v>
      </c>
      <c r="I475" t="s">
        <v>1642</v>
      </c>
      <c r="J475" t="s">
        <v>1643</v>
      </c>
      <c r="K475" t="s">
        <v>207</v>
      </c>
      <c r="Q475" s="3" t="s">
        <v>1647</v>
      </c>
    </row>
    <row r="476" spans="1:17" ht="15.6" x14ac:dyDescent="0.3">
      <c r="A476" s="2">
        <v>46194</v>
      </c>
      <c r="B476">
        <v>28</v>
      </c>
      <c r="C476" t="s">
        <v>1648</v>
      </c>
      <c r="E476" s="2">
        <v>46202</v>
      </c>
      <c r="F476" t="s">
        <v>307</v>
      </c>
      <c r="G476" t="s">
        <v>147</v>
      </c>
      <c r="H476" t="s">
        <v>1649</v>
      </c>
      <c r="I476" t="s">
        <v>1642</v>
      </c>
      <c r="J476" t="s">
        <v>1643</v>
      </c>
      <c r="K476" t="s">
        <v>207</v>
      </c>
      <c r="Q476" s="3" t="s">
        <v>1650</v>
      </c>
    </row>
    <row r="477" spans="1:17" x14ac:dyDescent="0.3">
      <c r="A477" s="2">
        <v>46194</v>
      </c>
      <c r="B477">
        <v>27</v>
      </c>
      <c r="C477" t="s">
        <v>1651</v>
      </c>
      <c r="E477" s="2">
        <v>46210</v>
      </c>
      <c r="F477" t="s">
        <v>1652</v>
      </c>
      <c r="G477" t="s">
        <v>1338</v>
      </c>
      <c r="H477" t="s">
        <v>1653</v>
      </c>
      <c r="I477" t="s">
        <v>1654</v>
      </c>
      <c r="J477" t="s">
        <v>1655</v>
      </c>
      <c r="K477" t="s">
        <v>184</v>
      </c>
      <c r="N477" t="s">
        <v>31</v>
      </c>
      <c r="O477" t="s">
        <v>31</v>
      </c>
    </row>
    <row r="478" spans="1:17" x14ac:dyDescent="0.3">
      <c r="A478" s="2">
        <v>46194</v>
      </c>
      <c r="B478">
        <v>26</v>
      </c>
      <c r="C478" t="s">
        <v>1656</v>
      </c>
      <c r="E478" s="2">
        <v>46209</v>
      </c>
      <c r="F478" t="s">
        <v>1652</v>
      </c>
      <c r="G478" t="s">
        <v>1338</v>
      </c>
      <c r="H478" t="s">
        <v>1657</v>
      </c>
      <c r="I478" t="s">
        <v>1654</v>
      </c>
      <c r="J478" t="s">
        <v>1655</v>
      </c>
      <c r="K478" t="s">
        <v>184</v>
      </c>
      <c r="N478" t="s">
        <v>31</v>
      </c>
      <c r="O478" t="s">
        <v>31</v>
      </c>
    </row>
    <row r="479" spans="1:17" x14ac:dyDescent="0.3">
      <c r="A479" s="2">
        <v>46194</v>
      </c>
      <c r="B479">
        <v>25</v>
      </c>
      <c r="C479" t="s">
        <v>1658</v>
      </c>
      <c r="E479" s="2">
        <v>46199</v>
      </c>
      <c r="F479" t="s">
        <v>1652</v>
      </c>
      <c r="G479" t="s">
        <v>1338</v>
      </c>
      <c r="H479" t="s">
        <v>1659</v>
      </c>
      <c r="I479" t="s">
        <v>1654</v>
      </c>
      <c r="J479" t="s">
        <v>1655</v>
      </c>
      <c r="K479" t="s">
        <v>184</v>
      </c>
      <c r="N479" t="s">
        <v>31</v>
      </c>
    </row>
    <row r="480" spans="1:17" x14ac:dyDescent="0.3">
      <c r="A480" s="2">
        <v>46194</v>
      </c>
      <c r="B480">
        <v>24</v>
      </c>
      <c r="C480" t="s">
        <v>1660</v>
      </c>
      <c r="E480" s="2">
        <v>46199</v>
      </c>
      <c r="F480" t="s">
        <v>1652</v>
      </c>
      <c r="G480" t="s">
        <v>1338</v>
      </c>
      <c r="H480" t="s">
        <v>1661</v>
      </c>
      <c r="I480" t="s">
        <v>1654</v>
      </c>
      <c r="J480" t="s">
        <v>1655</v>
      </c>
      <c r="K480" t="s">
        <v>184</v>
      </c>
      <c r="N480" t="s">
        <v>31</v>
      </c>
    </row>
    <row r="481" spans="1:17" ht="15.6" x14ac:dyDescent="0.3">
      <c r="A481" s="2">
        <v>46194</v>
      </c>
      <c r="B481">
        <v>23</v>
      </c>
      <c r="G481" t="s">
        <v>1338</v>
      </c>
      <c r="H481" t="s">
        <v>1662</v>
      </c>
      <c r="I481" t="s">
        <v>1663</v>
      </c>
      <c r="J481" t="s">
        <v>1664</v>
      </c>
      <c r="K481" t="s">
        <v>150</v>
      </c>
      <c r="Q481" s="3" t="s">
        <v>1665</v>
      </c>
    </row>
    <row r="482" spans="1:17" ht="15.6" x14ac:dyDescent="0.3">
      <c r="A482" s="2">
        <v>46194</v>
      </c>
      <c r="B482">
        <v>22</v>
      </c>
      <c r="E482" s="2">
        <v>46197</v>
      </c>
      <c r="G482" t="s">
        <v>1338</v>
      </c>
      <c r="H482" t="s">
        <v>1666</v>
      </c>
      <c r="I482" t="s">
        <v>1667</v>
      </c>
      <c r="J482" t="s">
        <v>405</v>
      </c>
      <c r="K482" t="s">
        <v>150</v>
      </c>
      <c r="Q482" s="3" t="s">
        <v>1668</v>
      </c>
    </row>
    <row r="483" spans="1:17" ht="15.6" x14ac:dyDescent="0.3">
      <c r="A483" s="2">
        <v>46194</v>
      </c>
      <c r="B483">
        <v>21</v>
      </c>
      <c r="E483" s="2">
        <v>46197</v>
      </c>
      <c r="G483" t="s">
        <v>1338</v>
      </c>
      <c r="H483" t="s">
        <v>1669</v>
      </c>
      <c r="I483" t="s">
        <v>1667</v>
      </c>
      <c r="J483" t="s">
        <v>405</v>
      </c>
      <c r="K483" t="s">
        <v>150</v>
      </c>
      <c r="Q483" s="3" t="s">
        <v>1670</v>
      </c>
    </row>
    <row r="484" spans="1:17" ht="15.6" x14ac:dyDescent="0.3">
      <c r="A484" s="2">
        <v>46194</v>
      </c>
      <c r="B484">
        <v>20</v>
      </c>
      <c r="E484" s="2">
        <v>46197</v>
      </c>
      <c r="G484" t="s">
        <v>1338</v>
      </c>
      <c r="H484" t="s">
        <v>1671</v>
      </c>
      <c r="I484" t="s">
        <v>1667</v>
      </c>
      <c r="J484" t="s">
        <v>405</v>
      </c>
      <c r="K484" t="s">
        <v>150</v>
      </c>
      <c r="Q484" s="3" t="s">
        <v>1672</v>
      </c>
    </row>
    <row r="485" spans="1:17" ht="15.6" x14ac:dyDescent="0.3">
      <c r="A485" s="2">
        <v>46194</v>
      </c>
      <c r="B485">
        <v>19</v>
      </c>
      <c r="E485" s="2">
        <v>46197</v>
      </c>
      <c r="G485" t="s">
        <v>1338</v>
      </c>
      <c r="H485" t="s">
        <v>1673</v>
      </c>
      <c r="I485" t="s">
        <v>1667</v>
      </c>
      <c r="J485" t="s">
        <v>405</v>
      </c>
      <c r="K485" t="s">
        <v>150</v>
      </c>
      <c r="Q485" s="3" t="s">
        <v>1674</v>
      </c>
    </row>
    <row r="486" spans="1:17" ht="15.6" x14ac:dyDescent="0.3">
      <c r="A486" s="2">
        <v>46194</v>
      </c>
      <c r="B486">
        <v>18</v>
      </c>
      <c r="E486" s="2">
        <v>46199</v>
      </c>
      <c r="G486" t="s">
        <v>1338</v>
      </c>
      <c r="H486" t="s">
        <v>1675</v>
      </c>
      <c r="I486" t="s">
        <v>1667</v>
      </c>
      <c r="J486" t="s">
        <v>405</v>
      </c>
      <c r="K486" t="s">
        <v>150</v>
      </c>
      <c r="Q486" s="3" t="s">
        <v>1676</v>
      </c>
    </row>
    <row r="487" spans="1:17" ht="15.6" x14ac:dyDescent="0.3">
      <c r="A487" s="2">
        <v>46194</v>
      </c>
      <c r="B487">
        <v>17</v>
      </c>
      <c r="E487" s="2">
        <v>46199</v>
      </c>
      <c r="G487" t="s">
        <v>1338</v>
      </c>
      <c r="H487" t="s">
        <v>1677</v>
      </c>
      <c r="I487" t="s">
        <v>1667</v>
      </c>
      <c r="J487" t="s">
        <v>405</v>
      </c>
      <c r="K487" t="s">
        <v>150</v>
      </c>
      <c r="Q487" s="3" t="s">
        <v>1678</v>
      </c>
    </row>
    <row r="488" spans="1:17" ht="15.6" x14ac:dyDescent="0.3">
      <c r="A488" s="2">
        <v>46194</v>
      </c>
      <c r="B488">
        <v>16</v>
      </c>
      <c r="E488" s="2">
        <v>46199</v>
      </c>
      <c r="G488" t="s">
        <v>1338</v>
      </c>
      <c r="H488" t="s">
        <v>1679</v>
      </c>
      <c r="I488" t="s">
        <v>1667</v>
      </c>
      <c r="J488" t="s">
        <v>405</v>
      </c>
      <c r="K488" t="s">
        <v>150</v>
      </c>
      <c r="Q488" s="3" t="s">
        <v>1680</v>
      </c>
    </row>
    <row r="489" spans="1:17" ht="15.6" x14ac:dyDescent="0.3">
      <c r="A489" s="2">
        <v>46194</v>
      </c>
      <c r="B489">
        <v>15</v>
      </c>
      <c r="E489" s="2">
        <v>46203</v>
      </c>
      <c r="G489" t="s">
        <v>1338</v>
      </c>
      <c r="H489" t="s">
        <v>1681</v>
      </c>
      <c r="I489" t="s">
        <v>1667</v>
      </c>
      <c r="J489" t="s">
        <v>405</v>
      </c>
      <c r="K489" t="s">
        <v>150</v>
      </c>
      <c r="Q489" s="3" t="s">
        <v>1682</v>
      </c>
    </row>
    <row r="490" spans="1:17" ht="15.6" x14ac:dyDescent="0.3">
      <c r="A490" s="2">
        <v>46194</v>
      </c>
      <c r="B490">
        <v>14</v>
      </c>
      <c r="E490" s="2">
        <v>46203</v>
      </c>
      <c r="G490" t="s">
        <v>1338</v>
      </c>
      <c r="H490" t="s">
        <v>1683</v>
      </c>
      <c r="I490" t="s">
        <v>1667</v>
      </c>
      <c r="J490" t="s">
        <v>405</v>
      </c>
      <c r="K490" t="s">
        <v>150</v>
      </c>
      <c r="Q490" s="3" t="s">
        <v>1684</v>
      </c>
    </row>
    <row r="491" spans="1:17" ht="15.6" x14ac:dyDescent="0.3">
      <c r="A491" s="2">
        <v>46194</v>
      </c>
      <c r="B491">
        <v>13</v>
      </c>
      <c r="E491" s="2">
        <v>46203</v>
      </c>
      <c r="G491" t="s">
        <v>1338</v>
      </c>
      <c r="H491" t="s">
        <v>1685</v>
      </c>
      <c r="I491" t="s">
        <v>1667</v>
      </c>
      <c r="J491" t="s">
        <v>405</v>
      </c>
      <c r="K491" t="s">
        <v>150</v>
      </c>
      <c r="Q491" s="3" t="s">
        <v>1686</v>
      </c>
    </row>
    <row r="492" spans="1:17" ht="15.6" x14ac:dyDescent="0.3">
      <c r="A492" s="2">
        <v>46194</v>
      </c>
      <c r="B492">
        <v>12</v>
      </c>
      <c r="E492" s="2">
        <v>46211</v>
      </c>
      <c r="G492" t="s">
        <v>1338</v>
      </c>
      <c r="H492" t="s">
        <v>1687</v>
      </c>
      <c r="I492" t="s">
        <v>1667</v>
      </c>
      <c r="J492" t="s">
        <v>405</v>
      </c>
      <c r="K492" t="s">
        <v>150</v>
      </c>
      <c r="Q492" s="3" t="s">
        <v>1688</v>
      </c>
    </row>
    <row r="493" spans="1:17" ht="15.6" x14ac:dyDescent="0.3">
      <c r="A493" s="2">
        <v>46194</v>
      </c>
      <c r="B493">
        <v>11</v>
      </c>
      <c r="E493" s="2">
        <v>46211</v>
      </c>
      <c r="G493" t="s">
        <v>1338</v>
      </c>
      <c r="H493" t="s">
        <v>1689</v>
      </c>
      <c r="I493" t="s">
        <v>1667</v>
      </c>
      <c r="J493" t="s">
        <v>405</v>
      </c>
      <c r="K493" t="s">
        <v>150</v>
      </c>
      <c r="Q493" s="3" t="s">
        <v>1690</v>
      </c>
    </row>
    <row r="494" spans="1:17" ht="15.6" x14ac:dyDescent="0.3">
      <c r="A494" s="2">
        <v>46194</v>
      </c>
      <c r="B494">
        <v>10</v>
      </c>
      <c r="E494" s="2">
        <v>46211</v>
      </c>
      <c r="G494" t="s">
        <v>1338</v>
      </c>
      <c r="H494" t="s">
        <v>1691</v>
      </c>
      <c r="I494" t="s">
        <v>1667</v>
      </c>
      <c r="J494" t="s">
        <v>405</v>
      </c>
      <c r="K494" t="s">
        <v>150</v>
      </c>
      <c r="Q494" s="3" t="s">
        <v>1692</v>
      </c>
    </row>
    <row r="495" spans="1:17" ht="15.6" x14ac:dyDescent="0.3">
      <c r="A495" s="2">
        <v>46194</v>
      </c>
      <c r="B495">
        <v>9</v>
      </c>
      <c r="E495" s="2">
        <v>46201</v>
      </c>
      <c r="G495" t="s">
        <v>1338</v>
      </c>
      <c r="H495" t="s">
        <v>1693</v>
      </c>
      <c r="I495" t="s">
        <v>1667</v>
      </c>
      <c r="J495" t="s">
        <v>405</v>
      </c>
      <c r="K495" t="s">
        <v>150</v>
      </c>
      <c r="Q495" s="3" t="s">
        <v>1694</v>
      </c>
    </row>
    <row r="496" spans="1:17" ht="15.6" x14ac:dyDescent="0.3">
      <c r="A496" s="2">
        <v>46194</v>
      </c>
      <c r="B496">
        <v>8</v>
      </c>
      <c r="E496" s="2">
        <v>46201</v>
      </c>
      <c r="G496" t="s">
        <v>1338</v>
      </c>
      <c r="H496" t="s">
        <v>1695</v>
      </c>
      <c r="I496" t="s">
        <v>1667</v>
      </c>
      <c r="J496" t="s">
        <v>405</v>
      </c>
      <c r="K496" t="s">
        <v>150</v>
      </c>
      <c r="Q496" s="3" t="s">
        <v>1696</v>
      </c>
    </row>
    <row r="497" spans="1:17" ht="15.6" x14ac:dyDescent="0.3">
      <c r="A497" s="2">
        <v>46194</v>
      </c>
      <c r="B497">
        <v>7</v>
      </c>
      <c r="E497" s="2">
        <v>46201</v>
      </c>
      <c r="G497" t="s">
        <v>1338</v>
      </c>
      <c r="H497" t="s">
        <v>1697</v>
      </c>
      <c r="I497" t="s">
        <v>1667</v>
      </c>
      <c r="J497" t="s">
        <v>405</v>
      </c>
      <c r="K497" t="s">
        <v>150</v>
      </c>
      <c r="Q497" s="3" t="s">
        <v>1698</v>
      </c>
    </row>
    <row r="498" spans="1:17" ht="15.6" x14ac:dyDescent="0.3">
      <c r="A498" s="2">
        <v>46194</v>
      </c>
      <c r="B498">
        <v>6</v>
      </c>
      <c r="E498" s="2">
        <v>46200</v>
      </c>
      <c r="G498" t="s">
        <v>1338</v>
      </c>
      <c r="H498" t="s">
        <v>1699</v>
      </c>
      <c r="I498" t="s">
        <v>1667</v>
      </c>
      <c r="J498" t="s">
        <v>405</v>
      </c>
      <c r="K498" t="s">
        <v>150</v>
      </c>
      <c r="Q498" s="3" t="s">
        <v>1700</v>
      </c>
    </row>
    <row r="499" spans="1:17" ht="15.6" x14ac:dyDescent="0.3">
      <c r="A499" s="2">
        <v>46194</v>
      </c>
      <c r="B499">
        <v>5</v>
      </c>
      <c r="E499" s="2">
        <v>46197</v>
      </c>
      <c r="G499" t="s">
        <v>1338</v>
      </c>
      <c r="H499" t="s">
        <v>1701</v>
      </c>
      <c r="I499" t="s">
        <v>1667</v>
      </c>
      <c r="J499" t="s">
        <v>405</v>
      </c>
      <c r="K499" t="s">
        <v>150</v>
      </c>
      <c r="Q499" s="3" t="s">
        <v>1702</v>
      </c>
    </row>
    <row r="500" spans="1:17" ht="15.6" x14ac:dyDescent="0.3">
      <c r="A500" s="2">
        <v>46194</v>
      </c>
      <c r="B500">
        <v>4</v>
      </c>
      <c r="E500" s="2">
        <v>46200</v>
      </c>
      <c r="G500" t="s">
        <v>1338</v>
      </c>
      <c r="H500" t="s">
        <v>1703</v>
      </c>
      <c r="I500" t="s">
        <v>1667</v>
      </c>
      <c r="J500" t="s">
        <v>405</v>
      </c>
      <c r="K500" t="s">
        <v>150</v>
      </c>
      <c r="Q500" s="3" t="s">
        <v>1704</v>
      </c>
    </row>
    <row r="501" spans="1:17" ht="15.6" x14ac:dyDescent="0.3">
      <c r="A501" s="2">
        <v>46194</v>
      </c>
      <c r="B501">
        <v>3</v>
      </c>
      <c r="E501" s="2">
        <v>46200</v>
      </c>
      <c r="G501" t="s">
        <v>1338</v>
      </c>
      <c r="H501" t="s">
        <v>1705</v>
      </c>
      <c r="I501" t="s">
        <v>1667</v>
      </c>
      <c r="J501" t="s">
        <v>405</v>
      </c>
      <c r="K501" t="s">
        <v>150</v>
      </c>
      <c r="Q501" s="3" t="s">
        <v>1706</v>
      </c>
    </row>
    <row r="502" spans="1:17" ht="15.6" x14ac:dyDescent="0.3">
      <c r="A502" s="2">
        <v>46194</v>
      </c>
      <c r="B502">
        <v>2</v>
      </c>
      <c r="E502" s="2">
        <v>46200</v>
      </c>
      <c r="G502" t="s">
        <v>1338</v>
      </c>
      <c r="H502" t="s">
        <v>1707</v>
      </c>
      <c r="I502" t="s">
        <v>1667</v>
      </c>
      <c r="J502" t="s">
        <v>405</v>
      </c>
      <c r="K502" t="s">
        <v>150</v>
      </c>
      <c r="Q502" s="3" t="s">
        <v>1708</v>
      </c>
    </row>
    <row r="503" spans="1:17" ht="15.6" x14ac:dyDescent="0.3">
      <c r="A503" s="2">
        <v>46194</v>
      </c>
      <c r="B503">
        <v>1</v>
      </c>
      <c r="E503" s="2">
        <v>46191</v>
      </c>
      <c r="G503" t="s">
        <v>1338</v>
      </c>
      <c r="H503" t="s">
        <v>1709</v>
      </c>
      <c r="I503" t="s">
        <v>1667</v>
      </c>
      <c r="J503" t="s">
        <v>405</v>
      </c>
      <c r="K503" t="s">
        <v>150</v>
      </c>
      <c r="Q503" s="3" t="s">
        <v>1710</v>
      </c>
    </row>
  </sheetData>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 ref="Q98" r:id="rId97" xr:uid="{00000000-0004-0000-0000-000060000000}"/>
    <hyperlink ref="Q99" r:id="rId98" xr:uid="{00000000-0004-0000-0000-000061000000}"/>
    <hyperlink ref="Q100" r:id="rId99" xr:uid="{00000000-0004-0000-0000-000062000000}"/>
    <hyperlink ref="Q101" r:id="rId100" xr:uid="{00000000-0004-0000-0000-000063000000}"/>
    <hyperlink ref="Q102" r:id="rId101" xr:uid="{00000000-0004-0000-0000-000064000000}"/>
    <hyperlink ref="Q103" r:id="rId102" xr:uid="{00000000-0004-0000-0000-000065000000}"/>
    <hyperlink ref="Q104" r:id="rId103" xr:uid="{00000000-0004-0000-0000-000066000000}"/>
    <hyperlink ref="Q105" r:id="rId104" xr:uid="{00000000-0004-0000-0000-000067000000}"/>
    <hyperlink ref="Q106" r:id="rId105" xr:uid="{00000000-0004-0000-0000-000068000000}"/>
    <hyperlink ref="Q107" r:id="rId106" xr:uid="{00000000-0004-0000-0000-000069000000}"/>
    <hyperlink ref="Q108" r:id="rId107" xr:uid="{00000000-0004-0000-0000-00006A000000}"/>
    <hyperlink ref="Q109" r:id="rId108" xr:uid="{00000000-0004-0000-0000-00006B000000}"/>
    <hyperlink ref="Q110" r:id="rId109" xr:uid="{00000000-0004-0000-0000-00006C000000}"/>
    <hyperlink ref="Q111" r:id="rId110" xr:uid="{00000000-0004-0000-0000-00006D000000}"/>
    <hyperlink ref="Q112" r:id="rId111" xr:uid="{00000000-0004-0000-0000-00006E000000}"/>
    <hyperlink ref="Q113" r:id="rId112" xr:uid="{00000000-0004-0000-0000-00006F000000}"/>
    <hyperlink ref="Q114" r:id="rId113" xr:uid="{00000000-0004-0000-0000-000070000000}"/>
    <hyperlink ref="Q115" r:id="rId114" xr:uid="{00000000-0004-0000-0000-000071000000}"/>
    <hyperlink ref="Q116" r:id="rId115" xr:uid="{00000000-0004-0000-0000-000072000000}"/>
    <hyperlink ref="Q117" r:id="rId116" xr:uid="{00000000-0004-0000-0000-000073000000}"/>
    <hyperlink ref="Q118" r:id="rId117" xr:uid="{00000000-0004-0000-0000-000074000000}"/>
    <hyperlink ref="Q119" r:id="rId118" xr:uid="{00000000-0004-0000-0000-000075000000}"/>
    <hyperlink ref="Q120" r:id="rId119" xr:uid="{00000000-0004-0000-0000-000076000000}"/>
    <hyperlink ref="Q121" r:id="rId120" xr:uid="{00000000-0004-0000-0000-000077000000}"/>
    <hyperlink ref="Q122" r:id="rId121" xr:uid="{00000000-0004-0000-0000-000078000000}"/>
    <hyperlink ref="Q123" r:id="rId122" xr:uid="{00000000-0004-0000-0000-000079000000}"/>
    <hyperlink ref="Q124" r:id="rId123" xr:uid="{00000000-0004-0000-0000-00007A000000}"/>
    <hyperlink ref="Q125" r:id="rId124" xr:uid="{00000000-0004-0000-0000-00007B000000}"/>
    <hyperlink ref="Q126" r:id="rId125" xr:uid="{00000000-0004-0000-0000-00007C000000}"/>
    <hyperlink ref="Q127" r:id="rId126" xr:uid="{00000000-0004-0000-0000-00007D000000}"/>
    <hyperlink ref="Q128" r:id="rId127" xr:uid="{00000000-0004-0000-0000-00007E000000}"/>
    <hyperlink ref="Q129" r:id="rId128" xr:uid="{00000000-0004-0000-0000-00007F000000}"/>
    <hyperlink ref="Q130" r:id="rId129" xr:uid="{00000000-0004-0000-0000-000080000000}"/>
    <hyperlink ref="Q131" r:id="rId130" xr:uid="{00000000-0004-0000-0000-000081000000}"/>
    <hyperlink ref="Q132" r:id="rId131" xr:uid="{00000000-0004-0000-0000-000082000000}"/>
    <hyperlink ref="Q133" r:id="rId132" xr:uid="{00000000-0004-0000-0000-000083000000}"/>
    <hyperlink ref="Q134" r:id="rId133" xr:uid="{00000000-0004-0000-0000-000084000000}"/>
    <hyperlink ref="Q135" r:id="rId134" xr:uid="{00000000-0004-0000-0000-000085000000}"/>
    <hyperlink ref="Q136" r:id="rId135" xr:uid="{00000000-0004-0000-0000-000086000000}"/>
    <hyperlink ref="Q137" r:id="rId136" xr:uid="{00000000-0004-0000-0000-000087000000}"/>
    <hyperlink ref="Q138" r:id="rId137" xr:uid="{00000000-0004-0000-0000-000088000000}"/>
    <hyperlink ref="Q139" r:id="rId138" xr:uid="{00000000-0004-0000-0000-000089000000}"/>
    <hyperlink ref="Q140" r:id="rId139" xr:uid="{00000000-0004-0000-0000-00008A000000}"/>
    <hyperlink ref="Q141" r:id="rId140" xr:uid="{00000000-0004-0000-0000-00008B000000}"/>
    <hyperlink ref="Q142" r:id="rId141" xr:uid="{00000000-0004-0000-0000-00008C000000}"/>
    <hyperlink ref="Q143" r:id="rId142" xr:uid="{00000000-0004-0000-0000-00008D000000}"/>
    <hyperlink ref="Q144" r:id="rId143" xr:uid="{00000000-0004-0000-0000-00008E000000}"/>
    <hyperlink ref="Q145" r:id="rId144" xr:uid="{00000000-0004-0000-0000-00008F000000}"/>
    <hyperlink ref="Q146" r:id="rId145" xr:uid="{00000000-0004-0000-0000-000090000000}"/>
    <hyperlink ref="Q147" r:id="rId146" xr:uid="{00000000-0004-0000-0000-000091000000}"/>
    <hyperlink ref="Q148" r:id="rId147" xr:uid="{00000000-0004-0000-0000-000092000000}"/>
    <hyperlink ref="Q149" r:id="rId148" xr:uid="{00000000-0004-0000-0000-000093000000}"/>
    <hyperlink ref="Q150" r:id="rId149" xr:uid="{00000000-0004-0000-0000-000094000000}"/>
    <hyperlink ref="Q151" r:id="rId150" xr:uid="{00000000-0004-0000-0000-000095000000}"/>
    <hyperlink ref="Q152" r:id="rId151" xr:uid="{00000000-0004-0000-0000-000096000000}"/>
    <hyperlink ref="Q153" r:id="rId152" xr:uid="{00000000-0004-0000-0000-000097000000}"/>
    <hyperlink ref="Q154" r:id="rId153" xr:uid="{00000000-0004-0000-0000-000098000000}"/>
    <hyperlink ref="Q155" r:id="rId154" xr:uid="{00000000-0004-0000-0000-000099000000}"/>
    <hyperlink ref="Q156" r:id="rId155" xr:uid="{00000000-0004-0000-0000-00009A000000}"/>
    <hyperlink ref="Q157" r:id="rId156" xr:uid="{00000000-0004-0000-0000-00009B000000}"/>
    <hyperlink ref="Q158" r:id="rId157" xr:uid="{00000000-0004-0000-0000-00009C000000}"/>
    <hyperlink ref="Q159" r:id="rId158" xr:uid="{00000000-0004-0000-0000-00009D000000}"/>
    <hyperlink ref="Q160" r:id="rId159" xr:uid="{00000000-0004-0000-0000-00009E000000}"/>
    <hyperlink ref="Q161" r:id="rId160" xr:uid="{00000000-0004-0000-0000-00009F000000}"/>
    <hyperlink ref="Q162" r:id="rId161" xr:uid="{00000000-0004-0000-0000-0000A0000000}"/>
    <hyperlink ref="Q163" r:id="rId162" xr:uid="{00000000-0004-0000-0000-0000A1000000}"/>
    <hyperlink ref="Q164" r:id="rId163" xr:uid="{00000000-0004-0000-0000-0000A2000000}"/>
    <hyperlink ref="Q165" r:id="rId164" xr:uid="{00000000-0004-0000-0000-0000A3000000}"/>
    <hyperlink ref="Q166" r:id="rId165" xr:uid="{00000000-0004-0000-0000-0000A4000000}"/>
    <hyperlink ref="Q167" r:id="rId166" xr:uid="{00000000-0004-0000-0000-0000A5000000}"/>
    <hyperlink ref="Q168" r:id="rId167" xr:uid="{00000000-0004-0000-0000-0000A6000000}"/>
    <hyperlink ref="Q169" r:id="rId168" xr:uid="{00000000-0004-0000-0000-0000A7000000}"/>
    <hyperlink ref="Q170" r:id="rId169" xr:uid="{00000000-0004-0000-0000-0000A8000000}"/>
    <hyperlink ref="Q171" r:id="rId170" xr:uid="{00000000-0004-0000-0000-0000A9000000}"/>
    <hyperlink ref="Q172" r:id="rId171" xr:uid="{00000000-0004-0000-0000-0000AA000000}"/>
    <hyperlink ref="Q173" r:id="rId172" xr:uid="{00000000-0004-0000-0000-0000AB000000}"/>
    <hyperlink ref="Q174" r:id="rId173" xr:uid="{00000000-0004-0000-0000-0000AC000000}"/>
    <hyperlink ref="Q175" r:id="rId174" xr:uid="{00000000-0004-0000-0000-0000AD000000}"/>
    <hyperlink ref="Q176" r:id="rId175" xr:uid="{00000000-0004-0000-0000-0000AE000000}"/>
    <hyperlink ref="Q177" r:id="rId176" xr:uid="{00000000-0004-0000-0000-0000AF000000}"/>
    <hyperlink ref="Q178" r:id="rId177" xr:uid="{00000000-0004-0000-0000-0000B0000000}"/>
    <hyperlink ref="Q179" r:id="rId178" xr:uid="{00000000-0004-0000-0000-0000B1000000}"/>
    <hyperlink ref="Q180" r:id="rId179" xr:uid="{00000000-0004-0000-0000-0000B2000000}"/>
    <hyperlink ref="Q181" r:id="rId180" xr:uid="{00000000-0004-0000-0000-0000B3000000}"/>
    <hyperlink ref="Q182" r:id="rId181" xr:uid="{00000000-0004-0000-0000-0000B4000000}"/>
    <hyperlink ref="Q183" r:id="rId182" xr:uid="{00000000-0004-0000-0000-0000B5000000}"/>
    <hyperlink ref="Q184" r:id="rId183" xr:uid="{00000000-0004-0000-0000-0000B6000000}"/>
    <hyperlink ref="Q185" r:id="rId184" xr:uid="{00000000-0004-0000-0000-0000B7000000}"/>
    <hyperlink ref="Q186" r:id="rId185" xr:uid="{00000000-0004-0000-0000-0000B8000000}"/>
    <hyperlink ref="Q187" r:id="rId186" xr:uid="{00000000-0004-0000-0000-0000B9000000}"/>
    <hyperlink ref="Q188" r:id="rId187" xr:uid="{00000000-0004-0000-0000-0000BA000000}"/>
    <hyperlink ref="Q189" r:id="rId188" xr:uid="{00000000-0004-0000-0000-0000BB000000}"/>
    <hyperlink ref="Q190" r:id="rId189" xr:uid="{00000000-0004-0000-0000-0000BC000000}"/>
    <hyperlink ref="Q191" r:id="rId190" xr:uid="{00000000-0004-0000-0000-0000BD000000}"/>
    <hyperlink ref="Q192" r:id="rId191" xr:uid="{00000000-0004-0000-0000-0000BE000000}"/>
    <hyperlink ref="Q193" r:id="rId192" xr:uid="{00000000-0004-0000-0000-0000BF000000}"/>
    <hyperlink ref="Q194" r:id="rId193" xr:uid="{00000000-0004-0000-0000-0000C0000000}"/>
    <hyperlink ref="Q195" r:id="rId194" xr:uid="{00000000-0004-0000-0000-0000C1000000}"/>
    <hyperlink ref="Q196" r:id="rId195" xr:uid="{00000000-0004-0000-0000-0000C2000000}"/>
    <hyperlink ref="Q197" r:id="rId196" xr:uid="{00000000-0004-0000-0000-0000C3000000}"/>
    <hyperlink ref="Q198" r:id="rId197" xr:uid="{00000000-0004-0000-0000-0000C4000000}"/>
    <hyperlink ref="Q199" r:id="rId198" xr:uid="{00000000-0004-0000-0000-0000C5000000}"/>
    <hyperlink ref="Q200" r:id="rId199" xr:uid="{00000000-0004-0000-0000-0000C6000000}"/>
    <hyperlink ref="Q201" r:id="rId200" xr:uid="{00000000-0004-0000-0000-0000C7000000}"/>
    <hyperlink ref="Q202" r:id="rId201" xr:uid="{00000000-0004-0000-0000-0000C8000000}"/>
    <hyperlink ref="Q203" r:id="rId202" xr:uid="{00000000-0004-0000-0000-0000C9000000}"/>
    <hyperlink ref="Q204" r:id="rId203" xr:uid="{00000000-0004-0000-0000-0000CA000000}"/>
    <hyperlink ref="Q205" r:id="rId204" xr:uid="{00000000-0004-0000-0000-0000CB000000}"/>
    <hyperlink ref="Q206" r:id="rId205" xr:uid="{00000000-0004-0000-0000-0000CC000000}"/>
    <hyperlink ref="Q207" r:id="rId206" xr:uid="{00000000-0004-0000-0000-0000CD000000}"/>
    <hyperlink ref="Q208" r:id="rId207" xr:uid="{00000000-0004-0000-0000-0000CE000000}"/>
    <hyperlink ref="Q209" r:id="rId208" xr:uid="{00000000-0004-0000-0000-0000CF000000}"/>
    <hyperlink ref="Q210" r:id="rId209" xr:uid="{00000000-0004-0000-0000-0000D0000000}"/>
    <hyperlink ref="Q211" r:id="rId210" xr:uid="{00000000-0004-0000-0000-0000D1000000}"/>
    <hyperlink ref="Q212" r:id="rId211" xr:uid="{00000000-0004-0000-0000-0000D2000000}"/>
    <hyperlink ref="Q213" r:id="rId212" xr:uid="{00000000-0004-0000-0000-0000D3000000}"/>
    <hyperlink ref="Q214" r:id="rId213" xr:uid="{00000000-0004-0000-0000-0000D4000000}"/>
    <hyperlink ref="Q215" r:id="rId214" xr:uid="{00000000-0004-0000-0000-0000D5000000}"/>
    <hyperlink ref="Q216" r:id="rId215" xr:uid="{00000000-0004-0000-0000-0000D6000000}"/>
    <hyperlink ref="Q217" r:id="rId216" xr:uid="{00000000-0004-0000-0000-0000D7000000}"/>
    <hyperlink ref="Q218" r:id="rId217" xr:uid="{00000000-0004-0000-0000-0000D8000000}"/>
    <hyperlink ref="Q219" r:id="rId218" xr:uid="{00000000-0004-0000-0000-0000D9000000}"/>
    <hyperlink ref="Q220" r:id="rId219" xr:uid="{00000000-0004-0000-0000-0000DA000000}"/>
    <hyperlink ref="Q221" r:id="rId220" xr:uid="{00000000-0004-0000-0000-0000DB000000}"/>
    <hyperlink ref="Q222" r:id="rId221" xr:uid="{00000000-0004-0000-0000-0000DC000000}"/>
    <hyperlink ref="Q223" r:id="rId222" xr:uid="{00000000-0004-0000-0000-0000DD000000}"/>
    <hyperlink ref="Q224" r:id="rId223" xr:uid="{00000000-0004-0000-0000-0000DE000000}"/>
    <hyperlink ref="Q225" r:id="rId224" xr:uid="{00000000-0004-0000-0000-0000DF000000}"/>
    <hyperlink ref="Q226" r:id="rId225" xr:uid="{00000000-0004-0000-0000-0000E0000000}"/>
    <hyperlink ref="Q227" r:id="rId226" xr:uid="{00000000-0004-0000-0000-0000E1000000}"/>
    <hyperlink ref="Q228" r:id="rId227" xr:uid="{00000000-0004-0000-0000-0000E2000000}"/>
    <hyperlink ref="Q229" r:id="rId228" xr:uid="{00000000-0004-0000-0000-0000E3000000}"/>
    <hyperlink ref="Q230" r:id="rId229" xr:uid="{00000000-0004-0000-0000-0000E4000000}"/>
    <hyperlink ref="Q231" r:id="rId230" xr:uid="{00000000-0004-0000-0000-0000E5000000}"/>
    <hyperlink ref="Q232" r:id="rId231" xr:uid="{00000000-0004-0000-0000-0000E6000000}"/>
    <hyperlink ref="Q233" r:id="rId232" xr:uid="{00000000-0004-0000-0000-0000E7000000}"/>
    <hyperlink ref="Q234" r:id="rId233" xr:uid="{00000000-0004-0000-0000-0000E8000000}"/>
    <hyperlink ref="Q235" r:id="rId234" xr:uid="{00000000-0004-0000-0000-0000E9000000}"/>
    <hyperlink ref="Q236" r:id="rId235" xr:uid="{00000000-0004-0000-0000-0000EA000000}"/>
    <hyperlink ref="Q237" r:id="rId236" xr:uid="{00000000-0004-0000-0000-0000EB000000}"/>
    <hyperlink ref="Q238" r:id="rId237" xr:uid="{00000000-0004-0000-0000-0000EC000000}"/>
    <hyperlink ref="Q239" r:id="rId238" xr:uid="{00000000-0004-0000-0000-0000ED000000}"/>
    <hyperlink ref="Q240" r:id="rId239" xr:uid="{00000000-0004-0000-0000-0000EE000000}"/>
    <hyperlink ref="Q241" r:id="rId240" xr:uid="{00000000-0004-0000-0000-0000EF000000}"/>
    <hyperlink ref="Q242" r:id="rId241" xr:uid="{00000000-0004-0000-0000-0000F0000000}"/>
    <hyperlink ref="Q243" r:id="rId242" xr:uid="{00000000-0004-0000-0000-0000F1000000}"/>
    <hyperlink ref="Q244" r:id="rId243" xr:uid="{00000000-0004-0000-0000-0000F2000000}"/>
    <hyperlink ref="Q245" r:id="rId244" xr:uid="{00000000-0004-0000-0000-0000F3000000}"/>
    <hyperlink ref="Q246" r:id="rId245" xr:uid="{00000000-0004-0000-0000-0000F4000000}"/>
    <hyperlink ref="Q247" r:id="rId246" xr:uid="{00000000-0004-0000-0000-0000F5000000}"/>
    <hyperlink ref="Q248" r:id="rId247" xr:uid="{00000000-0004-0000-0000-0000F6000000}"/>
    <hyperlink ref="Q249" r:id="rId248" xr:uid="{00000000-0004-0000-0000-0000F7000000}"/>
    <hyperlink ref="Q250" r:id="rId249" xr:uid="{00000000-0004-0000-0000-0000F8000000}"/>
    <hyperlink ref="Q251" r:id="rId250" xr:uid="{00000000-0004-0000-0000-0000F9000000}"/>
    <hyperlink ref="Q252" r:id="rId251" xr:uid="{00000000-0004-0000-0000-0000FA000000}"/>
    <hyperlink ref="Q253" r:id="rId252" xr:uid="{00000000-0004-0000-0000-0000FB000000}"/>
    <hyperlink ref="Q254" r:id="rId253" xr:uid="{00000000-0004-0000-0000-0000FC000000}"/>
    <hyperlink ref="Q255" r:id="rId254" xr:uid="{00000000-0004-0000-0000-0000FD000000}"/>
    <hyperlink ref="Q256" r:id="rId255" xr:uid="{00000000-0004-0000-0000-0000FE000000}"/>
    <hyperlink ref="Q257" r:id="rId256" xr:uid="{00000000-0004-0000-0000-0000FF000000}"/>
    <hyperlink ref="Q258" r:id="rId257" xr:uid="{00000000-0004-0000-0000-000000010000}"/>
    <hyperlink ref="Q259" r:id="rId258" xr:uid="{00000000-0004-0000-0000-000001010000}"/>
    <hyperlink ref="Q260" r:id="rId259" xr:uid="{00000000-0004-0000-0000-000002010000}"/>
    <hyperlink ref="Q261" r:id="rId260" xr:uid="{00000000-0004-0000-0000-000003010000}"/>
    <hyperlink ref="Q262" r:id="rId261" xr:uid="{00000000-0004-0000-0000-000004010000}"/>
    <hyperlink ref="Q263" r:id="rId262" xr:uid="{00000000-0004-0000-0000-000005010000}"/>
    <hyperlink ref="Q264" r:id="rId263" xr:uid="{00000000-0004-0000-0000-000006010000}"/>
    <hyperlink ref="Q265" r:id="rId264" xr:uid="{00000000-0004-0000-0000-000007010000}"/>
    <hyperlink ref="Q266" r:id="rId265" xr:uid="{00000000-0004-0000-0000-000008010000}"/>
    <hyperlink ref="Q267" r:id="rId266" xr:uid="{00000000-0004-0000-0000-000009010000}"/>
    <hyperlink ref="Q268" r:id="rId267" xr:uid="{00000000-0004-0000-0000-00000A010000}"/>
    <hyperlink ref="Q269" r:id="rId268" xr:uid="{00000000-0004-0000-0000-00000B010000}"/>
    <hyperlink ref="Q270" r:id="rId269" xr:uid="{00000000-0004-0000-0000-00000C010000}"/>
    <hyperlink ref="Q271" r:id="rId270" xr:uid="{00000000-0004-0000-0000-00000D010000}"/>
    <hyperlink ref="Q272" r:id="rId271" xr:uid="{00000000-0004-0000-0000-00000E010000}"/>
    <hyperlink ref="Q273" r:id="rId272" xr:uid="{00000000-0004-0000-0000-00000F010000}"/>
    <hyperlink ref="Q274" r:id="rId273" xr:uid="{00000000-0004-0000-0000-000010010000}"/>
    <hyperlink ref="Q275" r:id="rId274" xr:uid="{00000000-0004-0000-0000-000011010000}"/>
    <hyperlink ref="Q276" r:id="rId275" xr:uid="{00000000-0004-0000-0000-000012010000}"/>
    <hyperlink ref="Q277" r:id="rId276" xr:uid="{00000000-0004-0000-0000-000013010000}"/>
    <hyperlink ref="Q278" r:id="rId277" xr:uid="{00000000-0004-0000-0000-000014010000}"/>
    <hyperlink ref="Q279" r:id="rId278" xr:uid="{00000000-0004-0000-0000-000015010000}"/>
    <hyperlink ref="Q280" r:id="rId279" xr:uid="{00000000-0004-0000-0000-000016010000}"/>
    <hyperlink ref="Q281" r:id="rId280" xr:uid="{00000000-0004-0000-0000-000017010000}"/>
    <hyperlink ref="Q282" r:id="rId281" xr:uid="{00000000-0004-0000-0000-000018010000}"/>
    <hyperlink ref="Q283" r:id="rId282" xr:uid="{00000000-0004-0000-0000-000019010000}"/>
    <hyperlink ref="Q284" r:id="rId283" xr:uid="{00000000-0004-0000-0000-00001A010000}"/>
    <hyperlink ref="Q285" r:id="rId284" xr:uid="{00000000-0004-0000-0000-00001B010000}"/>
    <hyperlink ref="Q286" r:id="rId285" xr:uid="{00000000-0004-0000-0000-00001C010000}"/>
    <hyperlink ref="Q287" r:id="rId286" xr:uid="{00000000-0004-0000-0000-00001D010000}"/>
    <hyperlink ref="Q288" r:id="rId287" xr:uid="{00000000-0004-0000-0000-00001E010000}"/>
    <hyperlink ref="Q289" r:id="rId288" xr:uid="{00000000-0004-0000-0000-00001F010000}"/>
    <hyperlink ref="Q290" r:id="rId289" xr:uid="{00000000-0004-0000-0000-000020010000}"/>
    <hyperlink ref="Q291" r:id="rId290" xr:uid="{00000000-0004-0000-0000-000021010000}"/>
    <hyperlink ref="Q292" r:id="rId291" xr:uid="{00000000-0004-0000-0000-000022010000}"/>
    <hyperlink ref="Q293" r:id="rId292" xr:uid="{00000000-0004-0000-0000-000023010000}"/>
    <hyperlink ref="Q294" r:id="rId293" xr:uid="{00000000-0004-0000-0000-000024010000}"/>
    <hyperlink ref="Q295" r:id="rId294" xr:uid="{00000000-0004-0000-0000-000025010000}"/>
    <hyperlink ref="Q296" r:id="rId295" xr:uid="{00000000-0004-0000-0000-000026010000}"/>
    <hyperlink ref="Q297" r:id="rId296" xr:uid="{00000000-0004-0000-0000-000027010000}"/>
    <hyperlink ref="Q298" r:id="rId297" xr:uid="{00000000-0004-0000-0000-000028010000}"/>
    <hyperlink ref="Q299" r:id="rId298" xr:uid="{00000000-0004-0000-0000-000029010000}"/>
    <hyperlink ref="Q300" r:id="rId299" xr:uid="{00000000-0004-0000-0000-00002A010000}"/>
    <hyperlink ref="Q301" r:id="rId300" xr:uid="{00000000-0004-0000-0000-00002B010000}"/>
    <hyperlink ref="Q302" r:id="rId301" xr:uid="{00000000-0004-0000-0000-00002C010000}"/>
    <hyperlink ref="Q303" r:id="rId302" xr:uid="{00000000-0004-0000-0000-00002D010000}"/>
    <hyperlink ref="Q304" r:id="rId303" xr:uid="{00000000-0004-0000-0000-00002E010000}"/>
    <hyperlink ref="Q305" r:id="rId304" xr:uid="{00000000-0004-0000-0000-00002F010000}"/>
    <hyperlink ref="Q306" r:id="rId305" xr:uid="{00000000-0004-0000-0000-000030010000}"/>
    <hyperlink ref="Q307" r:id="rId306" xr:uid="{00000000-0004-0000-0000-000031010000}"/>
    <hyperlink ref="Q308" r:id="rId307" xr:uid="{00000000-0004-0000-0000-000032010000}"/>
    <hyperlink ref="Q309" r:id="rId308" xr:uid="{00000000-0004-0000-0000-000033010000}"/>
    <hyperlink ref="Q310" r:id="rId309" xr:uid="{00000000-0004-0000-0000-000034010000}"/>
    <hyperlink ref="Q311" r:id="rId310" xr:uid="{00000000-0004-0000-0000-000035010000}"/>
    <hyperlink ref="Q312" r:id="rId311" xr:uid="{00000000-0004-0000-0000-000036010000}"/>
    <hyperlink ref="Q313" r:id="rId312" xr:uid="{00000000-0004-0000-0000-000037010000}"/>
    <hyperlink ref="Q314" r:id="rId313" xr:uid="{00000000-0004-0000-0000-000038010000}"/>
    <hyperlink ref="Q315" r:id="rId314" xr:uid="{00000000-0004-0000-0000-000039010000}"/>
    <hyperlink ref="Q316" r:id="rId315" xr:uid="{00000000-0004-0000-0000-00003A010000}"/>
    <hyperlink ref="Q317" r:id="rId316" xr:uid="{00000000-0004-0000-0000-00003B010000}"/>
    <hyperlink ref="Q318" r:id="rId317" xr:uid="{00000000-0004-0000-0000-00003C010000}"/>
    <hyperlink ref="Q319" r:id="rId318" xr:uid="{00000000-0004-0000-0000-00003D010000}"/>
    <hyperlink ref="Q320" r:id="rId319" xr:uid="{00000000-0004-0000-0000-00003E010000}"/>
    <hyperlink ref="Q321" r:id="rId320" xr:uid="{00000000-0004-0000-0000-00003F010000}"/>
    <hyperlink ref="Q322" r:id="rId321" xr:uid="{00000000-0004-0000-0000-000040010000}"/>
    <hyperlink ref="Q323" r:id="rId322" xr:uid="{00000000-0004-0000-0000-000041010000}"/>
    <hyperlink ref="Q324" r:id="rId323" xr:uid="{00000000-0004-0000-0000-000042010000}"/>
    <hyperlink ref="Q325" r:id="rId324" xr:uid="{00000000-0004-0000-0000-000043010000}"/>
    <hyperlink ref="Q326" r:id="rId325" xr:uid="{00000000-0004-0000-0000-000044010000}"/>
    <hyperlink ref="Q327" r:id="rId326" xr:uid="{00000000-0004-0000-0000-000045010000}"/>
    <hyperlink ref="Q328" r:id="rId327" xr:uid="{00000000-0004-0000-0000-000046010000}"/>
    <hyperlink ref="Q329" r:id="rId328" xr:uid="{00000000-0004-0000-0000-000047010000}"/>
    <hyperlink ref="Q330" r:id="rId329" xr:uid="{00000000-0004-0000-0000-000048010000}"/>
    <hyperlink ref="Q331" r:id="rId330" xr:uid="{00000000-0004-0000-0000-000049010000}"/>
    <hyperlink ref="Q332" r:id="rId331" xr:uid="{00000000-0004-0000-0000-00004A010000}"/>
    <hyperlink ref="Q333" r:id="rId332" xr:uid="{00000000-0004-0000-0000-00004B010000}"/>
    <hyperlink ref="Q334" r:id="rId333" xr:uid="{00000000-0004-0000-0000-00004C010000}"/>
    <hyperlink ref="Q335" r:id="rId334" xr:uid="{00000000-0004-0000-0000-00004D010000}"/>
    <hyperlink ref="Q336" r:id="rId335" xr:uid="{00000000-0004-0000-0000-00004E010000}"/>
    <hyperlink ref="Q337" r:id="rId336" xr:uid="{00000000-0004-0000-0000-00004F010000}"/>
    <hyperlink ref="Q338" r:id="rId337" xr:uid="{00000000-0004-0000-0000-000050010000}"/>
    <hyperlink ref="Q339" r:id="rId338" xr:uid="{00000000-0004-0000-0000-000051010000}"/>
    <hyperlink ref="Q340" r:id="rId339" xr:uid="{00000000-0004-0000-0000-000052010000}"/>
    <hyperlink ref="Q341" r:id="rId340" xr:uid="{00000000-0004-0000-0000-000053010000}"/>
    <hyperlink ref="Q342" r:id="rId341" xr:uid="{00000000-0004-0000-0000-000054010000}"/>
    <hyperlink ref="Q343" r:id="rId342" xr:uid="{00000000-0004-0000-0000-000055010000}"/>
    <hyperlink ref="Q344" r:id="rId343" xr:uid="{00000000-0004-0000-0000-000056010000}"/>
    <hyperlink ref="Q345" r:id="rId344" xr:uid="{00000000-0004-0000-0000-000057010000}"/>
    <hyperlink ref="Q346" r:id="rId345" xr:uid="{00000000-0004-0000-0000-000058010000}"/>
    <hyperlink ref="Q347" r:id="rId346" xr:uid="{00000000-0004-0000-0000-000059010000}"/>
    <hyperlink ref="Q348" r:id="rId347" xr:uid="{00000000-0004-0000-0000-00005A010000}"/>
    <hyperlink ref="Q349" r:id="rId348" xr:uid="{00000000-0004-0000-0000-00005B010000}"/>
    <hyperlink ref="Q350" r:id="rId349" xr:uid="{00000000-0004-0000-0000-00005C010000}"/>
    <hyperlink ref="Q351" r:id="rId350" xr:uid="{00000000-0004-0000-0000-00005D010000}"/>
    <hyperlink ref="Q352" r:id="rId351" xr:uid="{00000000-0004-0000-0000-00005E010000}"/>
    <hyperlink ref="Q353" r:id="rId352" xr:uid="{00000000-0004-0000-0000-00005F010000}"/>
    <hyperlink ref="Q354" r:id="rId353" xr:uid="{00000000-0004-0000-0000-000060010000}"/>
    <hyperlink ref="Q355" r:id="rId354" xr:uid="{00000000-0004-0000-0000-000061010000}"/>
    <hyperlink ref="Q356" r:id="rId355" xr:uid="{00000000-0004-0000-0000-000062010000}"/>
    <hyperlink ref="Q357" r:id="rId356" xr:uid="{00000000-0004-0000-0000-000063010000}"/>
    <hyperlink ref="Q358" r:id="rId357" xr:uid="{00000000-0004-0000-0000-000064010000}"/>
    <hyperlink ref="Q359" r:id="rId358" xr:uid="{00000000-0004-0000-0000-000065010000}"/>
    <hyperlink ref="Q360" r:id="rId359" xr:uid="{00000000-0004-0000-0000-000066010000}"/>
    <hyperlink ref="Q361" r:id="rId360" xr:uid="{00000000-0004-0000-0000-000067010000}"/>
    <hyperlink ref="Q362" r:id="rId361" xr:uid="{00000000-0004-0000-0000-000068010000}"/>
    <hyperlink ref="Q363" r:id="rId362" xr:uid="{00000000-0004-0000-0000-000069010000}"/>
    <hyperlink ref="Q364" r:id="rId363" xr:uid="{00000000-0004-0000-0000-00006A010000}"/>
    <hyperlink ref="Q365" r:id="rId364" xr:uid="{00000000-0004-0000-0000-00006B010000}"/>
    <hyperlink ref="Q366" r:id="rId365" xr:uid="{00000000-0004-0000-0000-00006C010000}"/>
    <hyperlink ref="Q367" r:id="rId366" xr:uid="{00000000-0004-0000-0000-00006D010000}"/>
    <hyperlink ref="Q368" r:id="rId367" xr:uid="{00000000-0004-0000-0000-00006E010000}"/>
    <hyperlink ref="Q369" r:id="rId368" xr:uid="{00000000-0004-0000-0000-00006F010000}"/>
    <hyperlink ref="Q370" r:id="rId369" xr:uid="{00000000-0004-0000-0000-000070010000}"/>
    <hyperlink ref="Q371" r:id="rId370" xr:uid="{00000000-0004-0000-0000-000071010000}"/>
    <hyperlink ref="Q372" r:id="rId371" xr:uid="{00000000-0004-0000-0000-000072010000}"/>
    <hyperlink ref="Q373" r:id="rId372" xr:uid="{00000000-0004-0000-0000-000073010000}"/>
    <hyperlink ref="Q374" r:id="rId373" xr:uid="{00000000-0004-0000-0000-000074010000}"/>
    <hyperlink ref="Q375" r:id="rId374" xr:uid="{00000000-0004-0000-0000-000075010000}"/>
    <hyperlink ref="Q376" r:id="rId375" xr:uid="{00000000-0004-0000-0000-000076010000}"/>
    <hyperlink ref="Q377" r:id="rId376" xr:uid="{00000000-0004-0000-0000-000077010000}"/>
    <hyperlink ref="Q378" r:id="rId377" xr:uid="{00000000-0004-0000-0000-000078010000}"/>
    <hyperlink ref="Q379" r:id="rId378" xr:uid="{00000000-0004-0000-0000-000079010000}"/>
    <hyperlink ref="Q380" r:id="rId379" xr:uid="{00000000-0004-0000-0000-00007A010000}"/>
    <hyperlink ref="Q381" r:id="rId380" xr:uid="{00000000-0004-0000-0000-00007B010000}"/>
    <hyperlink ref="Q382" r:id="rId381" xr:uid="{00000000-0004-0000-0000-00007C010000}"/>
    <hyperlink ref="Q383" r:id="rId382" xr:uid="{00000000-0004-0000-0000-00007D010000}"/>
    <hyperlink ref="Q384" r:id="rId383" xr:uid="{00000000-0004-0000-0000-00007E010000}"/>
    <hyperlink ref="Q385" r:id="rId384" xr:uid="{00000000-0004-0000-0000-00007F010000}"/>
    <hyperlink ref="Q386" r:id="rId385" xr:uid="{00000000-0004-0000-0000-000080010000}"/>
    <hyperlink ref="Q387" r:id="rId386" xr:uid="{00000000-0004-0000-0000-000081010000}"/>
    <hyperlink ref="Q388" r:id="rId387" xr:uid="{00000000-0004-0000-0000-000082010000}"/>
    <hyperlink ref="Q389" r:id="rId388" xr:uid="{00000000-0004-0000-0000-000083010000}"/>
    <hyperlink ref="Q390" r:id="rId389" xr:uid="{00000000-0004-0000-0000-000084010000}"/>
    <hyperlink ref="Q391" r:id="rId390" xr:uid="{00000000-0004-0000-0000-000085010000}"/>
    <hyperlink ref="Q392" r:id="rId391" xr:uid="{00000000-0004-0000-0000-000086010000}"/>
    <hyperlink ref="Q393" r:id="rId392" xr:uid="{00000000-0004-0000-0000-000087010000}"/>
    <hyperlink ref="Q394" r:id="rId393" xr:uid="{00000000-0004-0000-0000-000088010000}"/>
    <hyperlink ref="Q395" r:id="rId394" xr:uid="{00000000-0004-0000-0000-000089010000}"/>
    <hyperlink ref="Q396" r:id="rId395" xr:uid="{00000000-0004-0000-0000-00008A010000}"/>
    <hyperlink ref="Q397" r:id="rId396" xr:uid="{00000000-0004-0000-0000-00008B010000}"/>
    <hyperlink ref="Q398" r:id="rId397" xr:uid="{00000000-0004-0000-0000-00008C010000}"/>
    <hyperlink ref="Q399" r:id="rId398" xr:uid="{00000000-0004-0000-0000-00008D010000}"/>
    <hyperlink ref="Q400" r:id="rId399" xr:uid="{00000000-0004-0000-0000-00008E010000}"/>
    <hyperlink ref="Q401" r:id="rId400" xr:uid="{00000000-0004-0000-0000-00008F010000}"/>
    <hyperlink ref="Q402" r:id="rId401" xr:uid="{00000000-0004-0000-0000-000090010000}"/>
    <hyperlink ref="Q403" r:id="rId402" xr:uid="{00000000-0004-0000-0000-000091010000}"/>
    <hyperlink ref="Q404" r:id="rId403" xr:uid="{00000000-0004-0000-0000-000092010000}"/>
    <hyperlink ref="Q405" r:id="rId404" xr:uid="{00000000-0004-0000-0000-000093010000}"/>
    <hyperlink ref="Q406" r:id="rId405" xr:uid="{00000000-0004-0000-0000-000094010000}"/>
    <hyperlink ref="Q407" r:id="rId406" xr:uid="{00000000-0004-0000-0000-000095010000}"/>
    <hyperlink ref="Q408" r:id="rId407" xr:uid="{00000000-0004-0000-0000-000096010000}"/>
    <hyperlink ref="Q409" r:id="rId408" xr:uid="{00000000-0004-0000-0000-000097010000}"/>
    <hyperlink ref="Q410" r:id="rId409" xr:uid="{00000000-0004-0000-0000-000098010000}"/>
    <hyperlink ref="Q411" r:id="rId410" xr:uid="{00000000-0004-0000-0000-000099010000}"/>
    <hyperlink ref="Q412" r:id="rId411" xr:uid="{00000000-0004-0000-0000-00009A010000}"/>
    <hyperlink ref="Q413" r:id="rId412" xr:uid="{00000000-0004-0000-0000-00009B010000}"/>
    <hyperlink ref="Q414" r:id="rId413" xr:uid="{00000000-0004-0000-0000-00009C010000}"/>
    <hyperlink ref="Q415" r:id="rId414" xr:uid="{00000000-0004-0000-0000-00009D010000}"/>
    <hyperlink ref="Q416" r:id="rId415" xr:uid="{00000000-0004-0000-0000-00009E010000}"/>
    <hyperlink ref="Q417" r:id="rId416" xr:uid="{00000000-0004-0000-0000-00009F010000}"/>
    <hyperlink ref="Q418" r:id="rId417" xr:uid="{00000000-0004-0000-0000-0000A0010000}"/>
    <hyperlink ref="Q419" r:id="rId418" xr:uid="{00000000-0004-0000-0000-0000A1010000}"/>
    <hyperlink ref="Q420" r:id="rId419" xr:uid="{00000000-0004-0000-0000-0000A2010000}"/>
    <hyperlink ref="Q421" r:id="rId420" xr:uid="{00000000-0004-0000-0000-0000A3010000}"/>
    <hyperlink ref="Q422" r:id="rId421" xr:uid="{00000000-0004-0000-0000-0000A4010000}"/>
    <hyperlink ref="Q423" r:id="rId422" xr:uid="{00000000-0004-0000-0000-0000A5010000}"/>
    <hyperlink ref="Q424" r:id="rId423" xr:uid="{00000000-0004-0000-0000-0000A6010000}"/>
    <hyperlink ref="Q425" r:id="rId424" xr:uid="{00000000-0004-0000-0000-0000A7010000}"/>
    <hyperlink ref="Q426" r:id="rId425" xr:uid="{00000000-0004-0000-0000-0000A8010000}"/>
    <hyperlink ref="Q427" r:id="rId426" xr:uid="{00000000-0004-0000-0000-0000A9010000}"/>
    <hyperlink ref="Q428" r:id="rId427" xr:uid="{00000000-0004-0000-0000-0000AA010000}"/>
    <hyperlink ref="Q429" r:id="rId428" xr:uid="{00000000-0004-0000-0000-0000AB010000}"/>
    <hyperlink ref="Q430" r:id="rId429" xr:uid="{00000000-0004-0000-0000-0000AC010000}"/>
    <hyperlink ref="Q431" r:id="rId430" xr:uid="{00000000-0004-0000-0000-0000AD010000}"/>
    <hyperlink ref="Q432" r:id="rId431" xr:uid="{00000000-0004-0000-0000-0000AE010000}"/>
    <hyperlink ref="Q433" r:id="rId432" xr:uid="{00000000-0004-0000-0000-0000AF010000}"/>
    <hyperlink ref="Q434" r:id="rId433" xr:uid="{00000000-0004-0000-0000-0000B0010000}"/>
    <hyperlink ref="Q435" r:id="rId434" xr:uid="{00000000-0004-0000-0000-0000B1010000}"/>
    <hyperlink ref="Q436" r:id="rId435" xr:uid="{00000000-0004-0000-0000-0000B2010000}"/>
    <hyperlink ref="Q437" r:id="rId436" xr:uid="{00000000-0004-0000-0000-0000B3010000}"/>
    <hyperlink ref="Q438" r:id="rId437" xr:uid="{00000000-0004-0000-0000-0000B4010000}"/>
    <hyperlink ref="Q439" r:id="rId438" xr:uid="{00000000-0004-0000-0000-0000B5010000}"/>
    <hyperlink ref="Q440" r:id="rId439" xr:uid="{00000000-0004-0000-0000-0000B6010000}"/>
    <hyperlink ref="Q441" r:id="rId440" xr:uid="{00000000-0004-0000-0000-0000B7010000}"/>
    <hyperlink ref="Q442" r:id="rId441" xr:uid="{00000000-0004-0000-0000-0000B8010000}"/>
    <hyperlink ref="Q443" r:id="rId442" xr:uid="{00000000-0004-0000-0000-0000B9010000}"/>
    <hyperlink ref="Q444" r:id="rId443" xr:uid="{00000000-0004-0000-0000-0000BA010000}"/>
    <hyperlink ref="Q445" r:id="rId444" xr:uid="{00000000-0004-0000-0000-0000BB010000}"/>
    <hyperlink ref="Q446" r:id="rId445" xr:uid="{00000000-0004-0000-0000-0000BC010000}"/>
    <hyperlink ref="Q447" r:id="rId446" xr:uid="{00000000-0004-0000-0000-0000BD010000}"/>
    <hyperlink ref="Q448" r:id="rId447" xr:uid="{00000000-0004-0000-0000-0000BE010000}"/>
    <hyperlink ref="Q449" r:id="rId448" xr:uid="{00000000-0004-0000-0000-0000BF010000}"/>
    <hyperlink ref="Q450" r:id="rId449" xr:uid="{00000000-0004-0000-0000-0000C0010000}"/>
    <hyperlink ref="Q451" r:id="rId450" xr:uid="{00000000-0004-0000-0000-0000C1010000}"/>
    <hyperlink ref="Q452" r:id="rId451" xr:uid="{00000000-0004-0000-0000-0000C2010000}"/>
    <hyperlink ref="Q453" r:id="rId452" xr:uid="{00000000-0004-0000-0000-0000C3010000}"/>
    <hyperlink ref="Q454" r:id="rId453" xr:uid="{00000000-0004-0000-0000-0000C4010000}"/>
    <hyperlink ref="Q474" r:id="rId454" xr:uid="{00000000-0004-0000-0000-0000C5010000}"/>
    <hyperlink ref="Q475" r:id="rId455" xr:uid="{00000000-0004-0000-0000-0000C6010000}"/>
    <hyperlink ref="Q476" r:id="rId456" xr:uid="{00000000-0004-0000-0000-0000C7010000}"/>
    <hyperlink ref="Q481" r:id="rId457" xr:uid="{00000000-0004-0000-0000-0000C8010000}"/>
    <hyperlink ref="Q482" r:id="rId458" xr:uid="{00000000-0004-0000-0000-0000C9010000}"/>
    <hyperlink ref="Q483" r:id="rId459" xr:uid="{00000000-0004-0000-0000-0000CA010000}"/>
    <hyperlink ref="Q484" r:id="rId460" xr:uid="{00000000-0004-0000-0000-0000CB010000}"/>
    <hyperlink ref="Q485" r:id="rId461" xr:uid="{00000000-0004-0000-0000-0000CC010000}"/>
    <hyperlink ref="Q486" r:id="rId462" xr:uid="{00000000-0004-0000-0000-0000CD010000}"/>
    <hyperlink ref="Q487" r:id="rId463" xr:uid="{00000000-0004-0000-0000-0000CE010000}"/>
    <hyperlink ref="Q488" r:id="rId464" xr:uid="{00000000-0004-0000-0000-0000CF010000}"/>
    <hyperlink ref="Q489" r:id="rId465" xr:uid="{00000000-0004-0000-0000-0000D0010000}"/>
    <hyperlink ref="Q490" r:id="rId466" xr:uid="{00000000-0004-0000-0000-0000D1010000}"/>
    <hyperlink ref="Q491" r:id="rId467" xr:uid="{00000000-0004-0000-0000-0000D2010000}"/>
    <hyperlink ref="Q492" r:id="rId468" xr:uid="{00000000-0004-0000-0000-0000D3010000}"/>
    <hyperlink ref="Q493" r:id="rId469" xr:uid="{00000000-0004-0000-0000-0000D4010000}"/>
    <hyperlink ref="Q494" r:id="rId470" xr:uid="{00000000-0004-0000-0000-0000D5010000}"/>
    <hyperlink ref="Q495" r:id="rId471" xr:uid="{00000000-0004-0000-0000-0000D6010000}"/>
    <hyperlink ref="Q496" r:id="rId472" xr:uid="{00000000-0004-0000-0000-0000D7010000}"/>
    <hyperlink ref="Q497" r:id="rId473" xr:uid="{00000000-0004-0000-0000-0000D8010000}"/>
    <hyperlink ref="Q498" r:id="rId474" xr:uid="{00000000-0004-0000-0000-0000D9010000}"/>
    <hyperlink ref="Q499" r:id="rId475" xr:uid="{00000000-0004-0000-0000-0000DA010000}"/>
    <hyperlink ref="Q500" r:id="rId476" xr:uid="{00000000-0004-0000-0000-0000DB010000}"/>
    <hyperlink ref="Q501" r:id="rId477" xr:uid="{00000000-0004-0000-0000-0000DC010000}"/>
    <hyperlink ref="Q502" r:id="rId478" xr:uid="{00000000-0004-0000-0000-0000DD010000}"/>
    <hyperlink ref="Q503" r:id="rId479" xr:uid="{00000000-0004-0000-0000-0000DE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heetViews>
  <sheetFormatPr defaultRowHeight="14.4" x14ac:dyDescent="0.3"/>
  <sheetData>
    <row r="1" spans="1:4" x14ac:dyDescent="0.3">
      <c r="A1" s="1" t="s">
        <v>1711</v>
      </c>
      <c r="B1" s="1" t="s">
        <v>1712</v>
      </c>
      <c r="C1" s="1" t="s">
        <v>1713</v>
      </c>
      <c r="D1" s="1" t="s">
        <v>1714</v>
      </c>
    </row>
    <row r="2" spans="1:4" x14ac:dyDescent="0.3">
      <c r="A2" t="s">
        <v>1715</v>
      </c>
      <c r="B2" t="s">
        <v>1716</v>
      </c>
    </row>
    <row r="3" spans="1:4" x14ac:dyDescent="0.3">
      <c r="A3" t="s">
        <v>1717</v>
      </c>
      <c r="B3">
        <f>COUNTA('Tender Data'!J:J)-1</f>
        <v>502</v>
      </c>
      <c r="C3">
        <f>COUNTIF('Tender Data'!M:M,"Information service activities")+COUNTIF('Tender Data'!M:M,"Information and communication")</f>
        <v>8</v>
      </c>
      <c r="D3">
        <f>COUNTIF('Tender Data'!G:G,"Request for Quotation")</f>
        <v>91</v>
      </c>
    </row>
    <row r="4" spans="1:4" x14ac:dyDescent="0.3">
      <c r="A4" t="s">
        <v>1718</v>
      </c>
      <c r="B4">
        <f>COUNTIF('Tender Data'!J:J,"ESKOM")</f>
        <v>22</v>
      </c>
      <c r="C4">
        <f>COUNTIFS('Tender Data'!M:M,"Information service activities",'Tender Data'!J:J,"ESKOM")+COUNTIFS('Tender Data'!M:M,"Information and communication",'Tender Data'!J:J,"ESKOM")</f>
        <v>0</v>
      </c>
      <c r="D4">
        <f>COUNTIFS('Tender Data'!J:J,"ESKOM",'Tender Data'!G:G,"Request for Quotation")</f>
        <v>1</v>
      </c>
    </row>
    <row r="5" spans="1:4" x14ac:dyDescent="0.3">
      <c r="A5" t="s">
        <v>1719</v>
      </c>
      <c r="B5">
        <f>COUNTIF('Tender Data'!J:J,"State Information Technology Agency")</f>
        <v>0</v>
      </c>
      <c r="C5">
        <f>COUNTIFS('Tender Data'!M:M,"Information service activities",'Tender Data'!J:J,"State Information Technology Agency")+COUNTIFS('Tender Data'!M:M,"Information and communication",'Tender Data'!J:J,"State Information Technology Agency")</f>
        <v>0</v>
      </c>
      <c r="D5">
        <f>COUNTIFS('Tender Data'!J:J,"State Information Technology Agency",'Tender Data'!G:G,"Request for Quotation")</f>
        <v>0</v>
      </c>
    </row>
    <row r="6" spans="1:4" x14ac:dyDescent="0.3">
      <c r="A6" t="s">
        <v>1720</v>
      </c>
      <c r="B6">
        <f>COUNTIF('Tender Data'!J:J,"Transnet*")</f>
        <v>33</v>
      </c>
      <c r="C6">
        <f>COUNTIFS('Tender Data'!M:M,"Information service activities",'Tender Data'!J:J,"Transnet*")+COUNTIFS('Tender Data'!M:M,"Information and communication",'Tender Data'!J:J,"Transnet*")</f>
        <v>0</v>
      </c>
      <c r="D6">
        <f>COUNTIFS('Tender Data'!J:J,"Transnet*",'Tender Data'!G:G,"Request for Quotation")</f>
        <v>1</v>
      </c>
    </row>
    <row r="7" spans="1:4" x14ac:dyDescent="0.3">
      <c r="A7" t="s">
        <v>1721</v>
      </c>
      <c r="B7">
        <f>COUNTIF('Tender Data'!J:J,"*Joburg Property*")</f>
        <v>0</v>
      </c>
      <c r="C7">
        <f>COUNTIFS('Tender Data'!M:M,"Information service activities",'Tender Data'!J:J,"*Joburg Property*")+COUNTIFS('Tender Data'!M:M,"Information and communication",'Tender Data'!J:J,"*Joburg Property*")</f>
        <v>0</v>
      </c>
      <c r="D7">
        <f>COUNTIFS('Tender Data'!J:J,"*Joburg Property*",'Tender Data'!G:G,"Request for Quotation")</f>
        <v>0</v>
      </c>
    </row>
    <row r="8" spans="1:4" x14ac:dyDescent="0.3">
      <c r="A8" t="s">
        <v>1722</v>
      </c>
      <c r="B8">
        <f>COUNTIF('Tender Data'!J:J,"Matatiele Local Municipality")</f>
        <v>24</v>
      </c>
      <c r="C8">
        <f>COUNTIFS('Tender Data'!M:M,"Information service activities",'Tender Data'!J:J,"Matatiele Local Municipality")+COUNTIFS('Tender Data'!M:M,"Information and communication",'Tender Data'!J:J,"Matatiele Local Municipality")</f>
        <v>0</v>
      </c>
      <c r="D8">
        <f>COUNTIFS('Tender Data'!J:J,"Matatiele Local Municipality",'Tender Data'!G:G,"Request for Quotation")</f>
        <v>0</v>
      </c>
    </row>
    <row r="9" spans="1:4" x14ac:dyDescent="0.3">
      <c r="A9" t="s">
        <v>1723</v>
      </c>
      <c r="B9">
        <f>COUNTIF('Tender Data'!J:J,"Ntabankulu Local Municipality")</f>
        <v>12</v>
      </c>
      <c r="C9">
        <f>COUNTIFS('Tender Data'!M:M,"Information service activities",'Tender Data'!J:J,"Ntabankulu Local Municipality")+COUNTIFS('Tender Data'!M:M,"Information and communication",'Tender Data'!J:J,"Ntabankulu Local Municipality")</f>
        <v>0</v>
      </c>
      <c r="D9">
        <f>COUNTIFS('Tender Data'!J:J,"Ntabankulu Local Municipality",'Tender Data'!G:G,"Request for Quotation")</f>
        <v>0</v>
      </c>
    </row>
    <row r="10" spans="1:4" x14ac:dyDescent="0.3">
      <c r="A10" t="s">
        <v>1724</v>
      </c>
      <c r="B10">
        <f>COUNTIF('Tender Data'!J:J,"Umzimvubu Local Municipality")</f>
        <v>73</v>
      </c>
      <c r="C10">
        <f>COUNTIFS('Tender Data'!M:M,"Information service activities",'Tender Data'!J:J,"Umzimvubu Local Municipality")+COUNTIFS('Tender Data'!M:M,"Information and communication",'Tender Data'!J:J,"Umzimvubu Local Municipality")</f>
        <v>0</v>
      </c>
      <c r="D10">
        <f>COUNTIFS('Tender Data'!J:J,"Umzimvubu Local Municipality",'Tender Data'!G:G,"Request for Quotation")</f>
        <v>0</v>
      </c>
    </row>
    <row r="11" spans="1:4" x14ac:dyDescent="0.3">
      <c r="A11" t="s">
        <v>1725</v>
      </c>
      <c r="B11">
        <f>COUNTIF('Tender Data'!J:J,"Winnie Madikizela*")</f>
        <v>2</v>
      </c>
      <c r="C11">
        <f>COUNTIFS('Tender Data'!M:M,"Information service activities",'Tender Data'!J:J,"Winnie Madikizela*")+COUNTIFS('Tender Data'!M:M,"Information and communication",'Tender Data'!J:J,"Winnie Madikizela*")</f>
        <v>0</v>
      </c>
      <c r="D11">
        <f>COUNTIFS('Tender Data'!J:J,"Winnie Madikizela*",'Tender Data'!G:G,"Request for Quotation")</f>
        <v>0</v>
      </c>
    </row>
    <row r="12" spans="1:4" x14ac:dyDescent="0.3">
      <c r="A12" t="s">
        <v>1726</v>
      </c>
      <c r="B12">
        <f>COUNTIF('Tender Data'!J:J,"Mnquma Local Municipality")</f>
        <v>0</v>
      </c>
      <c r="C12">
        <f>COUNTIFS('Tender Data'!M:M,"Information service activities",'Tender Data'!J:J,"Mnquma Local Municipality")+COUNTIFS('Tender Data'!M:M,"Information and communication",'Tender Data'!J:J,"Mnquma Local Municipality")</f>
        <v>0</v>
      </c>
      <c r="D12">
        <f>COUNTIFS('Tender Data'!J:J,"Mnquma Local Municipality",'Tender Data'!G:G,"Request for Quotation")</f>
        <v>0</v>
      </c>
    </row>
    <row r="13" spans="1:4" x14ac:dyDescent="0.3">
      <c r="A13" t="s">
        <v>1727</v>
      </c>
      <c r="B13">
        <f>COUNTIF('Tender Data'!J:J,"Great Kei Local Municipality")</f>
        <v>18</v>
      </c>
      <c r="C13">
        <f>COUNTIFS('Tender Data'!M:M,"Information service activities",'Tender Data'!J:J,"Great Kei Local Municipality")+COUNTIFS('Tender Data'!M:M,"Information and communication",'Tender Data'!J:J,"Great Kei Local Municipality")</f>
        <v>0</v>
      </c>
      <c r="D13">
        <f>COUNTIFS('Tender Data'!J:J,"Great Kei Local Municipality",'Tender Data'!G:G,"Request for Quotation")</f>
        <v>0</v>
      </c>
    </row>
    <row r="14" spans="1:4" x14ac:dyDescent="0.3">
      <c r="A14" t="s">
        <v>1728</v>
      </c>
      <c r="B14">
        <f>COUNTIF('Tender Data'!J:J,"Amahlathi Local Municipality")</f>
        <v>1</v>
      </c>
      <c r="C14">
        <f>COUNTIFS('Tender Data'!M:M,"Information service activities",'Tender Data'!J:J,"Amahlathi Local Municipality")+COUNTIFS('Tender Data'!M:M,"Information and communication",'Tender Data'!J:J,"Amahlathi Local Municipality")</f>
        <v>0</v>
      </c>
      <c r="D14">
        <f>COUNTIFS('Tender Data'!J:J,"Amahlathi Local Municipality",'Tender Data'!G:G,"Request for Quotation")</f>
        <v>0</v>
      </c>
    </row>
    <row r="15" spans="1:4" x14ac:dyDescent="0.3">
      <c r="A15" t="s">
        <v>1729</v>
      </c>
      <c r="B15">
        <f>COUNTIF('Tender Data'!J:J,"Raymond Mhlaba Local Municipality")</f>
        <v>0</v>
      </c>
      <c r="C15">
        <f>COUNTIFS('Tender Data'!M:M,"Information service activities",'Tender Data'!J:J,"Raymond Mhlaba Local Municipality")+COUNTIFS('Tender Data'!M:M,"Information and communication",'Tender Data'!J:J,"Raymond Mhlaba Local Municipality")</f>
        <v>0</v>
      </c>
      <c r="D15">
        <f>COUNTIFS('Tender Data'!J:J,"Raymond Mhlaba Local Municipality",'Tender Data'!G:G,"Request for Quotation")</f>
        <v>0</v>
      </c>
    </row>
    <row r="16" spans="1:4" x14ac:dyDescent="0.3">
      <c r="A16" t="s">
        <v>1730</v>
      </c>
      <c r="B16">
        <f>COUNTIF('Tender Data'!J:J,"*Johannesburg Social Housing*")</f>
        <v>0</v>
      </c>
      <c r="C16">
        <f>COUNTIFS('Tender Data'!M:M,"Information service activities",'Tender Data'!J:J,"*Johannesburg Social Housing*")+COUNTIFS('Tender Data'!M:M,"Information and communication",'Tender Data'!J:J,"*Johannesburg Social Housing*")</f>
        <v>0</v>
      </c>
      <c r="D16">
        <f>COUNTIFS('Tender Data'!J:J,"*Johannesburg Social Housing*",'Tender Data'!G:G,"Request for Quotation")</f>
        <v>0</v>
      </c>
    </row>
    <row r="17" spans="1:4" x14ac:dyDescent="0.3">
      <c r="A17" t="s">
        <v>1731</v>
      </c>
      <c r="B17">
        <f>COUNTIF('Tender Data'!J:J,"Gauteng Provincial Legislature")</f>
        <v>1</v>
      </c>
      <c r="C17">
        <f>COUNTIFS('Tender Data'!M:M,"Information service activities",'Tender Data'!J:J,"Gauteng Provincial Legislature")+COUNTIFS('Tender Data'!M:M,"Information and communication",'Tender Data'!J:J,"Gauteng Provincial Legislature")</f>
        <v>0</v>
      </c>
      <c r="D17">
        <f>COUNTIFS('Tender Data'!J:J,"Gauteng Provincial Legislature",'Tender Data'!G:G,"Request for Quotation")</f>
        <v>1</v>
      </c>
    </row>
    <row r="18" spans="1:4" x14ac:dyDescent="0.3">
      <c r="A18" t="s">
        <v>1732</v>
      </c>
      <c r="B18">
        <f>COUNTIF('Tender Data'!J:J,"Road Accident Fund")</f>
        <v>4</v>
      </c>
      <c r="C18">
        <f>COUNTIFS('Tender Data'!M:M,"Information service activities",'Tender Data'!J:J,"Road Accident Fund")+COUNTIFS('Tender Data'!M:M,"Information and communication",'Tender Data'!J:J,"Road Accident Fund")</f>
        <v>2</v>
      </c>
      <c r="D18">
        <f>COUNTIFS('Tender Data'!J:J,"Road Accident Fund",'Tender Data'!G:G,"Request for Quotation")</f>
        <v>1</v>
      </c>
    </row>
    <row r="19" spans="1:4" x14ac:dyDescent="0.3">
      <c r="A19" t="s">
        <v>1733</v>
      </c>
      <c r="B19">
        <f>COUNTIF('Tender Data'!J:J,"*Metropolitan Trading*")</f>
        <v>0</v>
      </c>
      <c r="C19">
        <f>COUNTIFS('Tender Data'!M:M,"Information service activities",'Tender Data'!J:J,"*Metropolitan Trading*")+COUNTIFS('Tender Data'!M:M,"Information and communication",'Tender Data'!J:J,"*Metropolitan Trading*")</f>
        <v>0</v>
      </c>
      <c r="D19">
        <f>COUNTIFS('Tender Data'!J:J,"*Metropolitan Trading*",'Tender Data'!G:G,"Request for Quotation")</f>
        <v>0</v>
      </c>
    </row>
    <row r="20" spans="1:4" x14ac:dyDescent="0.3">
      <c r="A20" t="s">
        <v>1734</v>
      </c>
      <c r="B20">
        <f>COUNTIF('Tender Data'!J:J,"*Nelson Mandela Bay*")</f>
        <v>19</v>
      </c>
      <c r="C20">
        <f>COUNTIFS('Tender Data'!M:M,"Information service activities",'Tender Data'!J:J,"*Nelson Mandela Bay*")+COUNTIFS('Tender Data'!M:M,"Information and communication",'Tender Data'!J:J,"*Nelson Mandela Bay*")</f>
        <v>0</v>
      </c>
      <c r="D20">
        <f>COUNTIFS('Tender Data'!J:J,"*Nelson Mandela Bay*",'Tender Data'!G:G,"Request for Quotation")</f>
        <v>0</v>
      </c>
    </row>
    <row r="21" spans="1:4" x14ac:dyDescent="0.3">
      <c r="A21" t="s">
        <v>1735</v>
      </c>
      <c r="B21">
        <f>COUNTIF('Tender Data'!J:J,"*Buffalo City*")</f>
        <v>1</v>
      </c>
      <c r="C21">
        <f>COUNTIFS('Tender Data'!M:M,"Information service activities",'Tender Data'!J:J,"*Buffalo City*")+COUNTIFS('Tender Data'!M:M,"Information and communication",'Tender Data'!J:J,"*Buffalo City*")</f>
        <v>0</v>
      </c>
      <c r="D21">
        <f>COUNTIFS('Tender Data'!J:J,"*Buffalo City*",'Tender Data'!G:G,"Request for Quotation")</f>
        <v>0</v>
      </c>
    </row>
    <row r="22" spans="1:4" x14ac:dyDescent="0.3">
      <c r="A22" t="s">
        <v>1736</v>
      </c>
      <c r="B22">
        <f>COUNTIF('Tender Data'!J:J,"*Eastern Cape*Public Works*")</f>
        <v>13</v>
      </c>
      <c r="C22">
        <f>COUNTIFS('Tender Data'!M:M,"Information service activities",'Tender Data'!J:J,"*Eastern Cape*Public Works*")+COUNTIFS('Tender Data'!M:M,"Information and communication",'Tender Data'!J:J,"*Eastern Cape*Public Works*")</f>
        <v>0</v>
      </c>
      <c r="D22">
        <f>COUNTIFS('Tender Data'!J:J,"*Eastern Cape*Public Works*",'Tender Data'!G:G,"Request for Quotation")</f>
        <v>2</v>
      </c>
    </row>
    <row r="23" spans="1:4" x14ac:dyDescent="0.3">
      <c r="A23" t="s">
        <v>1737</v>
      </c>
      <c r="B23">
        <f>COUNTIF('Tender Data'!J:J,"*Labour*")</f>
        <v>4</v>
      </c>
      <c r="C23">
        <f>COUNTIFS('Tender Data'!M:M,"Information service activities",'Tender Data'!J:J,"*Labour*")+COUNTIFS('Tender Data'!M:M,"Information and communication",'Tender Data'!J:J,"*Labour*")</f>
        <v>0</v>
      </c>
      <c r="D23">
        <f>COUNTIFS('Tender Data'!J:J,"*Labour*",'Tender Data'!G:G,"Request for Quotation")</f>
        <v>1</v>
      </c>
    </row>
    <row r="24" spans="1:4" x14ac:dyDescent="0.3">
      <c r="A24" t="s">
        <v>1738</v>
      </c>
      <c r="B24">
        <f>COUNTIF('Tender Data'!J:J,"Special Investigation Unit*")</f>
        <v>0</v>
      </c>
      <c r="C24">
        <f>COUNTIFS('Tender Data'!M:M,"Information service activities",'Tender Data'!J:J,"Special Investigation Unit*")+COUNTIFS('Tender Data'!M:M,"Information and communication",'Tender Data'!J:J,"Special Investigation Unit*")</f>
        <v>0</v>
      </c>
      <c r="D24">
        <f>COUNTIFS('Tender Data'!J:J,"Special Investigation Unit*",'Tender Data'!G:G,"Request for Quotation")</f>
        <v>0</v>
      </c>
    </row>
    <row r="25" spans="1:4" x14ac:dyDescent="0.3">
      <c r="A25" t="s">
        <v>1739</v>
      </c>
      <c r="B25">
        <f>COUNTIF('Tender Data'!J:J,"*Gauteng*Health*")</f>
        <v>4</v>
      </c>
      <c r="C25">
        <f>COUNTIFS('Tender Data'!M:M,"Information service activities",'Tender Data'!J:J,"*Gauteng*Health*")+COUNTIFS('Tender Data'!M:M,"Information and communication",'Tender Data'!J:J,"*Gauteng*Health*")</f>
        <v>0</v>
      </c>
      <c r="D25">
        <f>COUNTIFS('Tender Data'!J:J,"*Gauteng*Health*",'Tender Data'!G:G,"Request for Quotation")</f>
        <v>0</v>
      </c>
    </row>
    <row r="26" spans="1:4" x14ac:dyDescent="0.3">
      <c r="A26" t="s">
        <v>1740</v>
      </c>
      <c r="B26">
        <f>COUNTIF('Tender Data'!J:J,"*International Relation*")</f>
        <v>0</v>
      </c>
      <c r="C26">
        <f>COUNTIFS('Tender Data'!M:M,"Information service activities",'Tender Data'!J:J,"*International Relation*")+COUNTIFS('Tender Data'!M:M,"Information and communication",'Tender Data'!J:J,"*International Relation*")</f>
        <v>0</v>
      </c>
      <c r="D26">
        <f>COUNTIFS('Tender Data'!J:J,"*International Relation*",'Tender Data'!G:G,"Request for Quotation")</f>
        <v>0</v>
      </c>
    </row>
    <row r="27" spans="1:4" x14ac:dyDescent="0.3">
      <c r="A27" t="s">
        <v>1741</v>
      </c>
      <c r="B27">
        <f>COUNTIF('Tender Data'!J:J,"*Justice*Constitutional*")</f>
        <v>0</v>
      </c>
      <c r="C27">
        <f>COUNTIFS('Tender Data'!M:M,"Information service activities",'Tender Data'!J:J,"*Justice*Constitutional*")+COUNTIFS('Tender Data'!M:M,"Information and communication",'Tender Data'!J:J,"*Justice*Constitutional*")</f>
        <v>0</v>
      </c>
      <c r="D27">
        <f>COUNTIFS('Tender Data'!J:J,"*Justice*Constitutional*",'Tender Data'!G:G,"Request for Quotation")</f>
        <v>0</v>
      </c>
    </row>
    <row r="28" spans="1:4" x14ac:dyDescent="0.3">
      <c r="A28" t="s">
        <v>1742</v>
      </c>
      <c r="B28">
        <f>COUNTIF('Tender Data'!J:J,"City Power*Johannesburg*")</f>
        <v>0</v>
      </c>
      <c r="C28">
        <f>COUNTIFS('Tender Data'!M:M,"Information service activities",'Tender Data'!J:J,"City Power*Johannesburg*")+COUNTIFS('Tender Data'!M:M,"Information and communication",'Tender Data'!J:J,"City Power*Johannesburg*")</f>
        <v>0</v>
      </c>
      <c r="D28">
        <f>COUNTIFS('Tender Data'!J:J,"City Power*Johannesburg*",'Tender Data'!G:G,"Request for Quotation")</f>
        <v>0</v>
      </c>
    </row>
    <row r="29" spans="1:4" x14ac:dyDescent="0.3">
      <c r="A29" t="s">
        <v>1743</v>
      </c>
      <c r="B29">
        <f>COUNTIF('Tender Data'!J:J,"*Johannesburg Water*")</f>
        <v>15</v>
      </c>
      <c r="C29">
        <f>COUNTIFS('Tender Data'!M:M,"Information service activities",'Tender Data'!J:J,"*Johannesburg Water*")+COUNTIFS('Tender Data'!M:M,"Information and communication",'Tender Data'!J:J,"*Johannesburg Water*")</f>
        <v>0</v>
      </c>
      <c r="D29">
        <f>COUNTIFS('Tender Data'!J:J,"*Johannesburg Water*",'Tender Data'!G:G,"Request for Quotation")</f>
        <v>11</v>
      </c>
    </row>
    <row r="30" spans="1:4" x14ac:dyDescent="0.3">
      <c r="B30">
        <f>SUM(B4:B29)</f>
        <v>246</v>
      </c>
      <c r="C30">
        <f>SUM(C4:C29)</f>
        <v>2</v>
      </c>
      <c r="D30">
        <f>SUM(D4:D29)</f>
        <v>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40"/>
  <sheetViews>
    <sheetView tabSelected="1" workbookViewId="0"/>
  </sheetViews>
  <sheetFormatPr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6" x14ac:dyDescent="0.3">
      <c r="A2" s="2">
        <v>46191</v>
      </c>
      <c r="B2">
        <v>639</v>
      </c>
      <c r="C2" t="s">
        <v>22</v>
      </c>
      <c r="D2" s="2">
        <v>46191</v>
      </c>
      <c r="E2" s="2">
        <v>46230</v>
      </c>
      <c r="F2" t="s">
        <v>23</v>
      </c>
      <c r="G2" t="s">
        <v>24</v>
      </c>
      <c r="H2" t="s">
        <v>25</v>
      </c>
      <c r="I2" t="s">
        <v>26</v>
      </c>
      <c r="J2" t="s">
        <v>27</v>
      </c>
      <c r="K2" t="s">
        <v>28</v>
      </c>
      <c r="L2" t="s">
        <v>29</v>
      </c>
      <c r="M2" t="s">
        <v>30</v>
      </c>
      <c r="N2" t="s">
        <v>31</v>
      </c>
      <c r="O2" t="s">
        <v>31</v>
      </c>
      <c r="P2" t="s">
        <v>32</v>
      </c>
      <c r="Q2" s="3" t="s">
        <v>33</v>
      </c>
    </row>
    <row r="3" spans="1:22" ht="15.6" x14ac:dyDescent="0.3">
      <c r="A3" s="2">
        <v>46191</v>
      </c>
      <c r="B3">
        <v>638</v>
      </c>
      <c r="C3" t="s">
        <v>34</v>
      </c>
      <c r="D3" s="2">
        <v>46191</v>
      </c>
      <c r="E3" s="2">
        <v>46230</v>
      </c>
      <c r="F3" t="s">
        <v>23</v>
      </c>
      <c r="G3" t="s">
        <v>24</v>
      </c>
      <c r="H3" t="s">
        <v>35</v>
      </c>
      <c r="I3" t="s">
        <v>26</v>
      </c>
      <c r="J3" t="s">
        <v>27</v>
      </c>
      <c r="K3" t="s">
        <v>28</v>
      </c>
      <c r="L3" t="s">
        <v>29</v>
      </c>
      <c r="M3" t="s">
        <v>36</v>
      </c>
      <c r="N3" t="s">
        <v>31</v>
      </c>
      <c r="O3" t="s">
        <v>31</v>
      </c>
      <c r="P3" t="s">
        <v>37</v>
      </c>
      <c r="Q3" s="3" t="s">
        <v>38</v>
      </c>
    </row>
    <row r="4" spans="1:22" ht="15.6" x14ac:dyDescent="0.3">
      <c r="A4" s="2">
        <v>46191</v>
      </c>
      <c r="B4">
        <v>637</v>
      </c>
      <c r="C4" t="s">
        <v>39</v>
      </c>
      <c r="D4" s="2">
        <v>46191</v>
      </c>
      <c r="E4" s="2">
        <v>46230</v>
      </c>
      <c r="F4" t="s">
        <v>23</v>
      </c>
      <c r="G4" t="s">
        <v>24</v>
      </c>
      <c r="H4" t="s">
        <v>40</v>
      </c>
      <c r="I4" t="s">
        <v>26</v>
      </c>
      <c r="J4" t="s">
        <v>41</v>
      </c>
      <c r="K4" t="s">
        <v>42</v>
      </c>
      <c r="L4" t="s">
        <v>29</v>
      </c>
      <c r="M4" t="s">
        <v>30</v>
      </c>
      <c r="N4" t="s">
        <v>31</v>
      </c>
      <c r="O4" t="s">
        <v>31</v>
      </c>
      <c r="P4" t="s">
        <v>43</v>
      </c>
      <c r="Q4" s="3" t="s">
        <v>44</v>
      </c>
    </row>
    <row r="5" spans="1:22" ht="15.6" x14ac:dyDescent="0.3">
      <c r="A5" s="2">
        <v>46191</v>
      </c>
      <c r="B5">
        <v>636</v>
      </c>
      <c r="C5" t="s">
        <v>45</v>
      </c>
      <c r="D5" s="2">
        <v>46191</v>
      </c>
      <c r="E5" s="2">
        <v>46234</v>
      </c>
      <c r="F5" t="s">
        <v>23</v>
      </c>
      <c r="G5" t="s">
        <v>24</v>
      </c>
      <c r="H5" t="s">
        <v>46</v>
      </c>
      <c r="I5" t="s">
        <v>26</v>
      </c>
      <c r="J5" t="s">
        <v>47</v>
      </c>
      <c r="K5" t="s">
        <v>48</v>
      </c>
      <c r="L5" t="s">
        <v>29</v>
      </c>
      <c r="M5" t="s">
        <v>49</v>
      </c>
      <c r="N5" t="s">
        <v>31</v>
      </c>
      <c r="O5" t="s">
        <v>31</v>
      </c>
      <c r="P5" t="s">
        <v>50</v>
      </c>
      <c r="Q5" s="3" t="s">
        <v>51</v>
      </c>
    </row>
    <row r="6" spans="1:22" ht="15.6" x14ac:dyDescent="0.3">
      <c r="A6" s="2">
        <v>46191</v>
      </c>
      <c r="B6">
        <v>635</v>
      </c>
      <c r="C6" t="s">
        <v>52</v>
      </c>
      <c r="D6" s="2">
        <v>46191</v>
      </c>
      <c r="E6" s="2">
        <v>46226</v>
      </c>
      <c r="F6" t="s">
        <v>23</v>
      </c>
      <c r="G6" t="s">
        <v>24</v>
      </c>
      <c r="H6" t="s">
        <v>53</v>
      </c>
      <c r="I6" t="s">
        <v>26</v>
      </c>
      <c r="J6" t="s">
        <v>27</v>
      </c>
      <c r="K6" t="s">
        <v>28</v>
      </c>
      <c r="L6" t="s">
        <v>29</v>
      </c>
      <c r="M6" t="s">
        <v>36</v>
      </c>
      <c r="N6" t="s">
        <v>31</v>
      </c>
      <c r="O6" t="s">
        <v>31</v>
      </c>
      <c r="P6" t="s">
        <v>54</v>
      </c>
      <c r="Q6" s="3" t="s">
        <v>55</v>
      </c>
    </row>
    <row r="7" spans="1:22" ht="15.6" x14ac:dyDescent="0.3">
      <c r="A7" s="2">
        <v>46191</v>
      </c>
      <c r="B7">
        <v>634</v>
      </c>
      <c r="C7" t="s">
        <v>56</v>
      </c>
      <c r="D7" s="2">
        <v>46191</v>
      </c>
      <c r="E7" s="2">
        <v>46226</v>
      </c>
      <c r="F7" t="s">
        <v>23</v>
      </c>
      <c r="G7" t="s">
        <v>24</v>
      </c>
      <c r="H7" t="s">
        <v>57</v>
      </c>
      <c r="I7" t="s">
        <v>26</v>
      </c>
      <c r="J7" t="s">
        <v>27</v>
      </c>
      <c r="K7" t="s">
        <v>28</v>
      </c>
      <c r="L7" t="s">
        <v>29</v>
      </c>
      <c r="M7" t="s">
        <v>36</v>
      </c>
      <c r="N7" t="s">
        <v>31</v>
      </c>
      <c r="O7" t="s">
        <v>31</v>
      </c>
      <c r="P7" t="s">
        <v>54</v>
      </c>
      <c r="Q7" s="3" t="s">
        <v>58</v>
      </c>
    </row>
    <row r="8" spans="1:22" ht="15.6" x14ac:dyDescent="0.3">
      <c r="A8" s="2">
        <v>46191</v>
      </c>
      <c r="B8">
        <v>633</v>
      </c>
      <c r="C8" t="s">
        <v>59</v>
      </c>
      <c r="D8" s="2">
        <v>46191</v>
      </c>
      <c r="E8" s="2">
        <v>46225</v>
      </c>
      <c r="F8" t="s">
        <v>23</v>
      </c>
      <c r="G8" t="s">
        <v>24</v>
      </c>
      <c r="H8" t="s">
        <v>60</v>
      </c>
      <c r="I8" t="s">
        <v>26</v>
      </c>
      <c r="J8" t="s">
        <v>61</v>
      </c>
      <c r="K8" t="s">
        <v>62</v>
      </c>
      <c r="L8" t="s">
        <v>29</v>
      </c>
      <c r="M8" t="s">
        <v>63</v>
      </c>
      <c r="N8" t="s">
        <v>29</v>
      </c>
      <c r="O8" t="s">
        <v>29</v>
      </c>
      <c r="P8" t="s">
        <v>64</v>
      </c>
      <c r="Q8" s="3" t="s">
        <v>65</v>
      </c>
    </row>
    <row r="9" spans="1:22" ht="15.6" x14ac:dyDescent="0.3">
      <c r="A9" s="2">
        <v>46191</v>
      </c>
      <c r="B9">
        <v>632</v>
      </c>
      <c r="C9" t="s">
        <v>66</v>
      </c>
      <c r="D9" s="2">
        <v>46191</v>
      </c>
      <c r="E9" s="2">
        <v>46225</v>
      </c>
      <c r="F9" t="s">
        <v>23</v>
      </c>
      <c r="G9" t="s">
        <v>24</v>
      </c>
      <c r="H9" t="s">
        <v>67</v>
      </c>
      <c r="I9" t="s">
        <v>26</v>
      </c>
      <c r="J9" t="s">
        <v>61</v>
      </c>
      <c r="K9" t="s">
        <v>62</v>
      </c>
      <c r="L9" t="s">
        <v>29</v>
      </c>
      <c r="M9" t="s">
        <v>63</v>
      </c>
      <c r="N9" t="s">
        <v>29</v>
      </c>
      <c r="O9" t="s">
        <v>29</v>
      </c>
      <c r="P9" t="s">
        <v>64</v>
      </c>
      <c r="Q9" s="3" t="s">
        <v>68</v>
      </c>
    </row>
    <row r="10" spans="1:22" ht="15.6" x14ac:dyDescent="0.3">
      <c r="A10" s="2">
        <v>46191</v>
      </c>
      <c r="B10">
        <v>631</v>
      </c>
      <c r="C10" t="s">
        <v>69</v>
      </c>
      <c r="D10" s="2">
        <v>46191</v>
      </c>
      <c r="E10" s="2">
        <v>46225</v>
      </c>
      <c r="F10" t="s">
        <v>23</v>
      </c>
      <c r="G10" t="s">
        <v>24</v>
      </c>
      <c r="H10" t="s">
        <v>70</v>
      </c>
      <c r="I10" t="s">
        <v>26</v>
      </c>
      <c r="J10" t="s">
        <v>61</v>
      </c>
      <c r="K10" t="s">
        <v>62</v>
      </c>
      <c r="L10" t="s">
        <v>29</v>
      </c>
      <c r="M10" t="s">
        <v>63</v>
      </c>
      <c r="N10" t="s">
        <v>29</v>
      </c>
      <c r="O10" t="s">
        <v>29</v>
      </c>
      <c r="P10" t="s">
        <v>64</v>
      </c>
      <c r="Q10" s="3" t="s">
        <v>71</v>
      </c>
    </row>
    <row r="11" spans="1:22" ht="15.6" x14ac:dyDescent="0.3">
      <c r="A11" s="2">
        <v>46191</v>
      </c>
      <c r="B11">
        <v>630</v>
      </c>
      <c r="C11" t="s">
        <v>72</v>
      </c>
      <c r="D11" s="2">
        <v>46191</v>
      </c>
      <c r="E11" s="2">
        <v>46225</v>
      </c>
      <c r="F11" t="s">
        <v>23</v>
      </c>
      <c r="G11" t="s">
        <v>24</v>
      </c>
      <c r="H11" t="s">
        <v>73</v>
      </c>
      <c r="I11" t="s">
        <v>26</v>
      </c>
      <c r="J11" t="s">
        <v>61</v>
      </c>
      <c r="K11" t="s">
        <v>62</v>
      </c>
      <c r="L11" t="s">
        <v>29</v>
      </c>
      <c r="M11" t="s">
        <v>63</v>
      </c>
      <c r="N11" t="s">
        <v>29</v>
      </c>
      <c r="O11" t="s">
        <v>29</v>
      </c>
      <c r="P11" t="s">
        <v>64</v>
      </c>
      <c r="Q11" s="3" t="s">
        <v>74</v>
      </c>
    </row>
    <row r="12" spans="1:22" ht="15.6" x14ac:dyDescent="0.3">
      <c r="A12" s="2">
        <v>46191</v>
      </c>
      <c r="B12">
        <v>629</v>
      </c>
      <c r="C12" t="s">
        <v>75</v>
      </c>
      <c r="D12" s="2">
        <v>46191</v>
      </c>
      <c r="E12" s="2">
        <v>46225</v>
      </c>
      <c r="F12" t="s">
        <v>23</v>
      </c>
      <c r="G12" t="s">
        <v>24</v>
      </c>
      <c r="H12" t="s">
        <v>76</v>
      </c>
      <c r="I12" t="s">
        <v>26</v>
      </c>
      <c r="J12" t="s">
        <v>61</v>
      </c>
      <c r="K12" t="s">
        <v>62</v>
      </c>
      <c r="L12" t="s">
        <v>29</v>
      </c>
      <c r="M12" t="s">
        <v>63</v>
      </c>
      <c r="N12" t="s">
        <v>29</v>
      </c>
      <c r="O12" t="s">
        <v>29</v>
      </c>
      <c r="P12" t="s">
        <v>64</v>
      </c>
      <c r="Q12" s="3" t="s">
        <v>77</v>
      </c>
    </row>
    <row r="13" spans="1:22" ht="15.6" x14ac:dyDescent="0.3">
      <c r="A13" s="2">
        <v>46191</v>
      </c>
      <c r="B13">
        <v>628</v>
      </c>
      <c r="C13" t="s">
        <v>78</v>
      </c>
      <c r="D13" s="2">
        <v>46191</v>
      </c>
      <c r="E13" s="2">
        <v>46225</v>
      </c>
      <c r="F13" t="s">
        <v>23</v>
      </c>
      <c r="G13" t="s">
        <v>24</v>
      </c>
      <c r="H13" t="s">
        <v>79</v>
      </c>
      <c r="I13" t="s">
        <v>26</v>
      </c>
      <c r="J13" t="s">
        <v>61</v>
      </c>
      <c r="K13" t="s">
        <v>62</v>
      </c>
      <c r="L13" t="s">
        <v>29</v>
      </c>
      <c r="M13" t="s">
        <v>63</v>
      </c>
      <c r="N13" t="s">
        <v>29</v>
      </c>
      <c r="O13" t="s">
        <v>29</v>
      </c>
      <c r="P13" t="s">
        <v>64</v>
      </c>
      <c r="Q13" s="3" t="s">
        <v>80</v>
      </c>
    </row>
    <row r="14" spans="1:22" ht="15.6" x14ac:dyDescent="0.3">
      <c r="A14" s="2">
        <v>46191</v>
      </c>
      <c r="B14">
        <v>627</v>
      </c>
      <c r="C14" t="s">
        <v>81</v>
      </c>
      <c r="D14" s="2">
        <v>46191</v>
      </c>
      <c r="E14" s="2">
        <v>46225</v>
      </c>
      <c r="F14" t="s">
        <v>23</v>
      </c>
      <c r="G14" t="s">
        <v>24</v>
      </c>
      <c r="H14" t="s">
        <v>82</v>
      </c>
      <c r="I14" t="s">
        <v>26</v>
      </c>
      <c r="J14" t="s">
        <v>61</v>
      </c>
      <c r="K14" t="s">
        <v>62</v>
      </c>
      <c r="L14" t="s">
        <v>29</v>
      </c>
      <c r="M14" t="s">
        <v>63</v>
      </c>
      <c r="N14" t="s">
        <v>29</v>
      </c>
      <c r="O14" t="s">
        <v>29</v>
      </c>
      <c r="P14" t="s">
        <v>64</v>
      </c>
      <c r="Q14" s="3" t="s">
        <v>83</v>
      </c>
    </row>
    <row r="15" spans="1:22" ht="15.6" x14ac:dyDescent="0.3">
      <c r="A15" s="2">
        <v>46191</v>
      </c>
      <c r="B15">
        <v>626</v>
      </c>
      <c r="C15" t="s">
        <v>84</v>
      </c>
      <c r="D15" s="2">
        <v>46191</v>
      </c>
      <c r="E15" s="2">
        <v>46225</v>
      </c>
      <c r="F15" t="s">
        <v>23</v>
      </c>
      <c r="G15" t="s">
        <v>24</v>
      </c>
      <c r="H15" t="s">
        <v>85</v>
      </c>
      <c r="I15" t="s">
        <v>26</v>
      </c>
      <c r="J15" t="s">
        <v>61</v>
      </c>
      <c r="K15" t="s">
        <v>62</v>
      </c>
      <c r="L15" t="s">
        <v>29</v>
      </c>
      <c r="M15" t="s">
        <v>63</v>
      </c>
      <c r="N15" t="s">
        <v>29</v>
      </c>
      <c r="O15" t="s">
        <v>29</v>
      </c>
      <c r="P15" t="s">
        <v>64</v>
      </c>
      <c r="Q15" s="3" t="s">
        <v>86</v>
      </c>
    </row>
    <row r="16" spans="1:22" ht="15.6" x14ac:dyDescent="0.3">
      <c r="A16" s="2">
        <v>46191</v>
      </c>
      <c r="B16">
        <v>625</v>
      </c>
      <c r="C16" t="s">
        <v>87</v>
      </c>
      <c r="D16" s="2">
        <v>46191</v>
      </c>
      <c r="E16" s="2">
        <v>46225</v>
      </c>
      <c r="F16" t="s">
        <v>23</v>
      </c>
      <c r="G16" t="s">
        <v>24</v>
      </c>
      <c r="H16" t="s">
        <v>88</v>
      </c>
      <c r="I16" t="s">
        <v>26</v>
      </c>
      <c r="J16" t="s">
        <v>61</v>
      </c>
      <c r="K16" t="s">
        <v>62</v>
      </c>
      <c r="L16" t="s">
        <v>29</v>
      </c>
      <c r="M16" t="s">
        <v>63</v>
      </c>
      <c r="N16" t="s">
        <v>29</v>
      </c>
      <c r="O16" t="s">
        <v>29</v>
      </c>
      <c r="P16" t="s">
        <v>64</v>
      </c>
      <c r="Q16" s="3" t="s">
        <v>89</v>
      </c>
    </row>
    <row r="17" spans="1:17" ht="15.6" x14ac:dyDescent="0.3">
      <c r="A17" s="2">
        <v>46191</v>
      </c>
      <c r="B17">
        <v>624</v>
      </c>
      <c r="C17" t="s">
        <v>90</v>
      </c>
      <c r="D17" s="2">
        <v>46191</v>
      </c>
      <c r="E17" s="2">
        <v>46225</v>
      </c>
      <c r="F17" t="s">
        <v>23</v>
      </c>
      <c r="G17" t="s">
        <v>24</v>
      </c>
      <c r="H17" t="s">
        <v>91</v>
      </c>
      <c r="I17" t="s">
        <v>26</v>
      </c>
      <c r="J17" t="s">
        <v>61</v>
      </c>
      <c r="K17" t="s">
        <v>62</v>
      </c>
      <c r="L17" t="s">
        <v>29</v>
      </c>
      <c r="M17" t="s">
        <v>63</v>
      </c>
      <c r="N17" t="s">
        <v>29</v>
      </c>
      <c r="O17" t="s">
        <v>29</v>
      </c>
      <c r="P17" t="s">
        <v>64</v>
      </c>
      <c r="Q17" s="3" t="s">
        <v>92</v>
      </c>
    </row>
    <row r="18" spans="1:17" ht="15.6" x14ac:dyDescent="0.3">
      <c r="A18" s="2">
        <v>46191</v>
      </c>
      <c r="B18">
        <v>623</v>
      </c>
      <c r="C18" t="s">
        <v>93</v>
      </c>
      <c r="D18" s="2">
        <v>46191</v>
      </c>
      <c r="E18" s="2">
        <v>46225</v>
      </c>
      <c r="F18" t="s">
        <v>23</v>
      </c>
      <c r="G18" t="s">
        <v>24</v>
      </c>
      <c r="H18" t="s">
        <v>94</v>
      </c>
      <c r="I18" t="s">
        <v>26</v>
      </c>
      <c r="J18" t="s">
        <v>61</v>
      </c>
      <c r="K18" t="s">
        <v>62</v>
      </c>
      <c r="L18" t="s">
        <v>29</v>
      </c>
      <c r="M18" t="s">
        <v>63</v>
      </c>
      <c r="N18" t="s">
        <v>29</v>
      </c>
      <c r="O18" t="s">
        <v>29</v>
      </c>
      <c r="P18" t="s">
        <v>64</v>
      </c>
      <c r="Q18" s="3" t="s">
        <v>95</v>
      </c>
    </row>
    <row r="19" spans="1:17" ht="15.6" x14ac:dyDescent="0.3">
      <c r="A19" s="2">
        <v>46191</v>
      </c>
      <c r="B19">
        <v>622</v>
      </c>
      <c r="C19" t="s">
        <v>96</v>
      </c>
      <c r="D19" s="2">
        <v>46191</v>
      </c>
      <c r="E19" s="2">
        <v>46225</v>
      </c>
      <c r="F19" t="s">
        <v>23</v>
      </c>
      <c r="G19" t="s">
        <v>24</v>
      </c>
      <c r="H19" t="s">
        <v>97</v>
      </c>
      <c r="I19" t="s">
        <v>26</v>
      </c>
      <c r="J19" t="s">
        <v>61</v>
      </c>
      <c r="K19" t="s">
        <v>62</v>
      </c>
      <c r="L19" t="s">
        <v>29</v>
      </c>
      <c r="M19" t="s">
        <v>63</v>
      </c>
      <c r="N19" t="s">
        <v>29</v>
      </c>
      <c r="O19" t="s">
        <v>29</v>
      </c>
      <c r="P19" t="s">
        <v>64</v>
      </c>
      <c r="Q19" s="3" t="s">
        <v>98</v>
      </c>
    </row>
    <row r="20" spans="1:17" ht="15.6" x14ac:dyDescent="0.3">
      <c r="A20" s="2">
        <v>46191</v>
      </c>
      <c r="B20">
        <v>621</v>
      </c>
      <c r="C20" t="s">
        <v>99</v>
      </c>
      <c r="D20" s="2">
        <v>46191</v>
      </c>
      <c r="E20" s="2">
        <v>46225</v>
      </c>
      <c r="F20" t="s">
        <v>23</v>
      </c>
      <c r="G20" t="s">
        <v>24</v>
      </c>
      <c r="H20" t="s">
        <v>100</v>
      </c>
      <c r="I20" t="s">
        <v>26</v>
      </c>
      <c r="J20" t="s">
        <v>61</v>
      </c>
      <c r="K20" t="s">
        <v>62</v>
      </c>
      <c r="L20" t="s">
        <v>29</v>
      </c>
      <c r="M20" t="s">
        <v>63</v>
      </c>
      <c r="N20" t="s">
        <v>29</v>
      </c>
      <c r="O20" t="s">
        <v>29</v>
      </c>
      <c r="P20" t="s">
        <v>64</v>
      </c>
      <c r="Q20" s="3" t="s">
        <v>101</v>
      </c>
    </row>
    <row r="21" spans="1:17" ht="15.6" x14ac:dyDescent="0.3">
      <c r="A21" s="2">
        <v>46191</v>
      </c>
      <c r="B21">
        <v>620</v>
      </c>
      <c r="C21" t="s">
        <v>102</v>
      </c>
      <c r="D21" s="2">
        <v>46191</v>
      </c>
      <c r="E21" s="2">
        <v>46225</v>
      </c>
      <c r="F21" t="s">
        <v>23</v>
      </c>
      <c r="G21" t="s">
        <v>24</v>
      </c>
      <c r="H21" t="s">
        <v>103</v>
      </c>
      <c r="I21" t="s">
        <v>26</v>
      </c>
      <c r="J21" t="s">
        <v>61</v>
      </c>
      <c r="K21" t="s">
        <v>62</v>
      </c>
      <c r="L21" t="s">
        <v>29</v>
      </c>
      <c r="M21" t="s">
        <v>63</v>
      </c>
      <c r="N21" t="s">
        <v>29</v>
      </c>
      <c r="O21" t="s">
        <v>29</v>
      </c>
      <c r="P21" t="s">
        <v>64</v>
      </c>
      <c r="Q21" s="3" t="s">
        <v>104</v>
      </c>
    </row>
    <row r="22" spans="1:17" ht="15.6" x14ac:dyDescent="0.3">
      <c r="A22" s="2">
        <v>46191</v>
      </c>
      <c r="B22">
        <v>619</v>
      </c>
      <c r="C22" t="s">
        <v>105</v>
      </c>
      <c r="D22" s="2">
        <v>46191</v>
      </c>
      <c r="E22" s="2">
        <v>46225</v>
      </c>
      <c r="F22" t="s">
        <v>23</v>
      </c>
      <c r="G22" t="s">
        <v>24</v>
      </c>
      <c r="H22" t="s">
        <v>106</v>
      </c>
      <c r="I22" t="s">
        <v>26</v>
      </c>
      <c r="J22" t="s">
        <v>61</v>
      </c>
      <c r="K22" t="s">
        <v>62</v>
      </c>
      <c r="L22" t="s">
        <v>29</v>
      </c>
      <c r="M22" t="s">
        <v>63</v>
      </c>
      <c r="N22" t="s">
        <v>29</v>
      </c>
      <c r="O22" t="s">
        <v>29</v>
      </c>
      <c r="P22" t="s">
        <v>64</v>
      </c>
      <c r="Q22" s="3" t="s">
        <v>107</v>
      </c>
    </row>
    <row r="23" spans="1:17" ht="15.6" x14ac:dyDescent="0.3">
      <c r="A23" s="2">
        <v>46191</v>
      </c>
      <c r="B23">
        <v>618</v>
      </c>
      <c r="C23" t="s">
        <v>108</v>
      </c>
      <c r="D23" s="2">
        <v>46191</v>
      </c>
      <c r="E23" s="2">
        <v>46225</v>
      </c>
      <c r="F23" t="s">
        <v>23</v>
      </c>
      <c r="G23" t="s">
        <v>24</v>
      </c>
      <c r="H23" t="s">
        <v>109</v>
      </c>
      <c r="I23" t="s">
        <v>26</v>
      </c>
      <c r="J23" t="s">
        <v>61</v>
      </c>
      <c r="K23" t="s">
        <v>62</v>
      </c>
      <c r="L23" t="s">
        <v>29</v>
      </c>
      <c r="M23" t="s">
        <v>63</v>
      </c>
      <c r="N23" t="s">
        <v>29</v>
      </c>
      <c r="O23" t="s">
        <v>29</v>
      </c>
      <c r="P23" t="s">
        <v>64</v>
      </c>
      <c r="Q23" s="3" t="s">
        <v>110</v>
      </c>
    </row>
    <row r="24" spans="1:17" ht="15.6" x14ac:dyDescent="0.3">
      <c r="A24" s="2">
        <v>46191</v>
      </c>
      <c r="B24">
        <v>617</v>
      </c>
      <c r="C24" t="s">
        <v>111</v>
      </c>
      <c r="D24" s="2">
        <v>46191</v>
      </c>
      <c r="E24" s="2">
        <v>46225</v>
      </c>
      <c r="F24" t="s">
        <v>23</v>
      </c>
      <c r="G24" t="s">
        <v>24</v>
      </c>
      <c r="H24" t="s">
        <v>112</v>
      </c>
      <c r="I24" t="s">
        <v>26</v>
      </c>
      <c r="J24" t="s">
        <v>61</v>
      </c>
      <c r="K24" t="s">
        <v>62</v>
      </c>
      <c r="L24" t="s">
        <v>29</v>
      </c>
      <c r="M24" t="s">
        <v>63</v>
      </c>
      <c r="N24" t="s">
        <v>29</v>
      </c>
      <c r="O24" t="s">
        <v>29</v>
      </c>
      <c r="P24" t="s">
        <v>64</v>
      </c>
      <c r="Q24" s="3" t="s">
        <v>113</v>
      </c>
    </row>
    <row r="25" spans="1:17" ht="15.6" x14ac:dyDescent="0.3">
      <c r="A25" s="2">
        <v>46191</v>
      </c>
      <c r="B25">
        <v>616</v>
      </c>
      <c r="C25" t="s">
        <v>114</v>
      </c>
      <c r="D25" s="2">
        <v>46191</v>
      </c>
      <c r="E25" s="2">
        <v>46225</v>
      </c>
      <c r="F25" t="s">
        <v>23</v>
      </c>
      <c r="G25" t="s">
        <v>24</v>
      </c>
      <c r="H25" t="s">
        <v>115</v>
      </c>
      <c r="I25" t="s">
        <v>26</v>
      </c>
      <c r="J25" t="s">
        <v>61</v>
      </c>
      <c r="K25" t="s">
        <v>62</v>
      </c>
      <c r="L25" t="s">
        <v>29</v>
      </c>
      <c r="M25" t="s">
        <v>63</v>
      </c>
      <c r="N25" t="s">
        <v>29</v>
      </c>
      <c r="O25" t="s">
        <v>29</v>
      </c>
      <c r="P25" t="s">
        <v>64</v>
      </c>
      <c r="Q25" s="3" t="s">
        <v>116</v>
      </c>
    </row>
    <row r="26" spans="1:17" ht="15.6" x14ac:dyDescent="0.3">
      <c r="A26" s="2">
        <v>46191</v>
      </c>
      <c r="B26">
        <v>615</v>
      </c>
      <c r="C26" t="s">
        <v>117</v>
      </c>
      <c r="D26" s="2">
        <v>46191</v>
      </c>
      <c r="E26" s="2">
        <v>46223</v>
      </c>
      <c r="F26" t="s">
        <v>23</v>
      </c>
      <c r="G26" t="s">
        <v>24</v>
      </c>
      <c r="H26" t="s">
        <v>118</v>
      </c>
      <c r="I26" t="s">
        <v>26</v>
      </c>
      <c r="J26" t="s">
        <v>119</v>
      </c>
      <c r="K26" t="s">
        <v>28</v>
      </c>
      <c r="L26" t="s">
        <v>29</v>
      </c>
      <c r="M26" t="s">
        <v>120</v>
      </c>
      <c r="N26" t="s">
        <v>29</v>
      </c>
      <c r="O26" t="s">
        <v>29</v>
      </c>
      <c r="P26" t="s">
        <v>64</v>
      </c>
      <c r="Q26" s="3" t="s">
        <v>121</v>
      </c>
    </row>
    <row r="27" spans="1:17" ht="15.6" x14ac:dyDescent="0.3">
      <c r="A27" s="2">
        <v>46191</v>
      </c>
      <c r="B27">
        <v>614</v>
      </c>
      <c r="C27" t="s">
        <v>122</v>
      </c>
      <c r="D27" s="2">
        <v>46191</v>
      </c>
      <c r="E27" s="2">
        <v>46225</v>
      </c>
      <c r="F27" t="s">
        <v>123</v>
      </c>
      <c r="G27" t="s">
        <v>124</v>
      </c>
      <c r="H27" t="s">
        <v>125</v>
      </c>
      <c r="I27" t="s">
        <v>26</v>
      </c>
      <c r="J27" t="s">
        <v>126</v>
      </c>
      <c r="K27" t="s">
        <v>127</v>
      </c>
      <c r="L27" t="s">
        <v>29</v>
      </c>
      <c r="M27" t="s">
        <v>128</v>
      </c>
      <c r="N27" t="s">
        <v>31</v>
      </c>
      <c r="O27" t="s">
        <v>31</v>
      </c>
      <c r="P27" t="s">
        <v>129</v>
      </c>
      <c r="Q27" s="3" t="s">
        <v>130</v>
      </c>
    </row>
    <row r="28" spans="1:17" ht="15.6" x14ac:dyDescent="0.3">
      <c r="A28" s="2">
        <v>46191</v>
      </c>
      <c r="B28">
        <v>613</v>
      </c>
      <c r="C28" t="s">
        <v>131</v>
      </c>
      <c r="D28" s="2">
        <v>46191</v>
      </c>
      <c r="E28" s="2">
        <v>46225</v>
      </c>
      <c r="F28" t="s">
        <v>23</v>
      </c>
      <c r="G28" t="s">
        <v>24</v>
      </c>
      <c r="H28" t="s">
        <v>132</v>
      </c>
      <c r="I28" t="s">
        <v>26</v>
      </c>
      <c r="J28" t="s">
        <v>133</v>
      </c>
      <c r="K28" t="s">
        <v>62</v>
      </c>
      <c r="L28" t="s">
        <v>29</v>
      </c>
      <c r="M28" t="s">
        <v>134</v>
      </c>
      <c r="N28" t="s">
        <v>31</v>
      </c>
      <c r="O28" t="s">
        <v>31</v>
      </c>
      <c r="P28" t="s">
        <v>135</v>
      </c>
      <c r="Q28" s="3" t="s">
        <v>136</v>
      </c>
    </row>
    <row r="29" spans="1:17" ht="15.6" x14ac:dyDescent="0.3">
      <c r="A29" s="2">
        <v>46191</v>
      </c>
      <c r="B29">
        <v>612</v>
      </c>
      <c r="C29" t="s">
        <v>137</v>
      </c>
      <c r="D29" s="2">
        <v>46191</v>
      </c>
      <c r="E29" s="2">
        <v>46225</v>
      </c>
      <c r="F29" t="s">
        <v>23</v>
      </c>
      <c r="G29" t="s">
        <v>24</v>
      </c>
      <c r="H29" t="s">
        <v>138</v>
      </c>
      <c r="I29" t="s">
        <v>26</v>
      </c>
      <c r="J29" t="s">
        <v>133</v>
      </c>
      <c r="K29" t="s">
        <v>62</v>
      </c>
      <c r="L29" t="s">
        <v>29</v>
      </c>
      <c r="M29" t="s">
        <v>134</v>
      </c>
      <c r="N29" t="s">
        <v>31</v>
      </c>
      <c r="O29" t="s">
        <v>31</v>
      </c>
      <c r="P29" t="s">
        <v>135</v>
      </c>
      <c r="Q29" s="3" t="s">
        <v>139</v>
      </c>
    </row>
    <row r="30" spans="1:17" ht="15.6" x14ac:dyDescent="0.3">
      <c r="A30" s="2">
        <v>46191</v>
      </c>
      <c r="B30">
        <v>611</v>
      </c>
      <c r="C30" t="s">
        <v>140</v>
      </c>
      <c r="D30" s="2">
        <v>46191</v>
      </c>
      <c r="E30" s="2">
        <v>46225</v>
      </c>
      <c r="F30" t="s">
        <v>23</v>
      </c>
      <c r="G30" t="s">
        <v>24</v>
      </c>
      <c r="H30" t="s">
        <v>141</v>
      </c>
      <c r="I30" t="s">
        <v>26</v>
      </c>
      <c r="J30" t="s">
        <v>133</v>
      </c>
      <c r="K30" t="s">
        <v>62</v>
      </c>
      <c r="L30" t="s">
        <v>29</v>
      </c>
      <c r="M30" t="s">
        <v>134</v>
      </c>
      <c r="N30" t="s">
        <v>31</v>
      </c>
      <c r="O30" t="s">
        <v>31</v>
      </c>
      <c r="P30" t="s">
        <v>135</v>
      </c>
      <c r="Q30" s="3" t="s">
        <v>142</v>
      </c>
    </row>
    <row r="31" spans="1:17" ht="15.6" x14ac:dyDescent="0.3">
      <c r="A31" s="2">
        <v>46191</v>
      </c>
      <c r="B31">
        <v>610</v>
      </c>
      <c r="C31" t="s">
        <v>143</v>
      </c>
      <c r="D31" s="2">
        <v>46191</v>
      </c>
      <c r="E31" s="2">
        <v>46225</v>
      </c>
      <c r="F31" t="s">
        <v>23</v>
      </c>
      <c r="G31" t="s">
        <v>24</v>
      </c>
      <c r="H31" t="s">
        <v>144</v>
      </c>
      <c r="I31" t="s">
        <v>26</v>
      </c>
      <c r="J31" t="s">
        <v>133</v>
      </c>
      <c r="K31" t="s">
        <v>62</v>
      </c>
      <c r="L31" t="s">
        <v>29</v>
      </c>
      <c r="M31" t="s">
        <v>134</v>
      </c>
      <c r="N31" t="s">
        <v>31</v>
      </c>
      <c r="O31" t="s">
        <v>31</v>
      </c>
      <c r="P31" t="s">
        <v>135</v>
      </c>
      <c r="Q31" s="3" t="s">
        <v>145</v>
      </c>
    </row>
    <row r="32" spans="1:17" ht="15.6" x14ac:dyDescent="0.3">
      <c r="A32" s="2">
        <v>46191</v>
      </c>
      <c r="B32">
        <v>609</v>
      </c>
      <c r="C32" t="s">
        <v>146</v>
      </c>
      <c r="D32" s="2">
        <v>46191</v>
      </c>
      <c r="E32" s="2">
        <v>46225</v>
      </c>
      <c r="F32" t="s">
        <v>23</v>
      </c>
      <c r="G32" t="s">
        <v>147</v>
      </c>
      <c r="H32" t="s">
        <v>148</v>
      </c>
      <c r="I32" t="s">
        <v>26</v>
      </c>
      <c r="J32" t="s">
        <v>149</v>
      </c>
      <c r="K32" t="s">
        <v>150</v>
      </c>
      <c r="L32" t="s">
        <v>29</v>
      </c>
      <c r="M32" t="s">
        <v>30</v>
      </c>
      <c r="N32" t="s">
        <v>29</v>
      </c>
      <c r="O32" t="s">
        <v>29</v>
      </c>
      <c r="P32" t="s">
        <v>64</v>
      </c>
      <c r="Q32" s="3" t="s">
        <v>151</v>
      </c>
    </row>
    <row r="33" spans="1:17" ht="15.6" x14ac:dyDescent="0.3">
      <c r="A33" s="2">
        <v>46191</v>
      </c>
      <c r="B33">
        <v>608</v>
      </c>
      <c r="C33" t="s">
        <v>152</v>
      </c>
      <c r="D33" s="2">
        <v>46191</v>
      </c>
      <c r="E33" s="2">
        <v>46225</v>
      </c>
      <c r="F33" t="s">
        <v>23</v>
      </c>
      <c r="G33" t="s">
        <v>24</v>
      </c>
      <c r="H33" t="s">
        <v>153</v>
      </c>
      <c r="I33" t="s">
        <v>26</v>
      </c>
      <c r="J33" t="s">
        <v>61</v>
      </c>
      <c r="K33" t="s">
        <v>62</v>
      </c>
      <c r="L33" t="s">
        <v>29</v>
      </c>
      <c r="M33" t="s">
        <v>63</v>
      </c>
      <c r="N33" t="s">
        <v>29</v>
      </c>
      <c r="O33" t="s">
        <v>29</v>
      </c>
      <c r="P33" t="s">
        <v>64</v>
      </c>
      <c r="Q33" s="3" t="s">
        <v>154</v>
      </c>
    </row>
    <row r="34" spans="1:17" ht="15.6" x14ac:dyDescent="0.3">
      <c r="A34" s="2">
        <v>46191</v>
      </c>
      <c r="B34">
        <v>607</v>
      </c>
      <c r="C34" t="s">
        <v>155</v>
      </c>
      <c r="D34" s="2">
        <v>46191</v>
      </c>
      <c r="E34" s="2">
        <v>46225</v>
      </c>
      <c r="F34" t="s">
        <v>23</v>
      </c>
      <c r="G34" t="s">
        <v>24</v>
      </c>
      <c r="H34" t="s">
        <v>156</v>
      </c>
      <c r="I34" t="s">
        <v>26</v>
      </c>
      <c r="J34" t="s">
        <v>61</v>
      </c>
      <c r="K34" t="s">
        <v>62</v>
      </c>
      <c r="L34" t="s">
        <v>29</v>
      </c>
      <c r="M34" t="s">
        <v>63</v>
      </c>
      <c r="N34" t="s">
        <v>29</v>
      </c>
      <c r="O34" t="s">
        <v>29</v>
      </c>
      <c r="P34" t="s">
        <v>64</v>
      </c>
      <c r="Q34" s="3" t="s">
        <v>157</v>
      </c>
    </row>
    <row r="35" spans="1:17" ht="15.6" x14ac:dyDescent="0.3">
      <c r="A35" s="2">
        <v>46191</v>
      </c>
      <c r="B35">
        <v>606</v>
      </c>
      <c r="C35" t="s">
        <v>158</v>
      </c>
      <c r="D35" s="2">
        <v>46191</v>
      </c>
      <c r="E35" s="2">
        <v>46225</v>
      </c>
      <c r="F35" t="s">
        <v>123</v>
      </c>
      <c r="G35" t="s">
        <v>24</v>
      </c>
      <c r="H35" t="s">
        <v>159</v>
      </c>
      <c r="I35" t="s">
        <v>26</v>
      </c>
      <c r="J35" t="s">
        <v>61</v>
      </c>
      <c r="K35" t="s">
        <v>62</v>
      </c>
      <c r="L35" t="s">
        <v>29</v>
      </c>
      <c r="M35" t="s">
        <v>63</v>
      </c>
      <c r="N35" t="s">
        <v>29</v>
      </c>
      <c r="O35" t="s">
        <v>29</v>
      </c>
      <c r="P35" t="s">
        <v>64</v>
      </c>
      <c r="Q35" s="3" t="s">
        <v>160</v>
      </c>
    </row>
    <row r="36" spans="1:17" ht="15.6" x14ac:dyDescent="0.3">
      <c r="A36" s="2">
        <v>46191</v>
      </c>
      <c r="B36">
        <v>605</v>
      </c>
      <c r="C36" t="s">
        <v>161</v>
      </c>
      <c r="D36" s="2">
        <v>46191</v>
      </c>
      <c r="E36" s="2">
        <v>46223</v>
      </c>
      <c r="F36" t="s">
        <v>23</v>
      </c>
      <c r="G36" t="s">
        <v>24</v>
      </c>
      <c r="H36" t="s">
        <v>162</v>
      </c>
      <c r="I36" t="s">
        <v>26</v>
      </c>
      <c r="J36" t="s">
        <v>27</v>
      </c>
      <c r="K36" t="s">
        <v>28</v>
      </c>
      <c r="L36" t="s">
        <v>29</v>
      </c>
      <c r="M36" t="s">
        <v>163</v>
      </c>
      <c r="N36" t="s">
        <v>29</v>
      </c>
      <c r="O36" t="s">
        <v>29</v>
      </c>
      <c r="P36" t="s">
        <v>64</v>
      </c>
      <c r="Q36" s="3" t="s">
        <v>164</v>
      </c>
    </row>
    <row r="37" spans="1:17" ht="15.6" x14ac:dyDescent="0.3">
      <c r="A37" s="2">
        <v>46191</v>
      </c>
      <c r="B37">
        <v>604</v>
      </c>
      <c r="C37" t="s">
        <v>165</v>
      </c>
      <c r="D37" s="2">
        <v>46191</v>
      </c>
      <c r="E37" s="2">
        <v>46223</v>
      </c>
      <c r="F37" t="s">
        <v>23</v>
      </c>
      <c r="G37" t="s">
        <v>24</v>
      </c>
      <c r="H37" t="s">
        <v>166</v>
      </c>
      <c r="I37" t="s">
        <v>26</v>
      </c>
      <c r="J37" t="s">
        <v>27</v>
      </c>
      <c r="K37" t="s">
        <v>28</v>
      </c>
      <c r="L37" t="s">
        <v>29</v>
      </c>
      <c r="M37" t="s">
        <v>163</v>
      </c>
      <c r="N37" t="s">
        <v>29</v>
      </c>
      <c r="O37" t="s">
        <v>29</v>
      </c>
      <c r="P37" t="s">
        <v>64</v>
      </c>
      <c r="Q37" s="3" t="s">
        <v>167</v>
      </c>
    </row>
    <row r="38" spans="1:17" ht="15.6" x14ac:dyDescent="0.3">
      <c r="A38" s="2">
        <v>46191</v>
      </c>
      <c r="B38">
        <v>603</v>
      </c>
      <c r="C38" t="s">
        <v>168</v>
      </c>
      <c r="D38" s="2">
        <v>46191</v>
      </c>
      <c r="E38" s="2">
        <v>46216</v>
      </c>
      <c r="F38" t="s">
        <v>123</v>
      </c>
      <c r="G38" t="s">
        <v>24</v>
      </c>
      <c r="H38" t="s">
        <v>169</v>
      </c>
      <c r="I38" t="s">
        <v>26</v>
      </c>
      <c r="J38" t="s">
        <v>170</v>
      </c>
      <c r="K38" t="s">
        <v>127</v>
      </c>
      <c r="L38" t="s">
        <v>29</v>
      </c>
      <c r="M38" t="s">
        <v>171</v>
      </c>
      <c r="N38" t="s">
        <v>31</v>
      </c>
      <c r="O38" t="s">
        <v>29</v>
      </c>
      <c r="P38" t="s">
        <v>172</v>
      </c>
      <c r="Q38" s="3" t="s">
        <v>173</v>
      </c>
    </row>
    <row r="39" spans="1:17" ht="15.6" x14ac:dyDescent="0.3">
      <c r="A39" s="2">
        <v>46191</v>
      </c>
      <c r="B39">
        <v>602</v>
      </c>
      <c r="C39" t="s">
        <v>174</v>
      </c>
      <c r="D39" s="2">
        <v>46191</v>
      </c>
      <c r="E39" s="2">
        <v>46218</v>
      </c>
      <c r="F39" t="s">
        <v>23</v>
      </c>
      <c r="G39" t="s">
        <v>24</v>
      </c>
      <c r="H39" t="s">
        <v>175</v>
      </c>
      <c r="I39" t="s">
        <v>26</v>
      </c>
      <c r="J39" t="s">
        <v>176</v>
      </c>
      <c r="K39" t="s">
        <v>48</v>
      </c>
      <c r="L39" t="s">
        <v>29</v>
      </c>
      <c r="M39" t="s">
        <v>177</v>
      </c>
      <c r="N39" t="s">
        <v>31</v>
      </c>
      <c r="O39" t="s">
        <v>31</v>
      </c>
      <c r="P39" t="s">
        <v>178</v>
      </c>
      <c r="Q39" s="3" t="s">
        <v>179</v>
      </c>
    </row>
    <row r="40" spans="1:17" ht="15.6" x14ac:dyDescent="0.3">
      <c r="A40" s="2">
        <v>46191</v>
      </c>
      <c r="B40">
        <v>601</v>
      </c>
      <c r="C40" t="s">
        <v>180</v>
      </c>
      <c r="D40" s="2">
        <v>46191</v>
      </c>
      <c r="E40" s="2">
        <v>46220</v>
      </c>
      <c r="F40" t="s">
        <v>181</v>
      </c>
      <c r="G40" t="s">
        <v>24</v>
      </c>
      <c r="H40" t="s">
        <v>182</v>
      </c>
      <c r="I40" t="s">
        <v>26</v>
      </c>
      <c r="J40" t="s">
        <v>183</v>
      </c>
      <c r="K40" t="s">
        <v>184</v>
      </c>
      <c r="L40" t="s">
        <v>29</v>
      </c>
      <c r="M40" t="s">
        <v>171</v>
      </c>
      <c r="N40" t="s">
        <v>31</v>
      </c>
      <c r="O40" t="s">
        <v>31</v>
      </c>
      <c r="P40" t="s">
        <v>185</v>
      </c>
      <c r="Q40" s="3" t="s">
        <v>186</v>
      </c>
    </row>
    <row r="41" spans="1:17" ht="15.6" x14ac:dyDescent="0.3">
      <c r="A41" s="2">
        <v>46191</v>
      </c>
      <c r="B41">
        <v>600</v>
      </c>
      <c r="C41" t="s">
        <v>187</v>
      </c>
      <c r="D41" s="2">
        <v>46191</v>
      </c>
      <c r="E41" s="2">
        <v>46220</v>
      </c>
      <c r="F41" t="s">
        <v>123</v>
      </c>
      <c r="G41" t="s">
        <v>24</v>
      </c>
      <c r="H41" t="s">
        <v>188</v>
      </c>
      <c r="I41" t="s">
        <v>26</v>
      </c>
      <c r="J41" t="s">
        <v>189</v>
      </c>
      <c r="K41" t="s">
        <v>28</v>
      </c>
      <c r="L41" t="s">
        <v>29</v>
      </c>
      <c r="M41" t="s">
        <v>190</v>
      </c>
      <c r="N41" t="s">
        <v>31</v>
      </c>
      <c r="O41" t="s">
        <v>31</v>
      </c>
      <c r="P41" t="s">
        <v>191</v>
      </c>
      <c r="Q41" s="3" t="s">
        <v>192</v>
      </c>
    </row>
    <row r="42" spans="1:17" ht="15.6" x14ac:dyDescent="0.3">
      <c r="A42" s="2">
        <v>46191</v>
      </c>
      <c r="B42">
        <v>599</v>
      </c>
      <c r="C42" t="s">
        <v>193</v>
      </c>
      <c r="D42" s="2">
        <v>46191</v>
      </c>
      <c r="E42" s="2">
        <v>46220</v>
      </c>
      <c r="F42" t="s">
        <v>123</v>
      </c>
      <c r="G42" t="s">
        <v>147</v>
      </c>
      <c r="H42" t="s">
        <v>194</v>
      </c>
      <c r="I42" t="s">
        <v>26</v>
      </c>
      <c r="J42" t="s">
        <v>195</v>
      </c>
      <c r="K42" t="s">
        <v>184</v>
      </c>
      <c r="L42" t="s">
        <v>29</v>
      </c>
      <c r="M42" t="s">
        <v>36</v>
      </c>
      <c r="N42" t="s">
        <v>31</v>
      </c>
      <c r="O42" t="s">
        <v>29</v>
      </c>
      <c r="P42" t="s">
        <v>196</v>
      </c>
      <c r="Q42" s="3" t="s">
        <v>197</v>
      </c>
    </row>
    <row r="43" spans="1:17" ht="15.6" x14ac:dyDescent="0.3">
      <c r="A43" s="2">
        <v>46191</v>
      </c>
      <c r="B43">
        <v>598</v>
      </c>
      <c r="C43" t="s">
        <v>198</v>
      </c>
      <c r="D43" s="2">
        <v>46191</v>
      </c>
      <c r="E43" s="2">
        <v>46220</v>
      </c>
      <c r="F43" t="s">
        <v>181</v>
      </c>
      <c r="G43" t="s">
        <v>124</v>
      </c>
      <c r="H43" t="s">
        <v>198</v>
      </c>
      <c r="I43" t="s">
        <v>26</v>
      </c>
      <c r="J43" t="s">
        <v>199</v>
      </c>
      <c r="K43" t="s">
        <v>42</v>
      </c>
      <c r="L43" t="s">
        <v>29</v>
      </c>
      <c r="M43" t="s">
        <v>200</v>
      </c>
      <c r="N43" t="s">
        <v>31</v>
      </c>
      <c r="O43" t="s">
        <v>29</v>
      </c>
      <c r="P43" t="s">
        <v>201</v>
      </c>
      <c r="Q43" s="3" t="s">
        <v>202</v>
      </c>
    </row>
    <row r="44" spans="1:17" ht="15.6" x14ac:dyDescent="0.3">
      <c r="A44" s="2">
        <v>46191</v>
      </c>
      <c r="B44">
        <v>597</v>
      </c>
      <c r="C44" t="s">
        <v>203</v>
      </c>
      <c r="D44" s="2">
        <v>46191</v>
      </c>
      <c r="E44" s="2">
        <v>46213</v>
      </c>
      <c r="F44" t="s">
        <v>204</v>
      </c>
      <c r="G44" t="s">
        <v>147</v>
      </c>
      <c r="H44" t="s">
        <v>205</v>
      </c>
      <c r="I44" t="s">
        <v>26</v>
      </c>
      <c r="J44" t="s">
        <v>206</v>
      </c>
      <c r="K44" t="s">
        <v>207</v>
      </c>
      <c r="L44" t="s">
        <v>29</v>
      </c>
      <c r="M44" t="s">
        <v>208</v>
      </c>
      <c r="N44" t="s">
        <v>29</v>
      </c>
      <c r="O44" t="s">
        <v>29</v>
      </c>
      <c r="P44" t="s">
        <v>64</v>
      </c>
      <c r="Q44" s="3" t="s">
        <v>209</v>
      </c>
    </row>
    <row r="45" spans="1:17" ht="15.6" x14ac:dyDescent="0.3">
      <c r="A45" s="2">
        <v>46191</v>
      </c>
      <c r="B45">
        <v>596</v>
      </c>
      <c r="C45" t="s">
        <v>210</v>
      </c>
      <c r="D45" s="2">
        <v>46191</v>
      </c>
      <c r="E45" s="2">
        <v>46220</v>
      </c>
      <c r="F45" t="s">
        <v>211</v>
      </c>
      <c r="G45" t="s">
        <v>24</v>
      </c>
      <c r="H45" t="s">
        <v>212</v>
      </c>
      <c r="I45" t="s">
        <v>26</v>
      </c>
      <c r="J45" t="s">
        <v>213</v>
      </c>
      <c r="K45" t="s">
        <v>42</v>
      </c>
      <c r="L45" t="s">
        <v>29</v>
      </c>
      <c r="M45" t="s">
        <v>214</v>
      </c>
      <c r="N45" t="s">
        <v>29</v>
      </c>
      <c r="O45" t="s">
        <v>29</v>
      </c>
      <c r="P45" t="s">
        <v>64</v>
      </c>
      <c r="Q45" s="3" t="s">
        <v>215</v>
      </c>
    </row>
    <row r="46" spans="1:17" ht="15.6" x14ac:dyDescent="0.3">
      <c r="A46" s="2">
        <v>46191</v>
      </c>
      <c r="B46">
        <v>595</v>
      </c>
      <c r="C46" t="s">
        <v>216</v>
      </c>
      <c r="D46" s="2">
        <v>46191</v>
      </c>
      <c r="E46" s="2">
        <v>46213</v>
      </c>
      <c r="F46" t="s">
        <v>123</v>
      </c>
      <c r="G46" t="s">
        <v>24</v>
      </c>
      <c r="H46" t="s">
        <v>217</v>
      </c>
      <c r="I46" t="s">
        <v>26</v>
      </c>
      <c r="J46" t="s">
        <v>218</v>
      </c>
      <c r="K46" t="s">
        <v>150</v>
      </c>
      <c r="L46" t="s">
        <v>29</v>
      </c>
      <c r="M46" t="s">
        <v>134</v>
      </c>
      <c r="N46" t="s">
        <v>31</v>
      </c>
      <c r="O46" t="s">
        <v>31</v>
      </c>
      <c r="P46" t="s">
        <v>219</v>
      </c>
      <c r="Q46" s="3" t="s">
        <v>220</v>
      </c>
    </row>
    <row r="47" spans="1:17" ht="15.6" x14ac:dyDescent="0.3">
      <c r="A47" s="2">
        <v>46191</v>
      </c>
      <c r="B47">
        <v>594</v>
      </c>
      <c r="C47" t="s">
        <v>221</v>
      </c>
      <c r="D47" s="2">
        <v>46191</v>
      </c>
      <c r="E47" s="2">
        <v>46213</v>
      </c>
      <c r="F47" t="s">
        <v>123</v>
      </c>
      <c r="G47" t="s">
        <v>24</v>
      </c>
      <c r="H47" t="s">
        <v>222</v>
      </c>
      <c r="I47" t="s">
        <v>26</v>
      </c>
      <c r="J47" t="s">
        <v>223</v>
      </c>
      <c r="K47" t="s">
        <v>207</v>
      </c>
      <c r="L47" t="s">
        <v>29</v>
      </c>
      <c r="M47" t="s">
        <v>190</v>
      </c>
      <c r="N47" t="s">
        <v>31</v>
      </c>
      <c r="O47" t="s">
        <v>31</v>
      </c>
      <c r="P47" t="s">
        <v>224</v>
      </c>
      <c r="Q47" s="3" t="s">
        <v>225</v>
      </c>
    </row>
    <row r="48" spans="1:17" ht="15.6" x14ac:dyDescent="0.3">
      <c r="A48" s="2">
        <v>46191</v>
      </c>
      <c r="B48">
        <v>593</v>
      </c>
      <c r="C48" t="s">
        <v>226</v>
      </c>
      <c r="D48" s="2">
        <v>46191</v>
      </c>
      <c r="E48" s="2">
        <v>46213</v>
      </c>
      <c r="F48" t="s">
        <v>123</v>
      </c>
      <c r="G48" t="s">
        <v>227</v>
      </c>
      <c r="H48" t="s">
        <v>228</v>
      </c>
      <c r="I48" t="s">
        <v>26</v>
      </c>
      <c r="J48" t="s">
        <v>195</v>
      </c>
      <c r="K48" t="s">
        <v>184</v>
      </c>
      <c r="L48" t="s">
        <v>29</v>
      </c>
      <c r="M48" t="s">
        <v>36</v>
      </c>
      <c r="N48" t="s">
        <v>29</v>
      </c>
      <c r="O48" t="s">
        <v>29</v>
      </c>
      <c r="P48" t="s">
        <v>64</v>
      </c>
      <c r="Q48" s="3" t="s">
        <v>229</v>
      </c>
    </row>
    <row r="49" spans="1:17" ht="15.6" x14ac:dyDescent="0.3">
      <c r="A49" s="2">
        <v>46191</v>
      </c>
      <c r="B49">
        <v>592</v>
      </c>
      <c r="C49" t="s">
        <v>230</v>
      </c>
      <c r="D49" s="2">
        <v>46191</v>
      </c>
      <c r="E49" s="2">
        <v>46213</v>
      </c>
      <c r="F49" t="s">
        <v>123</v>
      </c>
      <c r="G49" t="s">
        <v>24</v>
      </c>
      <c r="H49" t="s">
        <v>231</v>
      </c>
      <c r="I49" t="s">
        <v>26</v>
      </c>
      <c r="J49" t="s">
        <v>232</v>
      </c>
      <c r="K49" t="s">
        <v>42</v>
      </c>
      <c r="L49" t="s">
        <v>29</v>
      </c>
      <c r="M49" t="s">
        <v>233</v>
      </c>
      <c r="N49" t="s">
        <v>29</v>
      </c>
      <c r="O49" t="s">
        <v>29</v>
      </c>
      <c r="P49" t="s">
        <v>64</v>
      </c>
      <c r="Q49" s="3" t="s">
        <v>234</v>
      </c>
    </row>
    <row r="50" spans="1:17" ht="15.6" x14ac:dyDescent="0.3">
      <c r="A50" s="2">
        <v>46191</v>
      </c>
      <c r="B50">
        <v>591</v>
      </c>
      <c r="C50" t="s">
        <v>235</v>
      </c>
      <c r="D50" s="2">
        <v>46191</v>
      </c>
      <c r="E50" s="2">
        <v>46212</v>
      </c>
      <c r="F50" t="s">
        <v>23</v>
      </c>
      <c r="G50" t="s">
        <v>24</v>
      </c>
      <c r="H50" t="s">
        <v>236</v>
      </c>
      <c r="I50" t="s">
        <v>26</v>
      </c>
      <c r="J50" t="s">
        <v>237</v>
      </c>
      <c r="K50" t="s">
        <v>28</v>
      </c>
      <c r="L50" t="s">
        <v>29</v>
      </c>
      <c r="M50" t="s">
        <v>238</v>
      </c>
      <c r="N50" t="s">
        <v>31</v>
      </c>
      <c r="O50" t="s">
        <v>31</v>
      </c>
      <c r="P50" t="s">
        <v>239</v>
      </c>
      <c r="Q50" s="3" t="s">
        <v>240</v>
      </c>
    </row>
    <row r="51" spans="1:17" ht="15.6" x14ac:dyDescent="0.3">
      <c r="A51" s="2">
        <v>46191</v>
      </c>
      <c r="B51">
        <v>590</v>
      </c>
      <c r="C51" t="s">
        <v>241</v>
      </c>
      <c r="D51" s="2">
        <v>46191</v>
      </c>
      <c r="E51" s="2">
        <v>46213</v>
      </c>
      <c r="F51" t="s">
        <v>123</v>
      </c>
      <c r="G51" t="s">
        <v>24</v>
      </c>
      <c r="H51" t="s">
        <v>242</v>
      </c>
      <c r="I51" t="s">
        <v>26</v>
      </c>
      <c r="J51" t="s">
        <v>243</v>
      </c>
      <c r="K51" t="s">
        <v>207</v>
      </c>
      <c r="L51" t="s">
        <v>29</v>
      </c>
      <c r="M51" t="s">
        <v>244</v>
      </c>
      <c r="N51" t="s">
        <v>29</v>
      </c>
      <c r="O51" t="s">
        <v>29</v>
      </c>
      <c r="P51" t="s">
        <v>64</v>
      </c>
      <c r="Q51" s="3" t="s">
        <v>245</v>
      </c>
    </row>
    <row r="52" spans="1:17" ht="15.6" x14ac:dyDescent="0.3">
      <c r="A52" s="2">
        <v>46191</v>
      </c>
      <c r="B52">
        <v>589</v>
      </c>
      <c r="C52" t="s">
        <v>246</v>
      </c>
      <c r="D52" s="2">
        <v>46191</v>
      </c>
      <c r="E52" s="2">
        <v>46213</v>
      </c>
      <c r="F52" t="s">
        <v>23</v>
      </c>
      <c r="G52" t="s">
        <v>24</v>
      </c>
      <c r="H52" t="s">
        <v>247</v>
      </c>
      <c r="I52" t="s">
        <v>26</v>
      </c>
      <c r="J52" t="s">
        <v>248</v>
      </c>
      <c r="K52" t="s">
        <v>62</v>
      </c>
      <c r="L52" t="s">
        <v>29</v>
      </c>
      <c r="M52" t="s">
        <v>30</v>
      </c>
      <c r="N52" t="s">
        <v>31</v>
      </c>
      <c r="O52" t="s">
        <v>31</v>
      </c>
      <c r="P52" t="s">
        <v>249</v>
      </c>
      <c r="Q52" s="3" t="s">
        <v>250</v>
      </c>
    </row>
    <row r="53" spans="1:17" ht="15.6" x14ac:dyDescent="0.3">
      <c r="A53" s="2">
        <v>46191</v>
      </c>
      <c r="B53">
        <v>588</v>
      </c>
      <c r="C53" t="s">
        <v>251</v>
      </c>
      <c r="D53" s="2">
        <v>46191</v>
      </c>
      <c r="E53" s="2">
        <v>46213</v>
      </c>
      <c r="F53" t="s">
        <v>123</v>
      </c>
      <c r="G53" t="s">
        <v>252</v>
      </c>
      <c r="H53" t="s">
        <v>253</v>
      </c>
      <c r="I53" t="s">
        <v>26</v>
      </c>
      <c r="J53" t="s">
        <v>199</v>
      </c>
      <c r="K53" t="s">
        <v>62</v>
      </c>
      <c r="L53" t="s">
        <v>29</v>
      </c>
      <c r="M53" t="s">
        <v>254</v>
      </c>
      <c r="N53" t="s">
        <v>31</v>
      </c>
      <c r="O53" t="s">
        <v>31</v>
      </c>
      <c r="P53" t="s">
        <v>255</v>
      </c>
      <c r="Q53" s="3" t="s">
        <v>256</v>
      </c>
    </row>
    <row r="54" spans="1:17" ht="15.6" x14ac:dyDescent="0.3">
      <c r="A54" s="2">
        <v>46191</v>
      </c>
      <c r="B54">
        <v>587</v>
      </c>
      <c r="C54" t="s">
        <v>257</v>
      </c>
      <c r="D54" s="2">
        <v>46191</v>
      </c>
      <c r="E54" s="2">
        <v>46213</v>
      </c>
      <c r="F54" t="s">
        <v>258</v>
      </c>
      <c r="G54" t="s">
        <v>147</v>
      </c>
      <c r="H54" t="s">
        <v>259</v>
      </c>
      <c r="I54" t="s">
        <v>26</v>
      </c>
      <c r="J54" t="s">
        <v>206</v>
      </c>
      <c r="K54" t="s">
        <v>207</v>
      </c>
      <c r="L54" t="s">
        <v>29</v>
      </c>
      <c r="M54" t="s">
        <v>208</v>
      </c>
      <c r="N54" t="s">
        <v>29</v>
      </c>
      <c r="O54" t="s">
        <v>29</v>
      </c>
      <c r="P54" t="s">
        <v>64</v>
      </c>
      <c r="Q54" s="3" t="s">
        <v>260</v>
      </c>
    </row>
    <row r="55" spans="1:17" ht="15.6" x14ac:dyDescent="0.3">
      <c r="A55" s="2">
        <v>46191</v>
      </c>
      <c r="B55">
        <v>586</v>
      </c>
      <c r="C55" t="s">
        <v>261</v>
      </c>
      <c r="D55" s="2">
        <v>46191</v>
      </c>
      <c r="E55" s="2">
        <v>46213</v>
      </c>
      <c r="F55" t="s">
        <v>23</v>
      </c>
      <c r="G55" t="s">
        <v>147</v>
      </c>
      <c r="H55" t="s">
        <v>262</v>
      </c>
      <c r="I55" t="s">
        <v>26</v>
      </c>
      <c r="J55" t="s">
        <v>206</v>
      </c>
      <c r="K55" t="s">
        <v>207</v>
      </c>
      <c r="L55" t="s">
        <v>29</v>
      </c>
      <c r="M55" t="s">
        <v>208</v>
      </c>
      <c r="N55" t="s">
        <v>29</v>
      </c>
      <c r="O55" t="s">
        <v>29</v>
      </c>
      <c r="P55" t="s">
        <v>64</v>
      </c>
      <c r="Q55" s="3" t="s">
        <v>263</v>
      </c>
    </row>
    <row r="56" spans="1:17" ht="15.6" x14ac:dyDescent="0.3">
      <c r="A56" s="2">
        <v>46191</v>
      </c>
      <c r="B56">
        <v>585</v>
      </c>
      <c r="C56" t="s">
        <v>264</v>
      </c>
      <c r="D56" s="2">
        <v>46191</v>
      </c>
      <c r="E56" s="2">
        <v>46212</v>
      </c>
      <c r="F56" t="s">
        <v>123</v>
      </c>
      <c r="G56" t="s">
        <v>24</v>
      </c>
      <c r="H56" t="s">
        <v>265</v>
      </c>
      <c r="I56" t="s">
        <v>26</v>
      </c>
      <c r="J56" t="s">
        <v>218</v>
      </c>
      <c r="K56" t="s">
        <v>150</v>
      </c>
      <c r="L56" t="s">
        <v>29</v>
      </c>
      <c r="M56" t="s">
        <v>134</v>
      </c>
      <c r="N56" t="s">
        <v>31</v>
      </c>
      <c r="O56" t="s">
        <v>31</v>
      </c>
      <c r="P56" t="s">
        <v>219</v>
      </c>
      <c r="Q56" s="3" t="s">
        <v>266</v>
      </c>
    </row>
    <row r="57" spans="1:17" ht="15.6" x14ac:dyDescent="0.3">
      <c r="A57" s="2">
        <v>46191</v>
      </c>
      <c r="B57">
        <v>584</v>
      </c>
      <c r="C57" t="s">
        <v>267</v>
      </c>
      <c r="D57" s="2">
        <v>46191</v>
      </c>
      <c r="E57" s="2">
        <v>46212</v>
      </c>
      <c r="F57" t="s">
        <v>23</v>
      </c>
      <c r="G57" t="s">
        <v>24</v>
      </c>
      <c r="H57" t="s">
        <v>268</v>
      </c>
      <c r="I57" t="s">
        <v>26</v>
      </c>
      <c r="J57" t="s">
        <v>269</v>
      </c>
      <c r="K57" t="s">
        <v>28</v>
      </c>
      <c r="L57" t="s">
        <v>29</v>
      </c>
      <c r="M57" t="s">
        <v>270</v>
      </c>
      <c r="N57" t="s">
        <v>31</v>
      </c>
      <c r="O57" t="s">
        <v>31</v>
      </c>
      <c r="P57" t="s">
        <v>271</v>
      </c>
      <c r="Q57" s="3" t="s">
        <v>272</v>
      </c>
    </row>
    <row r="58" spans="1:17" ht="15.6" x14ac:dyDescent="0.3">
      <c r="A58" s="2">
        <v>46191</v>
      </c>
      <c r="B58">
        <v>583</v>
      </c>
      <c r="C58" t="s">
        <v>273</v>
      </c>
      <c r="D58" s="2">
        <v>46191</v>
      </c>
      <c r="E58" s="2">
        <v>46211</v>
      </c>
      <c r="F58" t="s">
        <v>123</v>
      </c>
      <c r="G58" t="s">
        <v>24</v>
      </c>
      <c r="H58" t="s">
        <v>274</v>
      </c>
      <c r="I58" t="s">
        <v>26</v>
      </c>
      <c r="J58" t="s">
        <v>275</v>
      </c>
      <c r="K58" t="s">
        <v>62</v>
      </c>
      <c r="L58" t="s">
        <v>29</v>
      </c>
      <c r="M58" t="s">
        <v>190</v>
      </c>
      <c r="N58" t="s">
        <v>29</v>
      </c>
      <c r="O58" t="s">
        <v>29</v>
      </c>
      <c r="P58" t="s">
        <v>64</v>
      </c>
      <c r="Q58" s="3" t="s">
        <v>276</v>
      </c>
    </row>
    <row r="59" spans="1:17" ht="15.6" x14ac:dyDescent="0.3">
      <c r="A59" s="2">
        <v>46191</v>
      </c>
      <c r="B59">
        <v>582</v>
      </c>
      <c r="C59" t="s">
        <v>277</v>
      </c>
      <c r="D59" s="2">
        <v>46191</v>
      </c>
      <c r="E59" s="2">
        <v>46211</v>
      </c>
      <c r="F59" t="s">
        <v>211</v>
      </c>
      <c r="G59" t="s">
        <v>252</v>
      </c>
      <c r="H59" t="s">
        <v>278</v>
      </c>
      <c r="I59" t="s">
        <v>26</v>
      </c>
      <c r="J59" t="s">
        <v>279</v>
      </c>
      <c r="K59" t="s">
        <v>42</v>
      </c>
      <c r="L59" t="s">
        <v>29</v>
      </c>
      <c r="M59" t="s">
        <v>171</v>
      </c>
      <c r="N59" t="s">
        <v>31</v>
      </c>
      <c r="O59" t="s">
        <v>31</v>
      </c>
      <c r="P59" t="s">
        <v>280</v>
      </c>
      <c r="Q59" s="3" t="s">
        <v>281</v>
      </c>
    </row>
    <row r="60" spans="1:17" ht="15.6" x14ac:dyDescent="0.3">
      <c r="A60" s="2">
        <v>46191</v>
      </c>
      <c r="B60">
        <v>581</v>
      </c>
      <c r="C60" t="s">
        <v>282</v>
      </c>
      <c r="D60" s="2">
        <v>46191</v>
      </c>
      <c r="E60" s="2">
        <v>46209</v>
      </c>
      <c r="F60" t="s">
        <v>211</v>
      </c>
      <c r="G60" t="s">
        <v>252</v>
      </c>
      <c r="H60" t="s">
        <v>283</v>
      </c>
      <c r="I60" t="s">
        <v>26</v>
      </c>
      <c r="J60" t="s">
        <v>279</v>
      </c>
      <c r="K60" t="s">
        <v>284</v>
      </c>
      <c r="L60" t="s">
        <v>29</v>
      </c>
      <c r="M60" t="s">
        <v>171</v>
      </c>
      <c r="N60" t="s">
        <v>29</v>
      </c>
      <c r="O60" t="s">
        <v>29</v>
      </c>
      <c r="P60" t="s">
        <v>64</v>
      </c>
      <c r="Q60" s="3" t="s">
        <v>285</v>
      </c>
    </row>
    <row r="61" spans="1:17" ht="15.6" x14ac:dyDescent="0.3">
      <c r="A61" s="2">
        <v>46191</v>
      </c>
      <c r="B61">
        <v>580</v>
      </c>
      <c r="C61" t="s">
        <v>286</v>
      </c>
      <c r="D61" s="2">
        <v>46191</v>
      </c>
      <c r="E61" s="2">
        <v>46212</v>
      </c>
      <c r="F61" t="s">
        <v>123</v>
      </c>
      <c r="G61" t="s">
        <v>24</v>
      </c>
      <c r="H61" t="s">
        <v>287</v>
      </c>
      <c r="I61" t="s">
        <v>26</v>
      </c>
      <c r="J61" t="s">
        <v>288</v>
      </c>
      <c r="K61" t="s">
        <v>207</v>
      </c>
      <c r="L61" t="s">
        <v>29</v>
      </c>
      <c r="M61" t="s">
        <v>289</v>
      </c>
      <c r="N61" t="s">
        <v>31</v>
      </c>
      <c r="O61" t="s">
        <v>31</v>
      </c>
      <c r="P61" t="s">
        <v>290</v>
      </c>
      <c r="Q61" s="3" t="s">
        <v>291</v>
      </c>
    </row>
    <row r="62" spans="1:17" ht="15.6" x14ac:dyDescent="0.3">
      <c r="A62" s="2">
        <v>46191</v>
      </c>
      <c r="B62">
        <v>579</v>
      </c>
      <c r="C62" t="s">
        <v>292</v>
      </c>
      <c r="D62" s="2">
        <v>46191</v>
      </c>
      <c r="E62" s="2">
        <v>46211</v>
      </c>
      <c r="F62" t="s">
        <v>181</v>
      </c>
      <c r="G62" t="s">
        <v>293</v>
      </c>
      <c r="H62" t="s">
        <v>294</v>
      </c>
      <c r="I62" t="s">
        <v>26</v>
      </c>
      <c r="J62" t="s">
        <v>295</v>
      </c>
      <c r="K62" t="s">
        <v>127</v>
      </c>
      <c r="L62" t="s">
        <v>29</v>
      </c>
      <c r="M62" t="s">
        <v>214</v>
      </c>
      <c r="N62" t="s">
        <v>31</v>
      </c>
      <c r="O62" t="s">
        <v>31</v>
      </c>
      <c r="P62" t="s">
        <v>296</v>
      </c>
      <c r="Q62" s="3" t="s">
        <v>297</v>
      </c>
    </row>
    <row r="63" spans="1:17" ht="15.6" x14ac:dyDescent="0.3">
      <c r="A63" s="2">
        <v>46191</v>
      </c>
      <c r="B63">
        <v>578</v>
      </c>
      <c r="C63" t="s">
        <v>298</v>
      </c>
      <c r="D63" s="2">
        <v>46191</v>
      </c>
      <c r="E63" s="2">
        <v>46211</v>
      </c>
      <c r="F63" t="s">
        <v>123</v>
      </c>
      <c r="G63" t="s">
        <v>252</v>
      </c>
      <c r="H63" t="s">
        <v>299</v>
      </c>
      <c r="I63" t="s">
        <v>26</v>
      </c>
      <c r="J63" t="s">
        <v>295</v>
      </c>
      <c r="K63" t="s">
        <v>127</v>
      </c>
      <c r="L63" t="s">
        <v>29</v>
      </c>
      <c r="M63" t="s">
        <v>300</v>
      </c>
      <c r="N63" t="s">
        <v>31</v>
      </c>
      <c r="O63" t="s">
        <v>31</v>
      </c>
      <c r="P63" t="s">
        <v>296</v>
      </c>
      <c r="Q63" s="3" t="s">
        <v>301</v>
      </c>
    </row>
    <row r="64" spans="1:17" ht="15.6" x14ac:dyDescent="0.3">
      <c r="A64" s="2">
        <v>46191</v>
      </c>
      <c r="B64">
        <v>577</v>
      </c>
      <c r="C64" t="s">
        <v>302</v>
      </c>
      <c r="D64" s="2">
        <v>46191</v>
      </c>
      <c r="E64" s="2">
        <v>46211</v>
      </c>
      <c r="F64" t="s">
        <v>23</v>
      </c>
      <c r="G64" t="s">
        <v>252</v>
      </c>
      <c r="H64" t="s">
        <v>303</v>
      </c>
      <c r="I64" t="s">
        <v>26</v>
      </c>
      <c r="J64" t="s">
        <v>295</v>
      </c>
      <c r="K64" t="s">
        <v>127</v>
      </c>
      <c r="L64" t="s">
        <v>29</v>
      </c>
      <c r="M64" t="s">
        <v>304</v>
      </c>
      <c r="N64" t="s">
        <v>31</v>
      </c>
      <c r="O64" t="s">
        <v>31</v>
      </c>
      <c r="P64" t="s">
        <v>296</v>
      </c>
      <c r="Q64" s="3" t="s">
        <v>305</v>
      </c>
    </row>
    <row r="65" spans="1:17" ht="15.6" x14ac:dyDescent="0.3">
      <c r="A65" s="2">
        <v>46191</v>
      </c>
      <c r="B65">
        <v>576</v>
      </c>
      <c r="C65" t="s">
        <v>306</v>
      </c>
      <c r="D65" s="2">
        <v>46191</v>
      </c>
      <c r="E65" s="2">
        <v>46212</v>
      </c>
      <c r="F65" t="s">
        <v>307</v>
      </c>
      <c r="G65" t="s">
        <v>24</v>
      </c>
      <c r="H65" t="s">
        <v>308</v>
      </c>
      <c r="I65" t="s">
        <v>26</v>
      </c>
      <c r="J65" t="s">
        <v>309</v>
      </c>
      <c r="K65" t="s">
        <v>207</v>
      </c>
      <c r="L65" t="s">
        <v>29</v>
      </c>
      <c r="M65" t="s">
        <v>310</v>
      </c>
      <c r="N65" t="s">
        <v>31</v>
      </c>
      <c r="O65" t="s">
        <v>31</v>
      </c>
      <c r="P65" t="s">
        <v>311</v>
      </c>
      <c r="Q65" s="3" t="s">
        <v>312</v>
      </c>
    </row>
    <row r="66" spans="1:17" ht="15.6" x14ac:dyDescent="0.3">
      <c r="A66" s="2">
        <v>46191</v>
      </c>
      <c r="B66">
        <v>575</v>
      </c>
      <c r="C66" t="s">
        <v>313</v>
      </c>
      <c r="D66" s="2">
        <v>46191</v>
      </c>
      <c r="E66" s="2">
        <v>46205</v>
      </c>
      <c r="F66" t="s">
        <v>23</v>
      </c>
      <c r="G66" t="s">
        <v>252</v>
      </c>
      <c r="H66" t="s">
        <v>314</v>
      </c>
      <c r="I66" t="s">
        <v>26</v>
      </c>
      <c r="J66" t="s">
        <v>315</v>
      </c>
      <c r="K66" t="s">
        <v>42</v>
      </c>
      <c r="L66" t="s">
        <v>29</v>
      </c>
      <c r="M66" t="s">
        <v>177</v>
      </c>
      <c r="N66" t="s">
        <v>31</v>
      </c>
      <c r="O66" t="s">
        <v>31</v>
      </c>
      <c r="P66" t="s">
        <v>316</v>
      </c>
      <c r="Q66" s="3" t="s">
        <v>317</v>
      </c>
    </row>
    <row r="67" spans="1:17" ht="15.6" x14ac:dyDescent="0.3">
      <c r="A67" s="2">
        <v>46191</v>
      </c>
      <c r="B67">
        <v>574</v>
      </c>
      <c r="C67" t="s">
        <v>318</v>
      </c>
      <c r="D67" s="2">
        <v>46191</v>
      </c>
      <c r="E67" s="2">
        <v>46205</v>
      </c>
      <c r="F67" t="s">
        <v>23</v>
      </c>
      <c r="G67" t="s">
        <v>24</v>
      </c>
      <c r="H67" t="s">
        <v>319</v>
      </c>
      <c r="I67" t="s">
        <v>26</v>
      </c>
      <c r="J67" t="s">
        <v>119</v>
      </c>
      <c r="K67" t="s">
        <v>28</v>
      </c>
      <c r="L67" t="s">
        <v>29</v>
      </c>
      <c r="M67" t="s">
        <v>128</v>
      </c>
      <c r="N67" t="s">
        <v>29</v>
      </c>
      <c r="O67" t="s">
        <v>29</v>
      </c>
      <c r="P67" t="s">
        <v>64</v>
      </c>
      <c r="Q67" s="3" t="s">
        <v>320</v>
      </c>
    </row>
    <row r="68" spans="1:17" ht="15.6" x14ac:dyDescent="0.3">
      <c r="A68" s="2">
        <v>46191</v>
      </c>
      <c r="B68">
        <v>573</v>
      </c>
      <c r="C68" t="s">
        <v>321</v>
      </c>
      <c r="D68" s="2">
        <v>46191</v>
      </c>
      <c r="E68" s="2">
        <v>46205</v>
      </c>
      <c r="F68" t="s">
        <v>23</v>
      </c>
      <c r="G68" t="s">
        <v>252</v>
      </c>
      <c r="H68" t="s">
        <v>322</v>
      </c>
      <c r="I68" t="s">
        <v>26</v>
      </c>
      <c r="J68" t="s">
        <v>315</v>
      </c>
      <c r="K68" t="s">
        <v>42</v>
      </c>
      <c r="L68" t="s">
        <v>29</v>
      </c>
      <c r="M68" t="s">
        <v>177</v>
      </c>
      <c r="N68" t="s">
        <v>31</v>
      </c>
      <c r="O68" t="s">
        <v>31</v>
      </c>
      <c r="P68" t="s">
        <v>323</v>
      </c>
      <c r="Q68" s="3" t="s">
        <v>324</v>
      </c>
    </row>
    <row r="69" spans="1:17" ht="15.6" x14ac:dyDescent="0.3">
      <c r="A69" s="2">
        <v>46191</v>
      </c>
      <c r="B69">
        <v>572</v>
      </c>
      <c r="C69" t="s">
        <v>325</v>
      </c>
      <c r="D69" s="2">
        <v>46191</v>
      </c>
      <c r="E69" s="2">
        <v>46205</v>
      </c>
      <c r="F69" t="s">
        <v>23</v>
      </c>
      <c r="G69" t="s">
        <v>252</v>
      </c>
      <c r="H69" t="s">
        <v>326</v>
      </c>
      <c r="I69" t="s">
        <v>26</v>
      </c>
      <c r="J69" t="s">
        <v>315</v>
      </c>
      <c r="K69" t="s">
        <v>42</v>
      </c>
      <c r="L69" t="s">
        <v>29</v>
      </c>
      <c r="M69" t="s">
        <v>177</v>
      </c>
      <c r="N69" t="s">
        <v>31</v>
      </c>
      <c r="O69" t="s">
        <v>31</v>
      </c>
      <c r="P69" t="s">
        <v>327</v>
      </c>
      <c r="Q69" s="3" t="s">
        <v>328</v>
      </c>
    </row>
    <row r="70" spans="1:17" ht="15.6" x14ac:dyDescent="0.3">
      <c r="A70" s="2">
        <v>46191</v>
      </c>
      <c r="B70">
        <v>571</v>
      </c>
      <c r="C70" t="s">
        <v>329</v>
      </c>
      <c r="D70" s="2">
        <v>46191</v>
      </c>
      <c r="E70" s="2">
        <v>46206</v>
      </c>
      <c r="F70" t="s">
        <v>330</v>
      </c>
      <c r="G70" t="s">
        <v>252</v>
      </c>
      <c r="H70" t="s">
        <v>331</v>
      </c>
      <c r="I70" t="s">
        <v>26</v>
      </c>
      <c r="J70" t="s">
        <v>279</v>
      </c>
      <c r="K70" t="s">
        <v>184</v>
      </c>
      <c r="L70" t="s">
        <v>29</v>
      </c>
      <c r="M70" t="s">
        <v>254</v>
      </c>
      <c r="N70" t="s">
        <v>29</v>
      </c>
      <c r="O70" t="s">
        <v>29</v>
      </c>
      <c r="P70" t="s">
        <v>64</v>
      </c>
      <c r="Q70" s="3" t="s">
        <v>332</v>
      </c>
    </row>
    <row r="71" spans="1:17" ht="15.6" x14ac:dyDescent="0.3">
      <c r="A71" s="2">
        <v>46191</v>
      </c>
      <c r="B71">
        <v>570</v>
      </c>
      <c r="C71" t="s">
        <v>333</v>
      </c>
      <c r="D71" s="2">
        <v>46191</v>
      </c>
      <c r="E71" s="2">
        <v>46209</v>
      </c>
      <c r="F71" t="s">
        <v>23</v>
      </c>
      <c r="G71" t="s">
        <v>24</v>
      </c>
      <c r="H71" t="s">
        <v>334</v>
      </c>
      <c r="I71" t="s">
        <v>26</v>
      </c>
      <c r="J71" t="s">
        <v>335</v>
      </c>
      <c r="K71" t="s">
        <v>62</v>
      </c>
      <c r="L71" t="s">
        <v>29</v>
      </c>
      <c r="M71" t="s">
        <v>336</v>
      </c>
      <c r="N71" t="s">
        <v>29</v>
      </c>
      <c r="O71" t="s">
        <v>29</v>
      </c>
      <c r="P71" t="s">
        <v>337</v>
      </c>
      <c r="Q71" s="3" t="s">
        <v>338</v>
      </c>
    </row>
    <row r="72" spans="1:17" ht="15.6" x14ac:dyDescent="0.3">
      <c r="A72" s="2">
        <v>46191</v>
      </c>
      <c r="B72">
        <v>569</v>
      </c>
      <c r="C72" t="s">
        <v>339</v>
      </c>
      <c r="D72" s="2">
        <v>46191</v>
      </c>
      <c r="E72" s="2">
        <v>46206</v>
      </c>
      <c r="F72" t="s">
        <v>340</v>
      </c>
      <c r="G72" t="s">
        <v>147</v>
      </c>
      <c r="H72" t="s">
        <v>341</v>
      </c>
      <c r="I72" t="s">
        <v>26</v>
      </c>
      <c r="J72" t="s">
        <v>342</v>
      </c>
      <c r="K72" t="s">
        <v>207</v>
      </c>
      <c r="L72" t="s">
        <v>29</v>
      </c>
      <c r="M72" t="s">
        <v>343</v>
      </c>
      <c r="N72" t="s">
        <v>31</v>
      </c>
      <c r="O72" t="s">
        <v>31</v>
      </c>
      <c r="P72" t="s">
        <v>344</v>
      </c>
      <c r="Q72" s="3" t="s">
        <v>345</v>
      </c>
    </row>
    <row r="73" spans="1:17" ht="15.6" x14ac:dyDescent="0.3">
      <c r="A73" s="2">
        <v>46191</v>
      </c>
      <c r="B73">
        <v>568</v>
      </c>
      <c r="C73" t="s">
        <v>346</v>
      </c>
      <c r="D73" s="2">
        <v>46191</v>
      </c>
      <c r="E73" s="2">
        <v>46205</v>
      </c>
      <c r="F73" t="s">
        <v>347</v>
      </c>
      <c r="G73" t="s">
        <v>124</v>
      </c>
      <c r="H73" t="s">
        <v>348</v>
      </c>
      <c r="I73" t="s">
        <v>26</v>
      </c>
      <c r="J73" t="s">
        <v>199</v>
      </c>
      <c r="K73" t="s">
        <v>127</v>
      </c>
      <c r="L73" t="s">
        <v>29</v>
      </c>
      <c r="M73" t="s">
        <v>30</v>
      </c>
      <c r="N73" t="s">
        <v>29</v>
      </c>
      <c r="O73" t="s">
        <v>29</v>
      </c>
      <c r="P73" t="s">
        <v>64</v>
      </c>
      <c r="Q73" s="3" t="s">
        <v>349</v>
      </c>
    </row>
    <row r="74" spans="1:17" ht="15.6" x14ac:dyDescent="0.3">
      <c r="A74" s="2">
        <v>46191</v>
      </c>
      <c r="B74">
        <v>567</v>
      </c>
      <c r="C74" t="s">
        <v>350</v>
      </c>
      <c r="D74" s="2">
        <v>46191</v>
      </c>
      <c r="E74" s="2">
        <v>46209</v>
      </c>
      <c r="F74" t="s">
        <v>23</v>
      </c>
      <c r="G74" t="s">
        <v>252</v>
      </c>
      <c r="H74" t="s">
        <v>351</v>
      </c>
      <c r="I74" t="s">
        <v>26</v>
      </c>
      <c r="J74" t="s">
        <v>352</v>
      </c>
      <c r="K74" t="s">
        <v>28</v>
      </c>
      <c r="L74" t="s">
        <v>29</v>
      </c>
      <c r="M74" t="s">
        <v>200</v>
      </c>
      <c r="N74" t="s">
        <v>29</v>
      </c>
      <c r="O74" t="s">
        <v>29</v>
      </c>
      <c r="P74" t="s">
        <v>64</v>
      </c>
      <c r="Q74" s="3" t="s">
        <v>353</v>
      </c>
    </row>
    <row r="75" spans="1:17" ht="15.6" x14ac:dyDescent="0.3">
      <c r="A75" s="2">
        <v>46191</v>
      </c>
      <c r="B75">
        <v>566</v>
      </c>
      <c r="C75" t="s">
        <v>354</v>
      </c>
      <c r="D75" s="2">
        <v>46191</v>
      </c>
      <c r="E75" s="2">
        <v>46206</v>
      </c>
      <c r="F75" t="s">
        <v>181</v>
      </c>
      <c r="G75" t="s">
        <v>24</v>
      </c>
      <c r="H75" t="s">
        <v>355</v>
      </c>
      <c r="I75" t="s">
        <v>26</v>
      </c>
      <c r="J75" t="s">
        <v>199</v>
      </c>
      <c r="K75" t="s">
        <v>48</v>
      </c>
      <c r="L75" t="s">
        <v>29</v>
      </c>
      <c r="M75" t="s">
        <v>356</v>
      </c>
      <c r="N75" t="s">
        <v>29</v>
      </c>
      <c r="O75" t="s">
        <v>29</v>
      </c>
      <c r="P75" t="s">
        <v>64</v>
      </c>
      <c r="Q75" s="3" t="s">
        <v>357</v>
      </c>
    </row>
    <row r="76" spans="1:17" ht="15.6" x14ac:dyDescent="0.3">
      <c r="A76" s="2">
        <v>46191</v>
      </c>
      <c r="B76">
        <v>565</v>
      </c>
      <c r="C76" t="s">
        <v>358</v>
      </c>
      <c r="D76" s="2">
        <v>46191</v>
      </c>
      <c r="E76" s="2">
        <v>46202</v>
      </c>
      <c r="F76" t="s">
        <v>23</v>
      </c>
      <c r="G76" t="s">
        <v>252</v>
      </c>
      <c r="H76" t="s">
        <v>359</v>
      </c>
      <c r="I76" t="s">
        <v>26</v>
      </c>
      <c r="J76" t="s">
        <v>360</v>
      </c>
      <c r="K76" t="s">
        <v>28</v>
      </c>
      <c r="L76" t="s">
        <v>29</v>
      </c>
      <c r="M76" t="s">
        <v>356</v>
      </c>
      <c r="N76" t="s">
        <v>31</v>
      </c>
      <c r="O76" t="s">
        <v>29</v>
      </c>
      <c r="P76" t="s">
        <v>361</v>
      </c>
      <c r="Q76" s="3" t="s">
        <v>362</v>
      </c>
    </row>
    <row r="77" spans="1:17" ht="15.6" x14ac:dyDescent="0.3">
      <c r="A77" s="2">
        <v>46191</v>
      </c>
      <c r="B77">
        <v>564</v>
      </c>
      <c r="C77" t="s">
        <v>363</v>
      </c>
      <c r="D77" s="2">
        <v>46191</v>
      </c>
      <c r="E77" s="2">
        <v>46205</v>
      </c>
      <c r="F77" t="s">
        <v>123</v>
      </c>
      <c r="G77" t="s">
        <v>252</v>
      </c>
      <c r="H77" t="s">
        <v>364</v>
      </c>
      <c r="I77" t="s">
        <v>26</v>
      </c>
      <c r="J77" t="s">
        <v>365</v>
      </c>
      <c r="K77" t="s">
        <v>184</v>
      </c>
      <c r="L77" t="s">
        <v>29</v>
      </c>
      <c r="M77" t="s">
        <v>356</v>
      </c>
      <c r="N77" t="s">
        <v>29</v>
      </c>
      <c r="O77" t="s">
        <v>29</v>
      </c>
      <c r="P77" t="s">
        <v>64</v>
      </c>
      <c r="Q77" s="3" t="s">
        <v>366</v>
      </c>
    </row>
    <row r="78" spans="1:17" ht="15.6" x14ac:dyDescent="0.3">
      <c r="A78" s="2">
        <v>46191</v>
      </c>
      <c r="B78">
        <v>563</v>
      </c>
      <c r="C78" t="s">
        <v>367</v>
      </c>
      <c r="D78" s="2">
        <v>46191</v>
      </c>
      <c r="E78" s="2">
        <v>46204</v>
      </c>
      <c r="F78" t="s">
        <v>211</v>
      </c>
      <c r="G78" t="s">
        <v>252</v>
      </c>
      <c r="H78" t="s">
        <v>368</v>
      </c>
      <c r="I78" t="s">
        <v>26</v>
      </c>
      <c r="J78" t="s">
        <v>369</v>
      </c>
      <c r="K78" t="s">
        <v>207</v>
      </c>
      <c r="L78" t="s">
        <v>29</v>
      </c>
      <c r="M78" t="s">
        <v>254</v>
      </c>
      <c r="N78" t="s">
        <v>29</v>
      </c>
      <c r="O78" t="s">
        <v>29</v>
      </c>
      <c r="P78" t="s">
        <v>64</v>
      </c>
      <c r="Q78" s="3" t="s">
        <v>370</v>
      </c>
    </row>
    <row r="79" spans="1:17" ht="15.6" x14ac:dyDescent="0.3">
      <c r="A79" s="2">
        <v>46191</v>
      </c>
      <c r="B79">
        <v>562</v>
      </c>
      <c r="C79" t="s">
        <v>371</v>
      </c>
      <c r="D79" s="2">
        <v>46191</v>
      </c>
      <c r="E79" s="2">
        <v>46205</v>
      </c>
      <c r="F79" t="s">
        <v>123</v>
      </c>
      <c r="G79" t="s">
        <v>252</v>
      </c>
      <c r="H79" t="s">
        <v>372</v>
      </c>
      <c r="I79" t="s">
        <v>26</v>
      </c>
      <c r="J79" t="s">
        <v>373</v>
      </c>
      <c r="K79" t="s">
        <v>184</v>
      </c>
      <c r="L79" t="s">
        <v>29</v>
      </c>
      <c r="M79" t="s">
        <v>374</v>
      </c>
      <c r="N79" t="s">
        <v>29</v>
      </c>
      <c r="O79" t="s">
        <v>29</v>
      </c>
      <c r="P79" t="s">
        <v>64</v>
      </c>
      <c r="Q79" s="3" t="s">
        <v>375</v>
      </c>
    </row>
    <row r="80" spans="1:17" ht="15.6" x14ac:dyDescent="0.3">
      <c r="A80" s="2">
        <v>46191</v>
      </c>
      <c r="B80">
        <v>561</v>
      </c>
      <c r="C80" t="s">
        <v>376</v>
      </c>
      <c r="D80" s="2">
        <v>46191</v>
      </c>
      <c r="E80" s="2">
        <v>46202</v>
      </c>
      <c r="F80" t="s">
        <v>123</v>
      </c>
      <c r="G80" t="s">
        <v>252</v>
      </c>
      <c r="H80" t="s">
        <v>377</v>
      </c>
      <c r="I80" t="s">
        <v>26</v>
      </c>
      <c r="J80" t="s">
        <v>378</v>
      </c>
      <c r="K80" t="s">
        <v>379</v>
      </c>
      <c r="L80" t="s">
        <v>29</v>
      </c>
      <c r="M80" t="s">
        <v>254</v>
      </c>
      <c r="N80" t="s">
        <v>31</v>
      </c>
      <c r="O80" t="s">
        <v>31</v>
      </c>
      <c r="P80" t="s">
        <v>64</v>
      </c>
      <c r="Q80" s="3" t="s">
        <v>380</v>
      </c>
    </row>
    <row r="81" spans="1:17" ht="15.6" x14ac:dyDescent="0.3">
      <c r="A81" s="2">
        <v>46191</v>
      </c>
      <c r="B81">
        <v>560</v>
      </c>
      <c r="C81" t="s">
        <v>381</v>
      </c>
      <c r="D81" s="2">
        <v>46191</v>
      </c>
      <c r="E81" s="2">
        <v>46202</v>
      </c>
      <c r="F81" t="s">
        <v>23</v>
      </c>
      <c r="G81" t="s">
        <v>147</v>
      </c>
      <c r="H81" t="s">
        <v>382</v>
      </c>
      <c r="I81" t="s">
        <v>26</v>
      </c>
      <c r="J81" t="s">
        <v>383</v>
      </c>
      <c r="K81" t="s">
        <v>150</v>
      </c>
      <c r="L81" t="s">
        <v>29</v>
      </c>
      <c r="M81" t="s">
        <v>254</v>
      </c>
      <c r="N81" t="s">
        <v>29</v>
      </c>
      <c r="O81" t="s">
        <v>29</v>
      </c>
      <c r="P81" t="s">
        <v>64</v>
      </c>
      <c r="Q81" s="3" t="s">
        <v>384</v>
      </c>
    </row>
    <row r="82" spans="1:17" ht="15.6" x14ac:dyDescent="0.3">
      <c r="A82" s="2">
        <v>46191</v>
      </c>
      <c r="B82">
        <v>559</v>
      </c>
      <c r="C82" t="s">
        <v>385</v>
      </c>
      <c r="D82" s="2">
        <v>46191</v>
      </c>
      <c r="E82" s="2">
        <v>46203</v>
      </c>
      <c r="F82" t="s">
        <v>181</v>
      </c>
      <c r="G82" t="s">
        <v>24</v>
      </c>
      <c r="H82" t="s">
        <v>386</v>
      </c>
      <c r="I82" t="s">
        <v>26</v>
      </c>
      <c r="J82" t="s">
        <v>199</v>
      </c>
      <c r="K82" t="s">
        <v>42</v>
      </c>
      <c r="L82" t="s">
        <v>29</v>
      </c>
      <c r="M82" t="s">
        <v>254</v>
      </c>
      <c r="N82" t="s">
        <v>29</v>
      </c>
      <c r="O82" t="s">
        <v>29</v>
      </c>
      <c r="P82" t="s">
        <v>64</v>
      </c>
      <c r="Q82" s="3" t="s">
        <v>387</v>
      </c>
    </row>
    <row r="83" spans="1:17" ht="15.6" x14ac:dyDescent="0.3">
      <c r="A83" s="2">
        <v>46191</v>
      </c>
      <c r="B83">
        <v>558</v>
      </c>
      <c r="C83" t="s">
        <v>388</v>
      </c>
      <c r="D83" s="2">
        <v>46191</v>
      </c>
      <c r="E83" s="2">
        <v>46205</v>
      </c>
      <c r="F83" t="s">
        <v>181</v>
      </c>
      <c r="G83" t="s">
        <v>24</v>
      </c>
      <c r="H83" t="s">
        <v>389</v>
      </c>
      <c r="I83" t="s">
        <v>26</v>
      </c>
      <c r="J83" t="s">
        <v>199</v>
      </c>
      <c r="K83" t="s">
        <v>48</v>
      </c>
      <c r="L83" t="s">
        <v>29</v>
      </c>
      <c r="M83" t="s">
        <v>171</v>
      </c>
      <c r="N83" t="s">
        <v>31</v>
      </c>
      <c r="O83" t="s">
        <v>31</v>
      </c>
      <c r="P83" t="s">
        <v>390</v>
      </c>
      <c r="Q83" s="3" t="s">
        <v>391</v>
      </c>
    </row>
    <row r="84" spans="1:17" ht="15.6" x14ac:dyDescent="0.3">
      <c r="A84" s="2">
        <v>46191</v>
      </c>
      <c r="B84">
        <v>557</v>
      </c>
      <c r="C84" t="s">
        <v>392</v>
      </c>
      <c r="D84" s="2">
        <v>46191</v>
      </c>
      <c r="E84" s="2">
        <v>46199</v>
      </c>
      <c r="F84" t="s">
        <v>23</v>
      </c>
      <c r="G84" t="s">
        <v>252</v>
      </c>
      <c r="H84" t="s">
        <v>393</v>
      </c>
      <c r="I84" t="s">
        <v>26</v>
      </c>
      <c r="J84" t="s">
        <v>394</v>
      </c>
      <c r="K84" t="s">
        <v>42</v>
      </c>
      <c r="L84" t="s">
        <v>29</v>
      </c>
      <c r="M84" t="s">
        <v>30</v>
      </c>
      <c r="N84" t="s">
        <v>29</v>
      </c>
      <c r="O84" t="s">
        <v>29</v>
      </c>
      <c r="P84" t="s">
        <v>64</v>
      </c>
      <c r="Q84" s="3" t="s">
        <v>395</v>
      </c>
    </row>
    <row r="85" spans="1:17" ht="15.6" x14ac:dyDescent="0.3">
      <c r="A85" s="2">
        <v>46191</v>
      </c>
      <c r="B85">
        <v>556</v>
      </c>
      <c r="C85" t="s">
        <v>396</v>
      </c>
      <c r="D85" s="2">
        <v>46191</v>
      </c>
      <c r="E85" s="2">
        <v>46205</v>
      </c>
      <c r="F85" t="s">
        <v>181</v>
      </c>
      <c r="G85" t="s">
        <v>24</v>
      </c>
      <c r="H85" t="s">
        <v>397</v>
      </c>
      <c r="I85" t="s">
        <v>26</v>
      </c>
      <c r="J85" t="s">
        <v>199</v>
      </c>
      <c r="K85" t="s">
        <v>48</v>
      </c>
      <c r="L85" t="s">
        <v>29</v>
      </c>
      <c r="M85" t="s">
        <v>190</v>
      </c>
      <c r="N85" t="s">
        <v>31</v>
      </c>
      <c r="O85" t="s">
        <v>31</v>
      </c>
      <c r="P85" t="s">
        <v>398</v>
      </c>
      <c r="Q85" s="3" t="s">
        <v>399</v>
      </c>
    </row>
    <row r="86" spans="1:17" ht="15.6" x14ac:dyDescent="0.3">
      <c r="A86" s="2">
        <v>46191</v>
      </c>
      <c r="B86">
        <v>555</v>
      </c>
      <c r="C86" t="s">
        <v>400</v>
      </c>
      <c r="D86" s="2">
        <v>46191</v>
      </c>
      <c r="E86" s="2">
        <v>46199</v>
      </c>
      <c r="F86" t="s">
        <v>181</v>
      </c>
      <c r="G86" t="s">
        <v>24</v>
      </c>
      <c r="H86" t="s">
        <v>401</v>
      </c>
      <c r="I86" t="s">
        <v>26</v>
      </c>
      <c r="J86" t="s">
        <v>199</v>
      </c>
      <c r="K86" t="s">
        <v>48</v>
      </c>
      <c r="L86" t="s">
        <v>29</v>
      </c>
      <c r="M86" t="s">
        <v>30</v>
      </c>
      <c r="N86" t="s">
        <v>29</v>
      </c>
      <c r="O86" t="s">
        <v>29</v>
      </c>
      <c r="P86" t="s">
        <v>64</v>
      </c>
      <c r="Q86" s="3" t="s">
        <v>402</v>
      </c>
    </row>
    <row r="87" spans="1:17" ht="15.6" x14ac:dyDescent="0.3">
      <c r="A87" s="2">
        <v>46191</v>
      </c>
      <c r="B87">
        <v>554</v>
      </c>
      <c r="C87" t="s">
        <v>403</v>
      </c>
      <c r="D87" s="2">
        <v>46191</v>
      </c>
      <c r="E87" s="2">
        <v>46199</v>
      </c>
      <c r="F87" t="s">
        <v>181</v>
      </c>
      <c r="G87" t="s">
        <v>24</v>
      </c>
      <c r="H87" t="s">
        <v>404</v>
      </c>
      <c r="I87" t="s">
        <v>26</v>
      </c>
      <c r="J87" t="s">
        <v>405</v>
      </c>
      <c r="K87" t="s">
        <v>150</v>
      </c>
      <c r="L87" t="s">
        <v>29</v>
      </c>
      <c r="M87" t="s">
        <v>30</v>
      </c>
      <c r="N87" t="s">
        <v>29</v>
      </c>
      <c r="O87" t="s">
        <v>29</v>
      </c>
      <c r="P87" t="s">
        <v>64</v>
      </c>
      <c r="Q87" s="3" t="s">
        <v>406</v>
      </c>
    </row>
    <row r="88" spans="1:17" ht="15.6" x14ac:dyDescent="0.3">
      <c r="A88" s="2">
        <v>46191</v>
      </c>
      <c r="B88">
        <v>553</v>
      </c>
      <c r="C88" t="s">
        <v>407</v>
      </c>
      <c r="D88" s="2">
        <v>46191</v>
      </c>
      <c r="E88" s="2">
        <v>46199</v>
      </c>
      <c r="F88" t="s">
        <v>181</v>
      </c>
      <c r="G88" t="s">
        <v>24</v>
      </c>
      <c r="H88" t="s">
        <v>408</v>
      </c>
      <c r="I88" t="s">
        <v>26</v>
      </c>
      <c r="J88" t="s">
        <v>405</v>
      </c>
      <c r="K88" t="s">
        <v>150</v>
      </c>
      <c r="L88" t="s">
        <v>29</v>
      </c>
      <c r="M88" t="s">
        <v>409</v>
      </c>
      <c r="N88" t="s">
        <v>29</v>
      </c>
      <c r="O88" t="s">
        <v>29</v>
      </c>
      <c r="P88" t="s">
        <v>64</v>
      </c>
      <c r="Q88" s="3" t="s">
        <v>410</v>
      </c>
    </row>
    <row r="89" spans="1:17" ht="15.6" x14ac:dyDescent="0.3">
      <c r="A89" s="2">
        <v>46191</v>
      </c>
      <c r="B89">
        <v>552</v>
      </c>
      <c r="C89" t="s">
        <v>411</v>
      </c>
      <c r="D89" s="2">
        <v>46191</v>
      </c>
      <c r="E89" s="2">
        <v>46198</v>
      </c>
      <c r="F89" t="s">
        <v>330</v>
      </c>
      <c r="G89" t="s">
        <v>252</v>
      </c>
      <c r="H89" t="s">
        <v>412</v>
      </c>
      <c r="I89" t="s">
        <v>26</v>
      </c>
      <c r="J89" t="s">
        <v>413</v>
      </c>
      <c r="K89" t="s">
        <v>42</v>
      </c>
      <c r="L89" t="s">
        <v>29</v>
      </c>
      <c r="M89" t="s">
        <v>414</v>
      </c>
      <c r="N89" t="s">
        <v>29</v>
      </c>
      <c r="O89" t="s">
        <v>29</v>
      </c>
      <c r="P89" t="s">
        <v>64</v>
      </c>
      <c r="Q89" s="3" t="s">
        <v>415</v>
      </c>
    </row>
    <row r="90" spans="1:17" ht="15.6" x14ac:dyDescent="0.3">
      <c r="A90" s="2">
        <v>46191</v>
      </c>
      <c r="B90">
        <v>551</v>
      </c>
      <c r="C90" t="s">
        <v>416</v>
      </c>
      <c r="D90" s="2">
        <v>46191</v>
      </c>
      <c r="E90" s="2">
        <v>46199</v>
      </c>
      <c r="F90" t="s">
        <v>123</v>
      </c>
      <c r="G90" t="s">
        <v>252</v>
      </c>
      <c r="H90" t="s">
        <v>417</v>
      </c>
      <c r="I90" t="s">
        <v>26</v>
      </c>
      <c r="J90" t="s">
        <v>394</v>
      </c>
      <c r="K90" t="s">
        <v>48</v>
      </c>
      <c r="L90" t="s">
        <v>29</v>
      </c>
      <c r="M90" t="s">
        <v>244</v>
      </c>
      <c r="N90" t="s">
        <v>29</v>
      </c>
      <c r="O90" t="s">
        <v>29</v>
      </c>
      <c r="P90" t="s">
        <v>64</v>
      </c>
      <c r="Q90" s="3" t="s">
        <v>418</v>
      </c>
    </row>
    <row r="91" spans="1:17" ht="15.6" x14ac:dyDescent="0.3">
      <c r="A91" s="2">
        <v>46191</v>
      </c>
      <c r="B91">
        <v>550</v>
      </c>
      <c r="C91" t="s">
        <v>419</v>
      </c>
      <c r="D91" s="2">
        <v>46191</v>
      </c>
      <c r="E91" s="2">
        <v>46199</v>
      </c>
      <c r="F91" t="s">
        <v>123</v>
      </c>
      <c r="G91" t="s">
        <v>252</v>
      </c>
      <c r="H91" t="s">
        <v>420</v>
      </c>
      <c r="I91" t="s">
        <v>26</v>
      </c>
      <c r="J91" t="s">
        <v>421</v>
      </c>
      <c r="K91" t="s">
        <v>42</v>
      </c>
      <c r="L91" t="s">
        <v>29</v>
      </c>
      <c r="M91" t="s">
        <v>422</v>
      </c>
      <c r="N91" t="s">
        <v>31</v>
      </c>
      <c r="O91" t="s">
        <v>31</v>
      </c>
      <c r="P91" t="s">
        <v>423</v>
      </c>
      <c r="Q91" s="3" t="s">
        <v>424</v>
      </c>
    </row>
    <row r="92" spans="1:17" ht="15.6" x14ac:dyDescent="0.3">
      <c r="A92" s="2">
        <v>46191</v>
      </c>
      <c r="B92">
        <v>549</v>
      </c>
      <c r="C92" t="s">
        <v>425</v>
      </c>
      <c r="D92" s="2">
        <v>46191</v>
      </c>
      <c r="E92" s="2">
        <v>46199</v>
      </c>
      <c r="F92" t="s">
        <v>123</v>
      </c>
      <c r="G92" t="s">
        <v>252</v>
      </c>
      <c r="H92" t="s">
        <v>426</v>
      </c>
      <c r="I92" t="s">
        <v>26</v>
      </c>
      <c r="J92" t="s">
        <v>427</v>
      </c>
      <c r="K92" t="s">
        <v>42</v>
      </c>
      <c r="L92" t="s">
        <v>29</v>
      </c>
      <c r="M92" t="s">
        <v>428</v>
      </c>
      <c r="N92" t="s">
        <v>29</v>
      </c>
      <c r="O92" t="s">
        <v>29</v>
      </c>
      <c r="P92" t="s">
        <v>64</v>
      </c>
      <c r="Q92" s="3" t="s">
        <v>429</v>
      </c>
    </row>
    <row r="93" spans="1:17" ht="15.6" x14ac:dyDescent="0.3">
      <c r="A93" s="2">
        <v>46191</v>
      </c>
      <c r="B93">
        <v>548</v>
      </c>
      <c r="C93" t="s">
        <v>430</v>
      </c>
      <c r="D93" s="2">
        <v>46191</v>
      </c>
      <c r="E93" s="2">
        <v>46198</v>
      </c>
      <c r="F93" t="s">
        <v>23</v>
      </c>
      <c r="G93" t="s">
        <v>252</v>
      </c>
      <c r="H93" t="s">
        <v>431</v>
      </c>
      <c r="I93" t="s">
        <v>26</v>
      </c>
      <c r="J93" t="s">
        <v>432</v>
      </c>
      <c r="K93" t="s">
        <v>28</v>
      </c>
      <c r="L93" t="s">
        <v>29</v>
      </c>
      <c r="M93" t="s">
        <v>433</v>
      </c>
      <c r="N93" t="s">
        <v>29</v>
      </c>
      <c r="O93" t="s">
        <v>29</v>
      </c>
      <c r="P93" t="s">
        <v>64</v>
      </c>
      <c r="Q93" s="3" t="s">
        <v>434</v>
      </c>
    </row>
    <row r="94" spans="1:17" ht="15.6" x14ac:dyDescent="0.3">
      <c r="A94" s="2">
        <v>46191</v>
      </c>
      <c r="B94">
        <v>547</v>
      </c>
      <c r="C94" t="s">
        <v>435</v>
      </c>
      <c r="D94" s="2">
        <v>46191</v>
      </c>
      <c r="E94" s="2">
        <v>46198</v>
      </c>
      <c r="F94" t="s">
        <v>23</v>
      </c>
      <c r="G94" t="s">
        <v>252</v>
      </c>
      <c r="H94" t="s">
        <v>436</v>
      </c>
      <c r="I94" t="s">
        <v>26</v>
      </c>
      <c r="J94" t="s">
        <v>432</v>
      </c>
      <c r="K94" t="s">
        <v>28</v>
      </c>
      <c r="L94" t="s">
        <v>29</v>
      </c>
      <c r="M94" t="s">
        <v>171</v>
      </c>
      <c r="N94" t="s">
        <v>29</v>
      </c>
      <c r="O94" t="s">
        <v>29</v>
      </c>
      <c r="P94" t="s">
        <v>64</v>
      </c>
      <c r="Q94" s="3" t="s">
        <v>437</v>
      </c>
    </row>
    <row r="95" spans="1:17" ht="15.6" x14ac:dyDescent="0.3">
      <c r="A95" s="2">
        <v>46191</v>
      </c>
      <c r="B95">
        <v>546</v>
      </c>
      <c r="C95" t="s">
        <v>438</v>
      </c>
      <c r="D95" s="2">
        <v>46191</v>
      </c>
      <c r="E95" s="2">
        <v>46199</v>
      </c>
      <c r="F95" t="s">
        <v>123</v>
      </c>
      <c r="G95" t="s">
        <v>252</v>
      </c>
      <c r="H95" t="s">
        <v>439</v>
      </c>
      <c r="I95" t="s">
        <v>26</v>
      </c>
      <c r="J95" t="s">
        <v>440</v>
      </c>
      <c r="K95" t="s">
        <v>207</v>
      </c>
      <c r="L95" t="s">
        <v>29</v>
      </c>
      <c r="M95" t="s">
        <v>414</v>
      </c>
      <c r="N95" t="s">
        <v>29</v>
      </c>
      <c r="O95" t="s">
        <v>29</v>
      </c>
      <c r="P95" t="s">
        <v>64</v>
      </c>
      <c r="Q95" s="3" t="s">
        <v>441</v>
      </c>
    </row>
    <row r="96" spans="1:17" ht="15.6" x14ac:dyDescent="0.3">
      <c r="A96" s="2">
        <v>46191</v>
      </c>
      <c r="B96">
        <v>545</v>
      </c>
      <c r="C96" t="s">
        <v>442</v>
      </c>
      <c r="D96" s="2">
        <v>46191</v>
      </c>
      <c r="E96" s="2">
        <v>46198</v>
      </c>
      <c r="F96" t="s">
        <v>123</v>
      </c>
      <c r="G96" t="s">
        <v>252</v>
      </c>
      <c r="H96" t="s">
        <v>443</v>
      </c>
      <c r="I96" t="s">
        <v>26</v>
      </c>
      <c r="J96" t="s">
        <v>394</v>
      </c>
      <c r="K96" t="s">
        <v>48</v>
      </c>
      <c r="L96" t="s">
        <v>29</v>
      </c>
      <c r="M96" t="s">
        <v>244</v>
      </c>
      <c r="N96" t="s">
        <v>29</v>
      </c>
      <c r="O96" t="s">
        <v>29</v>
      </c>
      <c r="P96" t="s">
        <v>64</v>
      </c>
      <c r="Q96" s="3" t="s">
        <v>444</v>
      </c>
    </row>
    <row r="97" spans="1:17" ht="15.6" x14ac:dyDescent="0.3">
      <c r="A97" s="2">
        <v>46191</v>
      </c>
      <c r="B97">
        <v>544</v>
      </c>
      <c r="C97" t="s">
        <v>445</v>
      </c>
      <c r="D97" s="2">
        <v>46191</v>
      </c>
      <c r="E97" s="2">
        <v>46198</v>
      </c>
      <c r="F97" t="s">
        <v>123</v>
      </c>
      <c r="G97" t="s">
        <v>252</v>
      </c>
      <c r="H97" t="s">
        <v>446</v>
      </c>
      <c r="I97" t="s">
        <v>26</v>
      </c>
      <c r="J97" t="s">
        <v>447</v>
      </c>
      <c r="K97" t="s">
        <v>28</v>
      </c>
      <c r="L97" t="s">
        <v>29</v>
      </c>
      <c r="M97" t="s">
        <v>190</v>
      </c>
      <c r="N97" t="s">
        <v>29</v>
      </c>
      <c r="O97" t="s">
        <v>29</v>
      </c>
      <c r="P97" t="s">
        <v>64</v>
      </c>
      <c r="Q97" s="3" t="s">
        <v>448</v>
      </c>
    </row>
    <row r="98" spans="1:17" ht="15.6" x14ac:dyDescent="0.3">
      <c r="A98" s="2">
        <v>46191</v>
      </c>
      <c r="B98">
        <v>543</v>
      </c>
      <c r="C98" t="s">
        <v>449</v>
      </c>
      <c r="D98" s="2">
        <v>46191</v>
      </c>
      <c r="E98" s="2">
        <v>46198</v>
      </c>
      <c r="F98" t="s">
        <v>123</v>
      </c>
      <c r="G98" t="s">
        <v>252</v>
      </c>
      <c r="H98" t="s">
        <v>450</v>
      </c>
      <c r="I98" t="s">
        <v>26</v>
      </c>
      <c r="J98" t="s">
        <v>440</v>
      </c>
      <c r="K98" t="s">
        <v>28</v>
      </c>
      <c r="L98" t="s">
        <v>29</v>
      </c>
      <c r="M98" t="s">
        <v>451</v>
      </c>
      <c r="N98" t="s">
        <v>29</v>
      </c>
      <c r="O98" t="s">
        <v>29</v>
      </c>
      <c r="P98" t="s">
        <v>64</v>
      </c>
      <c r="Q98" s="3" t="s">
        <v>452</v>
      </c>
    </row>
    <row r="99" spans="1:17" ht="15.6" x14ac:dyDescent="0.3">
      <c r="A99" s="2">
        <v>46191</v>
      </c>
      <c r="B99">
        <v>542</v>
      </c>
      <c r="C99" t="s">
        <v>453</v>
      </c>
      <c r="D99" s="2">
        <v>46191</v>
      </c>
      <c r="E99" s="2">
        <v>46198</v>
      </c>
      <c r="F99" t="s">
        <v>123</v>
      </c>
      <c r="G99" t="s">
        <v>252</v>
      </c>
      <c r="H99" t="s">
        <v>454</v>
      </c>
      <c r="I99" t="s">
        <v>26</v>
      </c>
      <c r="J99" t="s">
        <v>440</v>
      </c>
      <c r="K99" t="s">
        <v>28</v>
      </c>
      <c r="L99" t="s">
        <v>29</v>
      </c>
      <c r="M99" t="s">
        <v>451</v>
      </c>
      <c r="N99" t="s">
        <v>29</v>
      </c>
      <c r="O99" t="s">
        <v>29</v>
      </c>
      <c r="P99" t="s">
        <v>64</v>
      </c>
      <c r="Q99" s="3" t="s">
        <v>455</v>
      </c>
    </row>
    <row r="100" spans="1:17" ht="15.6" x14ac:dyDescent="0.3">
      <c r="A100" s="2">
        <v>46191</v>
      </c>
      <c r="B100">
        <v>541</v>
      </c>
      <c r="C100" t="s">
        <v>456</v>
      </c>
      <c r="D100" s="2">
        <v>46191</v>
      </c>
      <c r="E100" s="2">
        <v>46198</v>
      </c>
      <c r="F100" t="s">
        <v>123</v>
      </c>
      <c r="G100" t="s">
        <v>227</v>
      </c>
      <c r="H100" t="s">
        <v>457</v>
      </c>
      <c r="I100" t="s">
        <v>26</v>
      </c>
      <c r="J100" t="s">
        <v>458</v>
      </c>
      <c r="K100" t="s">
        <v>207</v>
      </c>
      <c r="L100" t="s">
        <v>29</v>
      </c>
      <c r="M100" t="s">
        <v>36</v>
      </c>
      <c r="N100" t="s">
        <v>29</v>
      </c>
      <c r="O100" t="s">
        <v>29</v>
      </c>
      <c r="P100" t="s">
        <v>64</v>
      </c>
      <c r="Q100" s="3" t="s">
        <v>459</v>
      </c>
    </row>
    <row r="101" spans="1:17" ht="15.6" x14ac:dyDescent="0.3">
      <c r="A101" s="2">
        <v>46191</v>
      </c>
      <c r="B101">
        <v>540</v>
      </c>
      <c r="C101" t="s">
        <v>460</v>
      </c>
      <c r="D101" s="2">
        <v>46191</v>
      </c>
      <c r="E101" s="2">
        <v>46198</v>
      </c>
      <c r="F101" t="s">
        <v>123</v>
      </c>
      <c r="G101" t="s">
        <v>227</v>
      </c>
      <c r="H101" t="s">
        <v>461</v>
      </c>
      <c r="I101" t="s">
        <v>26</v>
      </c>
      <c r="J101" t="s">
        <v>458</v>
      </c>
      <c r="K101" t="s">
        <v>207</v>
      </c>
      <c r="L101" t="s">
        <v>29</v>
      </c>
      <c r="M101" t="s">
        <v>36</v>
      </c>
      <c r="N101" t="s">
        <v>29</v>
      </c>
      <c r="O101" t="s">
        <v>29</v>
      </c>
      <c r="P101" t="s">
        <v>64</v>
      </c>
      <c r="Q101" s="3" t="s">
        <v>462</v>
      </c>
    </row>
    <row r="102" spans="1:17" ht="15.6" x14ac:dyDescent="0.3">
      <c r="A102" s="2">
        <v>46191</v>
      </c>
      <c r="B102">
        <v>539</v>
      </c>
      <c r="C102" t="s">
        <v>463</v>
      </c>
      <c r="D102" s="2">
        <v>46191</v>
      </c>
      <c r="E102" s="2">
        <v>46198</v>
      </c>
      <c r="F102" t="s">
        <v>123</v>
      </c>
      <c r="G102" t="s">
        <v>252</v>
      </c>
      <c r="H102" t="s">
        <v>464</v>
      </c>
      <c r="I102" t="s">
        <v>26</v>
      </c>
      <c r="J102" t="s">
        <v>440</v>
      </c>
      <c r="K102" t="s">
        <v>28</v>
      </c>
      <c r="L102" t="s">
        <v>29</v>
      </c>
      <c r="M102" t="s">
        <v>451</v>
      </c>
      <c r="N102" t="s">
        <v>29</v>
      </c>
      <c r="O102" t="s">
        <v>29</v>
      </c>
      <c r="P102" t="s">
        <v>64</v>
      </c>
      <c r="Q102" s="3" t="s">
        <v>465</v>
      </c>
    </row>
    <row r="103" spans="1:17" ht="15.6" x14ac:dyDescent="0.3">
      <c r="A103" s="2">
        <v>46191</v>
      </c>
      <c r="B103">
        <v>538</v>
      </c>
      <c r="C103" t="s">
        <v>466</v>
      </c>
      <c r="D103" s="2">
        <v>46191</v>
      </c>
      <c r="E103" s="2">
        <v>46198</v>
      </c>
      <c r="F103" t="s">
        <v>123</v>
      </c>
      <c r="G103" t="s">
        <v>252</v>
      </c>
      <c r="H103" t="s">
        <v>467</v>
      </c>
      <c r="I103" t="s">
        <v>26</v>
      </c>
      <c r="J103" t="s">
        <v>440</v>
      </c>
      <c r="K103" t="s">
        <v>28</v>
      </c>
      <c r="L103" t="s">
        <v>29</v>
      </c>
      <c r="M103" t="s">
        <v>451</v>
      </c>
      <c r="N103" t="s">
        <v>29</v>
      </c>
      <c r="O103" t="s">
        <v>29</v>
      </c>
      <c r="P103" t="s">
        <v>64</v>
      </c>
      <c r="Q103" s="3" t="s">
        <v>468</v>
      </c>
    </row>
    <row r="104" spans="1:17" ht="15.6" x14ac:dyDescent="0.3">
      <c r="A104" s="2">
        <v>46191</v>
      </c>
      <c r="B104">
        <v>537</v>
      </c>
      <c r="C104" t="s">
        <v>469</v>
      </c>
      <c r="D104" s="2">
        <v>46191</v>
      </c>
      <c r="E104" s="2">
        <v>46198</v>
      </c>
      <c r="F104" t="s">
        <v>123</v>
      </c>
      <c r="G104" t="s">
        <v>252</v>
      </c>
      <c r="H104" t="s">
        <v>470</v>
      </c>
      <c r="I104" t="s">
        <v>26</v>
      </c>
      <c r="J104" t="s">
        <v>440</v>
      </c>
      <c r="K104" t="s">
        <v>28</v>
      </c>
      <c r="L104" t="s">
        <v>29</v>
      </c>
      <c r="M104" t="s">
        <v>451</v>
      </c>
      <c r="N104" t="s">
        <v>29</v>
      </c>
      <c r="O104" t="s">
        <v>29</v>
      </c>
      <c r="P104" t="s">
        <v>64</v>
      </c>
      <c r="Q104" s="3" t="s">
        <v>471</v>
      </c>
    </row>
    <row r="105" spans="1:17" ht="15.6" x14ac:dyDescent="0.3">
      <c r="A105" s="2">
        <v>46191</v>
      </c>
      <c r="B105">
        <v>536</v>
      </c>
      <c r="C105" t="s">
        <v>472</v>
      </c>
      <c r="D105" s="2">
        <v>46191</v>
      </c>
      <c r="E105" s="2">
        <v>46198</v>
      </c>
      <c r="F105" t="s">
        <v>123</v>
      </c>
      <c r="G105" t="s">
        <v>252</v>
      </c>
      <c r="H105" t="s">
        <v>473</v>
      </c>
      <c r="I105" t="s">
        <v>26</v>
      </c>
      <c r="J105" t="s">
        <v>474</v>
      </c>
      <c r="K105" t="s">
        <v>184</v>
      </c>
      <c r="L105" t="s">
        <v>29</v>
      </c>
      <c r="M105" t="s">
        <v>171</v>
      </c>
      <c r="N105" t="s">
        <v>29</v>
      </c>
      <c r="O105" t="s">
        <v>29</v>
      </c>
      <c r="P105" t="s">
        <v>64</v>
      </c>
      <c r="Q105" s="3" t="s">
        <v>475</v>
      </c>
    </row>
    <row r="106" spans="1:17" ht="15.6" x14ac:dyDescent="0.3">
      <c r="A106" s="2">
        <v>46191</v>
      </c>
      <c r="B106">
        <v>535</v>
      </c>
      <c r="C106" t="s">
        <v>476</v>
      </c>
      <c r="D106" s="2">
        <v>46191</v>
      </c>
      <c r="E106" s="2">
        <v>46198</v>
      </c>
      <c r="F106" t="s">
        <v>123</v>
      </c>
      <c r="G106" t="s">
        <v>252</v>
      </c>
      <c r="H106" t="s">
        <v>477</v>
      </c>
      <c r="I106" t="s">
        <v>26</v>
      </c>
      <c r="J106" t="s">
        <v>447</v>
      </c>
      <c r="K106" t="s">
        <v>28</v>
      </c>
      <c r="L106" t="s">
        <v>29</v>
      </c>
      <c r="M106" t="s">
        <v>478</v>
      </c>
      <c r="N106" t="s">
        <v>29</v>
      </c>
      <c r="O106" t="s">
        <v>29</v>
      </c>
      <c r="P106" t="s">
        <v>64</v>
      </c>
      <c r="Q106" s="3" t="s">
        <v>479</v>
      </c>
    </row>
    <row r="107" spans="1:17" ht="15.6" x14ac:dyDescent="0.3">
      <c r="A107" s="2">
        <v>46191</v>
      </c>
      <c r="B107">
        <v>534</v>
      </c>
      <c r="C107" t="s">
        <v>480</v>
      </c>
      <c r="D107" s="2">
        <v>46191</v>
      </c>
      <c r="E107" s="2">
        <v>46198</v>
      </c>
      <c r="F107" t="s">
        <v>123</v>
      </c>
      <c r="G107" t="s">
        <v>252</v>
      </c>
      <c r="H107" t="s">
        <v>481</v>
      </c>
      <c r="I107" t="s">
        <v>26</v>
      </c>
      <c r="J107" t="s">
        <v>275</v>
      </c>
      <c r="K107" t="s">
        <v>62</v>
      </c>
      <c r="L107" t="s">
        <v>29</v>
      </c>
      <c r="M107" t="s">
        <v>482</v>
      </c>
      <c r="N107" t="s">
        <v>29</v>
      </c>
      <c r="O107" t="s">
        <v>29</v>
      </c>
      <c r="P107" t="s">
        <v>64</v>
      </c>
      <c r="Q107" s="3" t="s">
        <v>483</v>
      </c>
    </row>
    <row r="108" spans="1:17" ht="15.6" x14ac:dyDescent="0.3">
      <c r="A108" s="2">
        <v>46191</v>
      </c>
      <c r="B108">
        <v>533</v>
      </c>
      <c r="C108" t="s">
        <v>484</v>
      </c>
      <c r="D108" s="2">
        <v>46191</v>
      </c>
      <c r="E108" s="2">
        <v>46198</v>
      </c>
      <c r="F108" t="s">
        <v>123</v>
      </c>
      <c r="G108" t="s">
        <v>24</v>
      </c>
      <c r="H108" t="s">
        <v>485</v>
      </c>
      <c r="I108" t="s">
        <v>26</v>
      </c>
      <c r="J108" t="s">
        <v>486</v>
      </c>
      <c r="K108" t="s">
        <v>42</v>
      </c>
      <c r="L108" t="s">
        <v>29</v>
      </c>
      <c r="M108" t="s">
        <v>244</v>
      </c>
      <c r="N108" t="s">
        <v>29</v>
      </c>
      <c r="O108" t="s">
        <v>29</v>
      </c>
      <c r="P108" t="s">
        <v>64</v>
      </c>
      <c r="Q108" s="3" t="s">
        <v>487</v>
      </c>
    </row>
    <row r="109" spans="1:17" ht="15.6" x14ac:dyDescent="0.3">
      <c r="A109" s="2">
        <v>46191</v>
      </c>
      <c r="B109">
        <v>532</v>
      </c>
      <c r="C109" t="s">
        <v>488</v>
      </c>
      <c r="D109" s="2">
        <v>46191</v>
      </c>
      <c r="E109" s="2">
        <v>46197</v>
      </c>
      <c r="F109" t="s">
        <v>123</v>
      </c>
      <c r="G109" t="s">
        <v>252</v>
      </c>
      <c r="H109" t="s">
        <v>489</v>
      </c>
      <c r="I109" t="s">
        <v>26</v>
      </c>
      <c r="J109" t="s">
        <v>490</v>
      </c>
      <c r="K109" t="s">
        <v>184</v>
      </c>
      <c r="L109" t="s">
        <v>29</v>
      </c>
      <c r="M109" t="s">
        <v>491</v>
      </c>
      <c r="N109" t="s">
        <v>29</v>
      </c>
      <c r="O109" t="s">
        <v>29</v>
      </c>
      <c r="P109" t="s">
        <v>64</v>
      </c>
      <c r="Q109" s="3" t="s">
        <v>492</v>
      </c>
    </row>
    <row r="110" spans="1:17" ht="15.6" x14ac:dyDescent="0.3">
      <c r="A110" s="2">
        <v>46191</v>
      </c>
      <c r="B110">
        <v>531</v>
      </c>
      <c r="C110" t="s">
        <v>493</v>
      </c>
      <c r="D110" s="2">
        <v>46191</v>
      </c>
      <c r="E110" s="2">
        <v>46197</v>
      </c>
      <c r="F110" t="s">
        <v>123</v>
      </c>
      <c r="G110" t="s">
        <v>252</v>
      </c>
      <c r="H110" t="s">
        <v>494</v>
      </c>
      <c r="I110" t="s">
        <v>26</v>
      </c>
      <c r="J110" t="s">
        <v>421</v>
      </c>
      <c r="K110" t="s">
        <v>42</v>
      </c>
      <c r="L110" t="s">
        <v>29</v>
      </c>
      <c r="M110" t="s">
        <v>478</v>
      </c>
      <c r="N110" t="s">
        <v>29</v>
      </c>
      <c r="O110" t="s">
        <v>29</v>
      </c>
      <c r="P110" t="s">
        <v>64</v>
      </c>
      <c r="Q110" s="3" t="s">
        <v>495</v>
      </c>
    </row>
    <row r="111" spans="1:17" ht="15.6" x14ac:dyDescent="0.3">
      <c r="A111" s="2">
        <v>46191</v>
      </c>
      <c r="B111">
        <v>530</v>
      </c>
      <c r="C111" t="s">
        <v>496</v>
      </c>
      <c r="D111" s="2">
        <v>46191</v>
      </c>
      <c r="E111" s="2">
        <v>46197</v>
      </c>
      <c r="F111" t="s">
        <v>123</v>
      </c>
      <c r="G111" t="s">
        <v>252</v>
      </c>
      <c r="H111" t="s">
        <v>497</v>
      </c>
      <c r="I111" t="s">
        <v>26</v>
      </c>
      <c r="J111" t="s">
        <v>195</v>
      </c>
      <c r="K111" t="s">
        <v>184</v>
      </c>
      <c r="L111" t="s">
        <v>29</v>
      </c>
      <c r="M111" t="s">
        <v>30</v>
      </c>
      <c r="N111" t="s">
        <v>29</v>
      </c>
      <c r="O111" t="s">
        <v>29</v>
      </c>
      <c r="P111" t="s">
        <v>64</v>
      </c>
      <c r="Q111" s="3" t="s">
        <v>498</v>
      </c>
    </row>
    <row r="112" spans="1:17" ht="15.6" x14ac:dyDescent="0.3">
      <c r="A112" s="2">
        <v>46191</v>
      </c>
      <c r="B112">
        <v>529</v>
      </c>
      <c r="C112" t="s">
        <v>499</v>
      </c>
      <c r="D112" s="2">
        <v>46191</v>
      </c>
      <c r="E112" s="2">
        <v>46197</v>
      </c>
      <c r="F112" t="s">
        <v>23</v>
      </c>
      <c r="G112" t="s">
        <v>252</v>
      </c>
      <c r="H112" t="s">
        <v>500</v>
      </c>
      <c r="I112" t="s">
        <v>26</v>
      </c>
      <c r="J112" t="s">
        <v>501</v>
      </c>
      <c r="K112" t="s">
        <v>28</v>
      </c>
      <c r="L112" t="s">
        <v>29</v>
      </c>
      <c r="M112" t="s">
        <v>502</v>
      </c>
      <c r="N112" t="s">
        <v>29</v>
      </c>
      <c r="O112" t="s">
        <v>29</v>
      </c>
      <c r="P112" t="s">
        <v>64</v>
      </c>
      <c r="Q112" s="3" t="s">
        <v>503</v>
      </c>
    </row>
    <row r="113" spans="1:17" ht="15.6" x14ac:dyDescent="0.3">
      <c r="A113" s="2">
        <v>46191</v>
      </c>
      <c r="B113">
        <v>528</v>
      </c>
      <c r="C113" t="s">
        <v>504</v>
      </c>
      <c r="D113" s="2">
        <v>46191</v>
      </c>
      <c r="E113" s="2">
        <v>46197</v>
      </c>
      <c r="F113" t="s">
        <v>123</v>
      </c>
      <c r="G113" t="s">
        <v>252</v>
      </c>
      <c r="H113" t="s">
        <v>505</v>
      </c>
      <c r="I113" t="s">
        <v>26</v>
      </c>
      <c r="J113" t="s">
        <v>506</v>
      </c>
      <c r="K113" t="s">
        <v>184</v>
      </c>
      <c r="L113" t="s">
        <v>29</v>
      </c>
      <c r="M113" t="s">
        <v>507</v>
      </c>
      <c r="N113" t="s">
        <v>29</v>
      </c>
      <c r="O113" t="s">
        <v>29</v>
      </c>
      <c r="P113" t="s">
        <v>64</v>
      </c>
      <c r="Q113" s="3" t="s">
        <v>508</v>
      </c>
    </row>
    <row r="114" spans="1:17" ht="15.6" x14ac:dyDescent="0.3">
      <c r="A114" s="2">
        <v>46192</v>
      </c>
      <c r="B114">
        <v>527</v>
      </c>
      <c r="C114" t="s">
        <v>509</v>
      </c>
      <c r="D114" s="2">
        <v>46192</v>
      </c>
      <c r="E114" s="2">
        <v>46239</v>
      </c>
      <c r="F114" t="s">
        <v>123</v>
      </c>
      <c r="G114" t="s">
        <v>24</v>
      </c>
      <c r="H114" t="s">
        <v>510</v>
      </c>
      <c r="I114" t="s">
        <v>26</v>
      </c>
      <c r="J114" t="s">
        <v>511</v>
      </c>
      <c r="K114" t="s">
        <v>284</v>
      </c>
      <c r="L114" t="s">
        <v>29</v>
      </c>
      <c r="M114" t="s">
        <v>134</v>
      </c>
      <c r="N114" t="s">
        <v>31</v>
      </c>
      <c r="O114" t="s">
        <v>29</v>
      </c>
      <c r="P114" t="s">
        <v>512</v>
      </c>
      <c r="Q114" s="3" t="s">
        <v>513</v>
      </c>
    </row>
    <row r="115" spans="1:17" ht="15.6" x14ac:dyDescent="0.3">
      <c r="A115" s="2">
        <v>46192</v>
      </c>
      <c r="B115">
        <v>526</v>
      </c>
      <c r="C115" t="s">
        <v>514</v>
      </c>
      <c r="D115" s="2">
        <v>46192</v>
      </c>
      <c r="E115" s="2">
        <v>46234</v>
      </c>
      <c r="F115" t="s">
        <v>23</v>
      </c>
      <c r="G115" t="s">
        <v>24</v>
      </c>
      <c r="H115" t="s">
        <v>515</v>
      </c>
      <c r="I115" t="s">
        <v>26</v>
      </c>
      <c r="J115" t="s">
        <v>516</v>
      </c>
      <c r="K115" t="s">
        <v>42</v>
      </c>
      <c r="L115" t="s">
        <v>29</v>
      </c>
      <c r="M115" t="s">
        <v>356</v>
      </c>
      <c r="N115" t="s">
        <v>29</v>
      </c>
      <c r="O115" t="s">
        <v>29</v>
      </c>
      <c r="P115" t="s">
        <v>64</v>
      </c>
      <c r="Q115" s="3" t="s">
        <v>517</v>
      </c>
    </row>
    <row r="116" spans="1:17" ht="15.6" x14ac:dyDescent="0.3">
      <c r="A116" s="2">
        <v>46192</v>
      </c>
      <c r="B116">
        <v>525</v>
      </c>
      <c r="C116" t="s">
        <v>518</v>
      </c>
      <c r="D116" s="2">
        <v>46192</v>
      </c>
      <c r="E116" s="2">
        <v>46234</v>
      </c>
      <c r="F116" t="s">
        <v>23</v>
      </c>
      <c r="G116" t="s">
        <v>24</v>
      </c>
      <c r="H116" t="s">
        <v>519</v>
      </c>
      <c r="I116" t="s">
        <v>26</v>
      </c>
      <c r="J116" t="s">
        <v>520</v>
      </c>
      <c r="K116" t="s">
        <v>28</v>
      </c>
      <c r="L116" t="s">
        <v>29</v>
      </c>
      <c r="M116" t="s">
        <v>521</v>
      </c>
      <c r="N116" t="s">
        <v>29</v>
      </c>
      <c r="O116" t="s">
        <v>29</v>
      </c>
      <c r="P116" t="s">
        <v>64</v>
      </c>
      <c r="Q116" s="3" t="s">
        <v>522</v>
      </c>
    </row>
    <row r="117" spans="1:17" ht="15.6" x14ac:dyDescent="0.3">
      <c r="A117" s="2">
        <v>46192</v>
      </c>
      <c r="B117">
        <v>524</v>
      </c>
      <c r="C117" t="s">
        <v>523</v>
      </c>
      <c r="D117" s="2">
        <v>46192</v>
      </c>
      <c r="E117" s="2">
        <v>46234</v>
      </c>
      <c r="F117" t="s">
        <v>123</v>
      </c>
      <c r="G117" t="s">
        <v>24</v>
      </c>
      <c r="H117" t="s">
        <v>524</v>
      </c>
      <c r="I117" t="s">
        <v>26</v>
      </c>
      <c r="J117" t="s">
        <v>525</v>
      </c>
      <c r="K117" t="s">
        <v>127</v>
      </c>
      <c r="L117" t="s">
        <v>29</v>
      </c>
      <c r="M117" t="s">
        <v>63</v>
      </c>
      <c r="N117" t="s">
        <v>31</v>
      </c>
      <c r="O117" t="s">
        <v>31</v>
      </c>
      <c r="P117" t="s">
        <v>526</v>
      </c>
      <c r="Q117" s="3" t="s">
        <v>527</v>
      </c>
    </row>
    <row r="118" spans="1:17" ht="15.6" x14ac:dyDescent="0.3">
      <c r="A118" s="2">
        <v>46192</v>
      </c>
      <c r="B118">
        <v>523</v>
      </c>
      <c r="C118" t="s">
        <v>528</v>
      </c>
      <c r="D118" s="2">
        <v>46192</v>
      </c>
      <c r="E118" s="2">
        <v>46234</v>
      </c>
      <c r="F118" t="s">
        <v>123</v>
      </c>
      <c r="G118" t="s">
        <v>24</v>
      </c>
      <c r="H118" t="s">
        <v>529</v>
      </c>
      <c r="I118" t="s">
        <v>26</v>
      </c>
      <c r="J118" t="s">
        <v>525</v>
      </c>
      <c r="K118" t="s">
        <v>127</v>
      </c>
      <c r="L118" t="s">
        <v>29</v>
      </c>
      <c r="M118" t="s">
        <v>63</v>
      </c>
      <c r="N118" t="s">
        <v>31</v>
      </c>
      <c r="O118" t="s">
        <v>31</v>
      </c>
      <c r="P118" t="s">
        <v>530</v>
      </c>
      <c r="Q118" s="3" t="s">
        <v>531</v>
      </c>
    </row>
    <row r="119" spans="1:17" ht="15.6" x14ac:dyDescent="0.3">
      <c r="A119" s="2">
        <v>46192</v>
      </c>
      <c r="B119">
        <v>522</v>
      </c>
      <c r="C119" t="s">
        <v>532</v>
      </c>
      <c r="D119" s="2">
        <v>46192</v>
      </c>
      <c r="E119" s="2">
        <v>46233</v>
      </c>
      <c r="F119" t="s">
        <v>123</v>
      </c>
      <c r="G119" t="s">
        <v>24</v>
      </c>
      <c r="H119" t="s">
        <v>533</v>
      </c>
      <c r="I119" t="s">
        <v>26</v>
      </c>
      <c r="J119" t="s">
        <v>534</v>
      </c>
      <c r="K119" t="s">
        <v>184</v>
      </c>
      <c r="L119" t="s">
        <v>29</v>
      </c>
      <c r="M119" t="s">
        <v>254</v>
      </c>
      <c r="N119" t="s">
        <v>31</v>
      </c>
      <c r="O119" t="s">
        <v>29</v>
      </c>
      <c r="P119" t="s">
        <v>535</v>
      </c>
      <c r="Q119" s="3" t="s">
        <v>536</v>
      </c>
    </row>
    <row r="120" spans="1:17" ht="15.6" x14ac:dyDescent="0.3">
      <c r="A120" s="2">
        <v>46192</v>
      </c>
      <c r="B120">
        <v>521</v>
      </c>
      <c r="C120" t="s">
        <v>537</v>
      </c>
      <c r="D120" s="2">
        <v>46192</v>
      </c>
      <c r="E120" s="2">
        <v>46248</v>
      </c>
      <c r="F120" t="s">
        <v>123</v>
      </c>
      <c r="G120" t="s">
        <v>24</v>
      </c>
      <c r="H120" t="s">
        <v>538</v>
      </c>
      <c r="I120" t="s">
        <v>26</v>
      </c>
      <c r="J120" t="s">
        <v>195</v>
      </c>
      <c r="K120" t="s">
        <v>207</v>
      </c>
      <c r="L120" t="s">
        <v>29</v>
      </c>
      <c r="M120" t="s">
        <v>190</v>
      </c>
      <c r="N120" t="s">
        <v>31</v>
      </c>
      <c r="O120" t="s">
        <v>31</v>
      </c>
      <c r="P120" t="s">
        <v>539</v>
      </c>
      <c r="Q120" s="3" t="s">
        <v>540</v>
      </c>
    </row>
    <row r="121" spans="1:17" ht="15.6" x14ac:dyDescent="0.3">
      <c r="A121" s="2">
        <v>46192</v>
      </c>
      <c r="B121">
        <v>520</v>
      </c>
      <c r="C121" t="s">
        <v>541</v>
      </c>
      <c r="D121" s="2">
        <v>46192</v>
      </c>
      <c r="E121" s="2">
        <v>46227</v>
      </c>
      <c r="F121" t="s">
        <v>181</v>
      </c>
      <c r="G121" t="s">
        <v>24</v>
      </c>
      <c r="H121" t="s">
        <v>542</v>
      </c>
      <c r="I121" t="s">
        <v>26</v>
      </c>
      <c r="J121" t="s">
        <v>511</v>
      </c>
      <c r="K121" t="s">
        <v>42</v>
      </c>
      <c r="L121" t="s">
        <v>29</v>
      </c>
      <c r="M121" t="s">
        <v>171</v>
      </c>
      <c r="N121" t="s">
        <v>31</v>
      </c>
      <c r="O121" t="s">
        <v>29</v>
      </c>
      <c r="P121" t="s">
        <v>543</v>
      </c>
      <c r="Q121" s="3" t="s">
        <v>544</v>
      </c>
    </row>
    <row r="122" spans="1:17" ht="15.6" x14ac:dyDescent="0.3">
      <c r="A122" s="2">
        <v>46192</v>
      </c>
      <c r="B122">
        <v>519</v>
      </c>
      <c r="C122" t="s">
        <v>545</v>
      </c>
      <c r="D122" s="2">
        <v>46192</v>
      </c>
      <c r="E122" s="2">
        <v>46227</v>
      </c>
      <c r="F122" t="s">
        <v>123</v>
      </c>
      <c r="G122" t="s">
        <v>24</v>
      </c>
      <c r="H122" t="s">
        <v>546</v>
      </c>
      <c r="I122" t="s">
        <v>26</v>
      </c>
      <c r="J122" t="s">
        <v>547</v>
      </c>
      <c r="K122" t="s">
        <v>42</v>
      </c>
      <c r="L122" t="s">
        <v>29</v>
      </c>
      <c r="M122" t="s">
        <v>310</v>
      </c>
      <c r="N122" t="s">
        <v>31</v>
      </c>
      <c r="O122" t="s">
        <v>31</v>
      </c>
      <c r="P122" t="s">
        <v>548</v>
      </c>
      <c r="Q122" s="3" t="s">
        <v>549</v>
      </c>
    </row>
    <row r="123" spans="1:17" ht="15.6" x14ac:dyDescent="0.3">
      <c r="A123" s="2">
        <v>46192</v>
      </c>
      <c r="B123">
        <v>518</v>
      </c>
      <c r="C123" t="s">
        <v>550</v>
      </c>
      <c r="D123" s="2">
        <v>46192</v>
      </c>
      <c r="E123" s="2">
        <v>46227</v>
      </c>
      <c r="F123" t="s">
        <v>181</v>
      </c>
      <c r="G123" t="s">
        <v>24</v>
      </c>
      <c r="H123" t="s">
        <v>551</v>
      </c>
      <c r="I123" t="s">
        <v>26</v>
      </c>
      <c r="J123" t="s">
        <v>199</v>
      </c>
      <c r="K123" t="s">
        <v>28</v>
      </c>
      <c r="L123" t="s">
        <v>29</v>
      </c>
      <c r="M123" t="s">
        <v>200</v>
      </c>
      <c r="N123" t="s">
        <v>31</v>
      </c>
      <c r="O123" t="s">
        <v>29</v>
      </c>
      <c r="P123" t="s">
        <v>552</v>
      </c>
      <c r="Q123" s="3" t="s">
        <v>553</v>
      </c>
    </row>
    <row r="124" spans="1:17" ht="15.6" x14ac:dyDescent="0.3">
      <c r="A124" s="2">
        <v>46192</v>
      </c>
      <c r="B124">
        <v>517</v>
      </c>
      <c r="C124" t="s">
        <v>554</v>
      </c>
      <c r="D124" s="2">
        <v>46192</v>
      </c>
      <c r="E124" s="2">
        <v>46231</v>
      </c>
      <c r="F124" t="s">
        <v>23</v>
      </c>
      <c r="G124" t="s">
        <v>24</v>
      </c>
      <c r="H124" t="s">
        <v>555</v>
      </c>
      <c r="I124" t="s">
        <v>26</v>
      </c>
      <c r="J124" t="s">
        <v>556</v>
      </c>
      <c r="K124" t="s">
        <v>207</v>
      </c>
      <c r="L124" t="s">
        <v>29</v>
      </c>
      <c r="M124" t="s">
        <v>49</v>
      </c>
      <c r="N124" t="s">
        <v>31</v>
      </c>
      <c r="O124" t="s">
        <v>31</v>
      </c>
      <c r="P124" t="s">
        <v>557</v>
      </c>
      <c r="Q124" s="3" t="s">
        <v>558</v>
      </c>
    </row>
    <row r="125" spans="1:17" ht="15.6" x14ac:dyDescent="0.3">
      <c r="A125" s="2">
        <v>46192</v>
      </c>
      <c r="B125">
        <v>516</v>
      </c>
      <c r="C125" t="s">
        <v>559</v>
      </c>
      <c r="D125" s="2">
        <v>46192</v>
      </c>
      <c r="E125" s="2">
        <v>46233</v>
      </c>
      <c r="F125" t="s">
        <v>560</v>
      </c>
      <c r="G125" t="s">
        <v>24</v>
      </c>
      <c r="H125" t="s">
        <v>561</v>
      </c>
      <c r="I125" t="s">
        <v>26</v>
      </c>
      <c r="J125" t="s">
        <v>474</v>
      </c>
      <c r="K125" t="s">
        <v>184</v>
      </c>
      <c r="L125" t="s">
        <v>29</v>
      </c>
      <c r="M125" t="s">
        <v>521</v>
      </c>
      <c r="N125" t="s">
        <v>31</v>
      </c>
      <c r="O125" t="s">
        <v>31</v>
      </c>
      <c r="P125" t="s">
        <v>562</v>
      </c>
      <c r="Q125" s="3" t="s">
        <v>563</v>
      </c>
    </row>
    <row r="126" spans="1:17" ht="15.6" x14ac:dyDescent="0.3">
      <c r="A126" s="2">
        <v>46192</v>
      </c>
      <c r="B126">
        <v>515</v>
      </c>
      <c r="C126" t="s">
        <v>564</v>
      </c>
      <c r="D126" s="2">
        <v>46192</v>
      </c>
      <c r="E126" s="2">
        <v>46231</v>
      </c>
      <c r="F126" t="s">
        <v>560</v>
      </c>
      <c r="G126" t="s">
        <v>24</v>
      </c>
      <c r="H126" t="s">
        <v>565</v>
      </c>
      <c r="I126" t="s">
        <v>26</v>
      </c>
      <c r="J126" t="s">
        <v>474</v>
      </c>
      <c r="K126" t="s">
        <v>184</v>
      </c>
      <c r="L126" t="s">
        <v>29</v>
      </c>
      <c r="M126" t="s">
        <v>521</v>
      </c>
      <c r="N126" t="s">
        <v>31</v>
      </c>
      <c r="O126" t="s">
        <v>31</v>
      </c>
      <c r="P126" t="s">
        <v>566</v>
      </c>
      <c r="Q126" s="3" t="s">
        <v>567</v>
      </c>
    </row>
    <row r="127" spans="1:17" ht="15.6" x14ac:dyDescent="0.3">
      <c r="A127" s="2">
        <v>46192</v>
      </c>
      <c r="B127">
        <v>514</v>
      </c>
      <c r="C127" t="s">
        <v>568</v>
      </c>
      <c r="D127" s="2">
        <v>46192</v>
      </c>
      <c r="E127" s="2">
        <v>46227</v>
      </c>
      <c r="F127" t="s">
        <v>560</v>
      </c>
      <c r="G127" t="s">
        <v>24</v>
      </c>
      <c r="H127" t="s">
        <v>569</v>
      </c>
      <c r="I127" t="s">
        <v>26</v>
      </c>
      <c r="J127" t="s">
        <v>474</v>
      </c>
      <c r="K127" t="s">
        <v>184</v>
      </c>
      <c r="L127" t="s">
        <v>29</v>
      </c>
      <c r="M127" t="s">
        <v>521</v>
      </c>
      <c r="N127" t="s">
        <v>31</v>
      </c>
      <c r="O127" t="s">
        <v>29</v>
      </c>
      <c r="P127" t="s">
        <v>570</v>
      </c>
      <c r="Q127" s="3" t="s">
        <v>571</v>
      </c>
    </row>
    <row r="128" spans="1:17" ht="15.6" x14ac:dyDescent="0.3">
      <c r="A128" s="2">
        <v>46192</v>
      </c>
      <c r="B128">
        <v>513</v>
      </c>
      <c r="C128" t="s">
        <v>572</v>
      </c>
      <c r="D128" s="2">
        <v>46192</v>
      </c>
      <c r="E128" s="2">
        <v>46227</v>
      </c>
      <c r="F128" t="s">
        <v>123</v>
      </c>
      <c r="G128" t="s">
        <v>24</v>
      </c>
      <c r="H128" t="s">
        <v>573</v>
      </c>
      <c r="I128" t="s">
        <v>26</v>
      </c>
      <c r="J128" t="s">
        <v>547</v>
      </c>
      <c r="K128" t="s">
        <v>42</v>
      </c>
      <c r="L128" t="s">
        <v>29</v>
      </c>
      <c r="M128" t="s">
        <v>63</v>
      </c>
      <c r="N128" t="s">
        <v>31</v>
      </c>
      <c r="O128" t="s">
        <v>31</v>
      </c>
      <c r="P128" t="s">
        <v>548</v>
      </c>
      <c r="Q128" s="3" t="s">
        <v>574</v>
      </c>
    </row>
    <row r="129" spans="1:17" ht="15.6" x14ac:dyDescent="0.3">
      <c r="A129" s="2">
        <v>46192</v>
      </c>
      <c r="B129">
        <v>512</v>
      </c>
      <c r="C129" t="s">
        <v>575</v>
      </c>
      <c r="D129" s="2">
        <v>46192</v>
      </c>
      <c r="E129" s="2">
        <v>46233</v>
      </c>
      <c r="F129" t="s">
        <v>123</v>
      </c>
      <c r="G129" t="s">
        <v>24</v>
      </c>
      <c r="H129" t="s">
        <v>576</v>
      </c>
      <c r="I129" t="s">
        <v>26</v>
      </c>
      <c r="J129" t="s">
        <v>577</v>
      </c>
      <c r="K129" t="s">
        <v>28</v>
      </c>
      <c r="L129" t="s">
        <v>29</v>
      </c>
      <c r="M129" t="s">
        <v>310</v>
      </c>
      <c r="N129" t="s">
        <v>31</v>
      </c>
      <c r="O129" t="s">
        <v>31</v>
      </c>
      <c r="P129" t="s">
        <v>578</v>
      </c>
      <c r="Q129" s="3" t="s">
        <v>579</v>
      </c>
    </row>
    <row r="130" spans="1:17" ht="15.6" x14ac:dyDescent="0.3">
      <c r="A130" s="2">
        <v>46192</v>
      </c>
      <c r="B130">
        <v>511</v>
      </c>
      <c r="C130" t="s">
        <v>580</v>
      </c>
      <c r="D130" s="2">
        <v>46192</v>
      </c>
      <c r="E130" s="2">
        <v>46231</v>
      </c>
      <c r="F130" t="s">
        <v>181</v>
      </c>
      <c r="G130" t="s">
        <v>24</v>
      </c>
      <c r="H130" t="s">
        <v>581</v>
      </c>
      <c r="I130" t="s">
        <v>26</v>
      </c>
      <c r="J130" t="s">
        <v>199</v>
      </c>
      <c r="K130" t="s">
        <v>48</v>
      </c>
      <c r="L130" t="s">
        <v>29</v>
      </c>
      <c r="M130" t="s">
        <v>171</v>
      </c>
      <c r="N130" t="s">
        <v>29</v>
      </c>
      <c r="O130" t="s">
        <v>29</v>
      </c>
      <c r="P130" t="s">
        <v>64</v>
      </c>
      <c r="Q130" s="3" t="s">
        <v>582</v>
      </c>
    </row>
    <row r="131" spans="1:17" ht="15.6" x14ac:dyDescent="0.3">
      <c r="A131" s="2">
        <v>46192</v>
      </c>
      <c r="B131">
        <v>510</v>
      </c>
      <c r="C131" t="s">
        <v>583</v>
      </c>
      <c r="D131" s="2">
        <v>46192</v>
      </c>
      <c r="E131" s="2">
        <v>46226</v>
      </c>
      <c r="F131" t="s">
        <v>123</v>
      </c>
      <c r="G131" t="s">
        <v>24</v>
      </c>
      <c r="H131" t="s">
        <v>584</v>
      </c>
      <c r="I131" t="s">
        <v>26</v>
      </c>
      <c r="J131" t="s">
        <v>170</v>
      </c>
      <c r="K131" t="s">
        <v>42</v>
      </c>
      <c r="L131" t="s">
        <v>29</v>
      </c>
      <c r="M131" t="s">
        <v>171</v>
      </c>
      <c r="N131" t="s">
        <v>31</v>
      </c>
      <c r="O131" t="s">
        <v>29</v>
      </c>
      <c r="P131" t="s">
        <v>172</v>
      </c>
      <c r="Q131" s="3" t="s">
        <v>585</v>
      </c>
    </row>
    <row r="132" spans="1:17" ht="15.6" x14ac:dyDescent="0.3">
      <c r="A132" s="2">
        <v>46192</v>
      </c>
      <c r="B132">
        <v>509</v>
      </c>
      <c r="C132" t="s">
        <v>586</v>
      </c>
      <c r="D132" s="2">
        <v>46192</v>
      </c>
      <c r="E132" s="2">
        <v>46226</v>
      </c>
      <c r="F132" t="s">
        <v>23</v>
      </c>
      <c r="G132" t="s">
        <v>24</v>
      </c>
      <c r="H132" t="s">
        <v>587</v>
      </c>
      <c r="I132" t="s">
        <v>26</v>
      </c>
      <c r="J132" t="s">
        <v>383</v>
      </c>
      <c r="K132" t="s">
        <v>150</v>
      </c>
      <c r="L132" t="s">
        <v>29</v>
      </c>
      <c r="M132" t="s">
        <v>451</v>
      </c>
      <c r="N132" t="s">
        <v>29</v>
      </c>
      <c r="O132" t="s">
        <v>29</v>
      </c>
      <c r="P132" t="s">
        <v>64</v>
      </c>
      <c r="Q132" s="3" t="s">
        <v>588</v>
      </c>
    </row>
    <row r="133" spans="1:17" ht="15.6" x14ac:dyDescent="0.3">
      <c r="A133" s="2">
        <v>46192</v>
      </c>
      <c r="B133">
        <v>508</v>
      </c>
      <c r="C133" t="s">
        <v>589</v>
      </c>
      <c r="D133" s="2">
        <v>46192</v>
      </c>
      <c r="E133" s="2">
        <v>46226</v>
      </c>
      <c r="F133" t="s">
        <v>181</v>
      </c>
      <c r="G133" t="s">
        <v>147</v>
      </c>
      <c r="H133" t="s">
        <v>590</v>
      </c>
      <c r="I133" t="s">
        <v>26</v>
      </c>
      <c r="J133" t="s">
        <v>511</v>
      </c>
      <c r="K133" t="s">
        <v>42</v>
      </c>
      <c r="L133" t="s">
        <v>29</v>
      </c>
      <c r="M133" t="s">
        <v>171</v>
      </c>
      <c r="N133" t="s">
        <v>31</v>
      </c>
      <c r="O133" t="s">
        <v>29</v>
      </c>
      <c r="P133" t="s">
        <v>591</v>
      </c>
      <c r="Q133" s="3" t="s">
        <v>592</v>
      </c>
    </row>
    <row r="134" spans="1:17" ht="15.6" x14ac:dyDescent="0.3">
      <c r="A134" s="2">
        <v>46192</v>
      </c>
      <c r="B134">
        <v>507</v>
      </c>
      <c r="C134" t="s">
        <v>593</v>
      </c>
      <c r="D134" s="2">
        <v>46192</v>
      </c>
      <c r="E134" s="2">
        <v>46226</v>
      </c>
      <c r="F134" t="s">
        <v>23</v>
      </c>
      <c r="G134" t="s">
        <v>24</v>
      </c>
      <c r="H134" t="s">
        <v>594</v>
      </c>
      <c r="I134" t="s">
        <v>26</v>
      </c>
      <c r="J134" t="s">
        <v>595</v>
      </c>
      <c r="K134" t="s">
        <v>207</v>
      </c>
      <c r="L134" t="s">
        <v>29</v>
      </c>
      <c r="M134" t="s">
        <v>134</v>
      </c>
      <c r="N134" t="s">
        <v>31</v>
      </c>
      <c r="O134" t="s">
        <v>31</v>
      </c>
      <c r="P134" t="s">
        <v>596</v>
      </c>
      <c r="Q134" s="3" t="s">
        <v>597</v>
      </c>
    </row>
    <row r="135" spans="1:17" ht="15.6" x14ac:dyDescent="0.3">
      <c r="A135" s="2">
        <v>46192</v>
      </c>
      <c r="B135">
        <v>506</v>
      </c>
      <c r="C135" t="s">
        <v>598</v>
      </c>
      <c r="D135" s="2">
        <v>46192</v>
      </c>
      <c r="E135" s="2">
        <v>46226</v>
      </c>
      <c r="F135" t="s">
        <v>23</v>
      </c>
      <c r="G135" t="s">
        <v>24</v>
      </c>
      <c r="H135" t="s">
        <v>599</v>
      </c>
      <c r="I135" t="s">
        <v>26</v>
      </c>
      <c r="J135" t="s">
        <v>595</v>
      </c>
      <c r="K135" t="s">
        <v>207</v>
      </c>
      <c r="L135" t="s">
        <v>29</v>
      </c>
      <c r="M135" t="s">
        <v>600</v>
      </c>
      <c r="N135" t="s">
        <v>31</v>
      </c>
      <c r="O135" t="s">
        <v>31</v>
      </c>
      <c r="P135" t="s">
        <v>601</v>
      </c>
      <c r="Q135" s="3" t="s">
        <v>602</v>
      </c>
    </row>
    <row r="136" spans="1:17" ht="15.6" x14ac:dyDescent="0.3">
      <c r="A136" s="2">
        <v>46192</v>
      </c>
      <c r="B136">
        <v>505</v>
      </c>
      <c r="C136" t="s">
        <v>603</v>
      </c>
      <c r="D136" s="2">
        <v>46192</v>
      </c>
      <c r="E136" s="2">
        <v>46226</v>
      </c>
      <c r="F136" t="s">
        <v>23</v>
      </c>
      <c r="G136" t="s">
        <v>24</v>
      </c>
      <c r="H136" t="s">
        <v>604</v>
      </c>
      <c r="I136" t="s">
        <v>26</v>
      </c>
      <c r="J136" t="s">
        <v>595</v>
      </c>
      <c r="K136" t="s">
        <v>207</v>
      </c>
      <c r="L136" t="s">
        <v>29</v>
      </c>
      <c r="M136" t="s">
        <v>254</v>
      </c>
      <c r="N136" t="s">
        <v>31</v>
      </c>
      <c r="O136" t="s">
        <v>31</v>
      </c>
      <c r="P136" t="s">
        <v>605</v>
      </c>
      <c r="Q136" s="3" t="s">
        <v>606</v>
      </c>
    </row>
    <row r="137" spans="1:17" ht="15.6" x14ac:dyDescent="0.3">
      <c r="A137" s="2">
        <v>46192</v>
      </c>
      <c r="B137">
        <v>504</v>
      </c>
      <c r="C137" t="s">
        <v>607</v>
      </c>
      <c r="D137" s="2">
        <v>46192</v>
      </c>
      <c r="E137" s="2">
        <v>46225</v>
      </c>
      <c r="F137" t="s">
        <v>560</v>
      </c>
      <c r="G137" t="s">
        <v>24</v>
      </c>
      <c r="H137" t="s">
        <v>608</v>
      </c>
      <c r="I137" t="s">
        <v>26</v>
      </c>
      <c r="J137" t="s">
        <v>474</v>
      </c>
      <c r="K137" t="s">
        <v>184</v>
      </c>
      <c r="L137" t="s">
        <v>29</v>
      </c>
      <c r="M137" t="s">
        <v>521</v>
      </c>
      <c r="N137" t="s">
        <v>31</v>
      </c>
      <c r="O137" t="s">
        <v>29</v>
      </c>
      <c r="P137" t="s">
        <v>570</v>
      </c>
      <c r="Q137" s="3" t="s">
        <v>609</v>
      </c>
    </row>
    <row r="138" spans="1:17" ht="15.6" x14ac:dyDescent="0.3">
      <c r="A138" s="2">
        <v>46192</v>
      </c>
      <c r="B138">
        <v>503</v>
      </c>
      <c r="C138" t="s">
        <v>610</v>
      </c>
      <c r="D138" s="2">
        <v>46192</v>
      </c>
      <c r="E138" s="2">
        <v>46224</v>
      </c>
      <c r="F138" t="s">
        <v>23</v>
      </c>
      <c r="G138" t="s">
        <v>611</v>
      </c>
      <c r="H138" t="s">
        <v>612</v>
      </c>
      <c r="I138" t="s">
        <v>26</v>
      </c>
      <c r="J138" t="s">
        <v>613</v>
      </c>
      <c r="K138" t="s">
        <v>48</v>
      </c>
      <c r="L138" t="s">
        <v>29</v>
      </c>
      <c r="M138" t="s">
        <v>507</v>
      </c>
      <c r="N138" t="s">
        <v>31</v>
      </c>
      <c r="O138" t="s">
        <v>31</v>
      </c>
      <c r="P138" t="s">
        <v>614</v>
      </c>
      <c r="Q138" s="3" t="s">
        <v>615</v>
      </c>
    </row>
    <row r="139" spans="1:17" ht="15.6" x14ac:dyDescent="0.3">
      <c r="A139" s="2">
        <v>46192</v>
      </c>
      <c r="B139">
        <v>502</v>
      </c>
      <c r="C139" t="s">
        <v>616</v>
      </c>
      <c r="D139" s="2">
        <v>46192</v>
      </c>
      <c r="E139" s="2">
        <v>46224</v>
      </c>
      <c r="F139" t="s">
        <v>123</v>
      </c>
      <c r="G139" t="s">
        <v>24</v>
      </c>
      <c r="H139" t="s">
        <v>617</v>
      </c>
      <c r="I139" t="s">
        <v>26</v>
      </c>
      <c r="J139" t="s">
        <v>618</v>
      </c>
      <c r="K139" t="s">
        <v>42</v>
      </c>
      <c r="L139" t="s">
        <v>29</v>
      </c>
      <c r="M139" t="s">
        <v>619</v>
      </c>
      <c r="N139" t="s">
        <v>31</v>
      </c>
      <c r="O139" t="s">
        <v>31</v>
      </c>
      <c r="P139" t="s">
        <v>620</v>
      </c>
      <c r="Q139" s="3" t="s">
        <v>621</v>
      </c>
    </row>
    <row r="140" spans="1:17" ht="15.6" x14ac:dyDescent="0.3">
      <c r="A140" s="2">
        <v>46192</v>
      </c>
      <c r="B140">
        <v>501</v>
      </c>
      <c r="C140" t="s">
        <v>622</v>
      </c>
      <c r="D140" s="2">
        <v>46192</v>
      </c>
      <c r="E140" s="2">
        <v>46224</v>
      </c>
      <c r="F140" t="s">
        <v>123</v>
      </c>
      <c r="G140" t="s">
        <v>24</v>
      </c>
      <c r="H140" t="s">
        <v>623</v>
      </c>
      <c r="I140" t="s">
        <v>26</v>
      </c>
      <c r="J140" t="s">
        <v>624</v>
      </c>
      <c r="K140" t="s">
        <v>42</v>
      </c>
      <c r="L140" t="s">
        <v>29</v>
      </c>
      <c r="M140" t="s">
        <v>238</v>
      </c>
      <c r="N140" t="s">
        <v>31</v>
      </c>
      <c r="O140" t="s">
        <v>31</v>
      </c>
      <c r="P140" t="s">
        <v>625</v>
      </c>
      <c r="Q140" s="3" t="s">
        <v>626</v>
      </c>
    </row>
    <row r="141" spans="1:17" ht="15.6" x14ac:dyDescent="0.3">
      <c r="A141" s="2">
        <v>46192</v>
      </c>
      <c r="B141">
        <v>500</v>
      </c>
      <c r="C141" t="s">
        <v>627</v>
      </c>
      <c r="D141" s="2">
        <v>46192</v>
      </c>
      <c r="E141" s="2">
        <v>46224</v>
      </c>
      <c r="F141" t="s">
        <v>123</v>
      </c>
      <c r="G141" t="s">
        <v>24</v>
      </c>
      <c r="H141" t="s">
        <v>628</v>
      </c>
      <c r="I141" t="s">
        <v>26</v>
      </c>
      <c r="J141" t="s">
        <v>629</v>
      </c>
      <c r="K141" t="s">
        <v>62</v>
      </c>
      <c r="L141" t="s">
        <v>29</v>
      </c>
      <c r="M141" t="s">
        <v>120</v>
      </c>
      <c r="N141" t="s">
        <v>29</v>
      </c>
      <c r="O141" t="s">
        <v>29</v>
      </c>
      <c r="P141" t="s">
        <v>64</v>
      </c>
      <c r="Q141" s="3" t="s">
        <v>630</v>
      </c>
    </row>
    <row r="142" spans="1:17" ht="15.6" x14ac:dyDescent="0.3">
      <c r="A142" s="2">
        <v>46192</v>
      </c>
      <c r="B142">
        <v>499</v>
      </c>
      <c r="C142" t="s">
        <v>631</v>
      </c>
      <c r="D142" s="2">
        <v>46192</v>
      </c>
      <c r="E142" s="2">
        <v>46224</v>
      </c>
      <c r="F142" t="s">
        <v>123</v>
      </c>
      <c r="G142" t="s">
        <v>24</v>
      </c>
      <c r="H142" t="s">
        <v>632</v>
      </c>
      <c r="I142" t="s">
        <v>26</v>
      </c>
      <c r="J142" t="s">
        <v>629</v>
      </c>
      <c r="K142" t="s">
        <v>62</v>
      </c>
      <c r="L142" t="s">
        <v>29</v>
      </c>
      <c r="M142" t="s">
        <v>120</v>
      </c>
      <c r="N142" t="s">
        <v>29</v>
      </c>
      <c r="O142" t="s">
        <v>29</v>
      </c>
      <c r="P142" t="s">
        <v>64</v>
      </c>
      <c r="Q142" s="3" t="s">
        <v>633</v>
      </c>
    </row>
    <row r="143" spans="1:17" ht="15.6" x14ac:dyDescent="0.3">
      <c r="A143" s="2">
        <v>46192</v>
      </c>
      <c r="B143">
        <v>498</v>
      </c>
      <c r="C143" t="s">
        <v>634</v>
      </c>
      <c r="D143" s="2">
        <v>46192</v>
      </c>
      <c r="E143" s="2">
        <v>46224</v>
      </c>
      <c r="F143" t="s">
        <v>123</v>
      </c>
      <c r="G143" t="s">
        <v>24</v>
      </c>
      <c r="H143" t="s">
        <v>635</v>
      </c>
      <c r="I143" t="s">
        <v>26</v>
      </c>
      <c r="J143" t="s">
        <v>629</v>
      </c>
      <c r="K143" t="s">
        <v>62</v>
      </c>
      <c r="L143" t="s">
        <v>29</v>
      </c>
      <c r="M143" t="s">
        <v>120</v>
      </c>
      <c r="N143" t="s">
        <v>29</v>
      </c>
      <c r="O143" t="s">
        <v>29</v>
      </c>
      <c r="P143" t="s">
        <v>64</v>
      </c>
      <c r="Q143" s="3" t="s">
        <v>636</v>
      </c>
    </row>
    <row r="144" spans="1:17" ht="15.6" x14ac:dyDescent="0.3">
      <c r="A144" s="2">
        <v>46192</v>
      </c>
      <c r="B144">
        <v>497</v>
      </c>
      <c r="C144" t="s">
        <v>637</v>
      </c>
      <c r="D144" s="2">
        <v>46192</v>
      </c>
      <c r="E144" s="2">
        <v>46224</v>
      </c>
      <c r="F144" t="s">
        <v>123</v>
      </c>
      <c r="G144" t="s">
        <v>24</v>
      </c>
      <c r="H144" t="s">
        <v>638</v>
      </c>
      <c r="I144" t="s">
        <v>26</v>
      </c>
      <c r="J144" t="s">
        <v>629</v>
      </c>
      <c r="K144" t="s">
        <v>62</v>
      </c>
      <c r="L144" t="s">
        <v>29</v>
      </c>
      <c r="M144" t="s">
        <v>120</v>
      </c>
      <c r="N144" t="s">
        <v>29</v>
      </c>
      <c r="O144" t="s">
        <v>29</v>
      </c>
      <c r="P144" t="s">
        <v>64</v>
      </c>
      <c r="Q144" s="3" t="s">
        <v>639</v>
      </c>
    </row>
    <row r="145" spans="1:17" ht="15.6" x14ac:dyDescent="0.3">
      <c r="A145" s="2">
        <v>46192</v>
      </c>
      <c r="B145">
        <v>496</v>
      </c>
      <c r="C145" t="s">
        <v>640</v>
      </c>
      <c r="D145" s="2">
        <v>46192</v>
      </c>
      <c r="E145" s="2">
        <v>46224</v>
      </c>
      <c r="F145" t="s">
        <v>123</v>
      </c>
      <c r="G145" t="s">
        <v>24</v>
      </c>
      <c r="H145" t="s">
        <v>641</v>
      </c>
      <c r="I145" t="s">
        <v>26</v>
      </c>
      <c r="J145" t="s">
        <v>629</v>
      </c>
      <c r="K145" t="s">
        <v>62</v>
      </c>
      <c r="L145" t="s">
        <v>29</v>
      </c>
      <c r="M145" t="s">
        <v>120</v>
      </c>
      <c r="N145" t="s">
        <v>29</v>
      </c>
      <c r="O145" t="s">
        <v>29</v>
      </c>
      <c r="P145" t="s">
        <v>64</v>
      </c>
      <c r="Q145" s="3" t="s">
        <v>642</v>
      </c>
    </row>
    <row r="146" spans="1:17" ht="15.6" x14ac:dyDescent="0.3">
      <c r="A146" s="2">
        <v>46192</v>
      </c>
      <c r="B146">
        <v>495</v>
      </c>
      <c r="C146" t="s">
        <v>643</v>
      </c>
      <c r="D146" s="2">
        <v>46192</v>
      </c>
      <c r="E146" s="2">
        <v>46224</v>
      </c>
      <c r="F146" t="s">
        <v>123</v>
      </c>
      <c r="G146" t="s">
        <v>611</v>
      </c>
      <c r="H146" t="s">
        <v>644</v>
      </c>
      <c r="I146" t="s">
        <v>26</v>
      </c>
      <c r="J146" t="s">
        <v>629</v>
      </c>
      <c r="K146" t="s">
        <v>62</v>
      </c>
      <c r="L146" t="s">
        <v>29</v>
      </c>
      <c r="M146" t="s">
        <v>120</v>
      </c>
      <c r="N146" t="s">
        <v>29</v>
      </c>
      <c r="O146" t="s">
        <v>29</v>
      </c>
      <c r="P146" t="s">
        <v>64</v>
      </c>
      <c r="Q146" s="3" t="s">
        <v>645</v>
      </c>
    </row>
    <row r="147" spans="1:17" ht="15.6" x14ac:dyDescent="0.3">
      <c r="A147" s="2">
        <v>46192</v>
      </c>
      <c r="B147">
        <v>494</v>
      </c>
      <c r="C147" t="s">
        <v>646</v>
      </c>
      <c r="D147" s="2">
        <v>46192</v>
      </c>
      <c r="E147" s="2">
        <v>46224</v>
      </c>
      <c r="F147" t="s">
        <v>123</v>
      </c>
      <c r="G147" t="s">
        <v>24</v>
      </c>
      <c r="H147" t="s">
        <v>647</v>
      </c>
      <c r="I147" t="s">
        <v>26</v>
      </c>
      <c r="J147" t="s">
        <v>629</v>
      </c>
      <c r="K147" t="s">
        <v>62</v>
      </c>
      <c r="L147" t="s">
        <v>29</v>
      </c>
      <c r="M147" t="s">
        <v>120</v>
      </c>
      <c r="N147" t="s">
        <v>29</v>
      </c>
      <c r="O147" t="s">
        <v>29</v>
      </c>
      <c r="P147" t="s">
        <v>64</v>
      </c>
      <c r="Q147" s="3" t="s">
        <v>648</v>
      </c>
    </row>
    <row r="148" spans="1:17" ht="15.6" x14ac:dyDescent="0.3">
      <c r="A148" s="2">
        <v>46192</v>
      </c>
      <c r="B148">
        <v>493</v>
      </c>
      <c r="C148" t="s">
        <v>649</v>
      </c>
      <c r="D148" s="2">
        <v>46192</v>
      </c>
      <c r="E148" s="2">
        <v>46224</v>
      </c>
      <c r="F148" t="s">
        <v>123</v>
      </c>
      <c r="G148" t="s">
        <v>24</v>
      </c>
      <c r="H148" t="s">
        <v>650</v>
      </c>
      <c r="I148" t="s">
        <v>26</v>
      </c>
      <c r="J148" t="s">
        <v>629</v>
      </c>
      <c r="K148" t="s">
        <v>62</v>
      </c>
      <c r="L148" t="s">
        <v>29</v>
      </c>
      <c r="M148" t="s">
        <v>120</v>
      </c>
      <c r="N148" t="s">
        <v>31</v>
      </c>
      <c r="O148" t="s">
        <v>31</v>
      </c>
      <c r="P148" t="s">
        <v>651</v>
      </c>
      <c r="Q148" s="3" t="s">
        <v>652</v>
      </c>
    </row>
    <row r="149" spans="1:17" ht="15.6" x14ac:dyDescent="0.3">
      <c r="A149" s="2">
        <v>46192</v>
      </c>
      <c r="B149">
        <v>492</v>
      </c>
      <c r="C149" t="s">
        <v>653</v>
      </c>
      <c r="D149" s="2">
        <v>46192</v>
      </c>
      <c r="E149" s="2">
        <v>46224</v>
      </c>
      <c r="F149" t="s">
        <v>123</v>
      </c>
      <c r="G149" t="s">
        <v>24</v>
      </c>
      <c r="H149" t="s">
        <v>654</v>
      </c>
      <c r="I149" t="s">
        <v>26</v>
      </c>
      <c r="J149" t="s">
        <v>629</v>
      </c>
      <c r="K149" t="s">
        <v>62</v>
      </c>
      <c r="L149" t="s">
        <v>29</v>
      </c>
      <c r="M149" t="s">
        <v>120</v>
      </c>
      <c r="N149" t="s">
        <v>31</v>
      </c>
      <c r="O149" t="s">
        <v>31</v>
      </c>
      <c r="P149" t="s">
        <v>651</v>
      </c>
      <c r="Q149" s="3" t="s">
        <v>655</v>
      </c>
    </row>
    <row r="150" spans="1:17" ht="15.6" x14ac:dyDescent="0.3">
      <c r="A150" s="2">
        <v>46192</v>
      </c>
      <c r="B150">
        <v>491</v>
      </c>
      <c r="C150" t="s">
        <v>656</v>
      </c>
      <c r="D150" s="2">
        <v>46192</v>
      </c>
      <c r="E150" s="2">
        <v>46224</v>
      </c>
      <c r="F150" t="s">
        <v>181</v>
      </c>
      <c r="G150" t="s">
        <v>24</v>
      </c>
      <c r="H150" t="s">
        <v>657</v>
      </c>
      <c r="I150" t="s">
        <v>26</v>
      </c>
      <c r="J150" t="s">
        <v>199</v>
      </c>
      <c r="K150" t="s">
        <v>184</v>
      </c>
      <c r="L150" t="s">
        <v>29</v>
      </c>
      <c r="M150" t="s">
        <v>658</v>
      </c>
      <c r="N150" t="s">
        <v>31</v>
      </c>
      <c r="O150" t="s">
        <v>29</v>
      </c>
      <c r="P150" t="s">
        <v>659</v>
      </c>
      <c r="Q150" s="3" t="s">
        <v>660</v>
      </c>
    </row>
    <row r="151" spans="1:17" ht="15.6" x14ac:dyDescent="0.3">
      <c r="A151" s="2">
        <v>46192</v>
      </c>
      <c r="B151">
        <v>490</v>
      </c>
      <c r="C151" t="s">
        <v>661</v>
      </c>
      <c r="D151" s="2">
        <v>46192</v>
      </c>
      <c r="E151" s="2">
        <v>46223</v>
      </c>
      <c r="F151" t="s">
        <v>181</v>
      </c>
      <c r="G151" t="s">
        <v>24</v>
      </c>
      <c r="H151" t="s">
        <v>662</v>
      </c>
      <c r="I151" t="s">
        <v>26</v>
      </c>
      <c r="J151" t="s">
        <v>511</v>
      </c>
      <c r="K151" t="s">
        <v>42</v>
      </c>
      <c r="L151" t="s">
        <v>29</v>
      </c>
      <c r="M151" t="s">
        <v>663</v>
      </c>
      <c r="N151" t="s">
        <v>31</v>
      </c>
      <c r="O151" t="s">
        <v>29</v>
      </c>
      <c r="P151" t="s">
        <v>664</v>
      </c>
      <c r="Q151" s="3" t="s">
        <v>665</v>
      </c>
    </row>
    <row r="152" spans="1:17" ht="15.6" x14ac:dyDescent="0.3">
      <c r="A152" s="2">
        <v>46192</v>
      </c>
      <c r="B152">
        <v>489</v>
      </c>
      <c r="C152" t="s">
        <v>666</v>
      </c>
      <c r="D152" s="2">
        <v>46192</v>
      </c>
      <c r="E152" s="2">
        <v>46223</v>
      </c>
      <c r="F152" t="s">
        <v>181</v>
      </c>
      <c r="G152" t="s">
        <v>24</v>
      </c>
      <c r="H152" t="s">
        <v>667</v>
      </c>
      <c r="I152" t="s">
        <v>26</v>
      </c>
      <c r="J152" t="s">
        <v>511</v>
      </c>
      <c r="K152" t="s">
        <v>42</v>
      </c>
      <c r="L152" t="s">
        <v>29</v>
      </c>
      <c r="M152" t="s">
        <v>663</v>
      </c>
      <c r="N152" t="s">
        <v>31</v>
      </c>
      <c r="O152" t="s">
        <v>29</v>
      </c>
      <c r="P152" t="s">
        <v>668</v>
      </c>
      <c r="Q152" s="3" t="s">
        <v>669</v>
      </c>
    </row>
    <row r="153" spans="1:17" ht="15.6" x14ac:dyDescent="0.3">
      <c r="A153" s="2">
        <v>46192</v>
      </c>
      <c r="B153">
        <v>488</v>
      </c>
      <c r="C153" t="s">
        <v>670</v>
      </c>
      <c r="D153" s="2">
        <v>46192</v>
      </c>
      <c r="E153" s="2">
        <v>46224</v>
      </c>
      <c r="F153" t="s">
        <v>181</v>
      </c>
      <c r="G153" t="s">
        <v>147</v>
      </c>
      <c r="H153" t="s">
        <v>671</v>
      </c>
      <c r="I153" t="s">
        <v>26</v>
      </c>
      <c r="J153" t="s">
        <v>511</v>
      </c>
      <c r="K153" t="s">
        <v>42</v>
      </c>
      <c r="L153" t="s">
        <v>29</v>
      </c>
      <c r="M153" t="s">
        <v>171</v>
      </c>
      <c r="N153" t="s">
        <v>31</v>
      </c>
      <c r="O153" t="s">
        <v>29</v>
      </c>
      <c r="P153" t="s">
        <v>672</v>
      </c>
      <c r="Q153" s="3" t="s">
        <v>673</v>
      </c>
    </row>
    <row r="154" spans="1:17" ht="15.6" x14ac:dyDescent="0.3">
      <c r="A154" s="2">
        <v>46192</v>
      </c>
      <c r="B154">
        <v>487</v>
      </c>
      <c r="C154" t="s">
        <v>674</v>
      </c>
      <c r="D154" s="2">
        <v>46192</v>
      </c>
      <c r="E154" s="2">
        <v>46223</v>
      </c>
      <c r="F154" t="s">
        <v>23</v>
      </c>
      <c r="G154" t="s">
        <v>147</v>
      </c>
      <c r="H154" t="s">
        <v>675</v>
      </c>
      <c r="I154" t="s">
        <v>26</v>
      </c>
      <c r="J154" t="s">
        <v>352</v>
      </c>
      <c r="K154" t="s">
        <v>184</v>
      </c>
      <c r="L154" t="s">
        <v>29</v>
      </c>
      <c r="M154" t="s">
        <v>190</v>
      </c>
      <c r="N154" t="s">
        <v>31</v>
      </c>
      <c r="O154" t="s">
        <v>29</v>
      </c>
      <c r="P154" t="s">
        <v>676</v>
      </c>
      <c r="Q154" s="3" t="s">
        <v>677</v>
      </c>
    </row>
    <row r="155" spans="1:17" ht="15.6" x14ac:dyDescent="0.3">
      <c r="A155" s="2">
        <v>46192</v>
      </c>
      <c r="B155">
        <v>486</v>
      </c>
      <c r="C155" t="s">
        <v>678</v>
      </c>
      <c r="D155" s="2">
        <v>46192</v>
      </c>
      <c r="E155" s="2">
        <v>46223</v>
      </c>
      <c r="F155" t="s">
        <v>181</v>
      </c>
      <c r="G155" t="s">
        <v>24</v>
      </c>
      <c r="H155" t="s">
        <v>679</v>
      </c>
      <c r="I155" t="s">
        <v>26</v>
      </c>
      <c r="J155" t="s">
        <v>199</v>
      </c>
      <c r="K155" t="s">
        <v>48</v>
      </c>
      <c r="L155" t="s">
        <v>29</v>
      </c>
      <c r="M155" t="s">
        <v>171</v>
      </c>
      <c r="N155" t="s">
        <v>29</v>
      </c>
      <c r="O155" t="s">
        <v>29</v>
      </c>
      <c r="P155" t="s">
        <v>64</v>
      </c>
      <c r="Q155" s="3" t="s">
        <v>680</v>
      </c>
    </row>
    <row r="156" spans="1:17" ht="15.6" x14ac:dyDescent="0.3">
      <c r="A156" s="2">
        <v>46192</v>
      </c>
      <c r="B156">
        <v>485</v>
      </c>
      <c r="C156" t="s">
        <v>681</v>
      </c>
      <c r="D156" s="2">
        <v>46192</v>
      </c>
      <c r="E156" s="2">
        <v>46223</v>
      </c>
      <c r="F156" t="s">
        <v>23</v>
      </c>
      <c r="G156" t="s">
        <v>24</v>
      </c>
      <c r="H156" t="s">
        <v>682</v>
      </c>
      <c r="I156" t="s">
        <v>26</v>
      </c>
      <c r="J156" t="s">
        <v>520</v>
      </c>
      <c r="K156" t="s">
        <v>28</v>
      </c>
      <c r="L156" t="s">
        <v>29</v>
      </c>
      <c r="M156" t="s">
        <v>683</v>
      </c>
      <c r="N156" t="s">
        <v>31</v>
      </c>
      <c r="O156" t="s">
        <v>31</v>
      </c>
      <c r="P156" t="s">
        <v>684</v>
      </c>
      <c r="Q156" s="3" t="s">
        <v>685</v>
      </c>
    </row>
    <row r="157" spans="1:17" ht="15.6" x14ac:dyDescent="0.3">
      <c r="A157" s="2">
        <v>46192</v>
      </c>
      <c r="B157">
        <v>484</v>
      </c>
      <c r="C157" t="s">
        <v>686</v>
      </c>
      <c r="D157" s="2">
        <v>46192</v>
      </c>
      <c r="E157" s="2">
        <v>46223</v>
      </c>
      <c r="F157" t="s">
        <v>23</v>
      </c>
      <c r="G157" t="s">
        <v>147</v>
      </c>
      <c r="H157" t="s">
        <v>687</v>
      </c>
      <c r="I157" t="s">
        <v>26</v>
      </c>
      <c r="J157" t="s">
        <v>688</v>
      </c>
      <c r="K157" t="s">
        <v>150</v>
      </c>
      <c r="L157" t="s">
        <v>29</v>
      </c>
      <c r="M157" t="s">
        <v>190</v>
      </c>
      <c r="N157" t="s">
        <v>29</v>
      </c>
      <c r="O157" t="s">
        <v>29</v>
      </c>
      <c r="P157" t="s">
        <v>64</v>
      </c>
      <c r="Q157" s="3" t="s">
        <v>689</v>
      </c>
    </row>
    <row r="158" spans="1:17" ht="15.6" x14ac:dyDescent="0.3">
      <c r="A158" s="2">
        <v>46192</v>
      </c>
      <c r="B158">
        <v>483</v>
      </c>
      <c r="C158" t="s">
        <v>690</v>
      </c>
      <c r="D158" s="2">
        <v>46192</v>
      </c>
      <c r="E158" s="2">
        <v>46223</v>
      </c>
      <c r="F158" t="s">
        <v>123</v>
      </c>
      <c r="G158" t="s">
        <v>24</v>
      </c>
      <c r="H158" t="s">
        <v>691</v>
      </c>
      <c r="I158" t="s">
        <v>26</v>
      </c>
      <c r="J158" t="s">
        <v>199</v>
      </c>
      <c r="K158" t="s">
        <v>184</v>
      </c>
      <c r="L158" t="s">
        <v>29</v>
      </c>
      <c r="M158" t="s">
        <v>254</v>
      </c>
      <c r="N158" t="s">
        <v>29</v>
      </c>
      <c r="O158" t="s">
        <v>29</v>
      </c>
      <c r="P158" t="s">
        <v>64</v>
      </c>
      <c r="Q158" s="3" t="s">
        <v>692</v>
      </c>
    </row>
    <row r="159" spans="1:17" ht="15.6" x14ac:dyDescent="0.3">
      <c r="A159" s="2">
        <v>46192</v>
      </c>
      <c r="B159">
        <v>482</v>
      </c>
      <c r="C159" t="s">
        <v>693</v>
      </c>
      <c r="D159" s="2">
        <v>46192</v>
      </c>
      <c r="E159" s="2">
        <v>46220</v>
      </c>
      <c r="F159" t="s">
        <v>23</v>
      </c>
      <c r="G159" t="s">
        <v>147</v>
      </c>
      <c r="H159" t="s">
        <v>694</v>
      </c>
      <c r="I159" t="s">
        <v>26</v>
      </c>
      <c r="J159" t="s">
        <v>695</v>
      </c>
      <c r="K159" t="s">
        <v>42</v>
      </c>
      <c r="L159" t="s">
        <v>29</v>
      </c>
      <c r="M159" t="s">
        <v>238</v>
      </c>
      <c r="N159" t="s">
        <v>31</v>
      </c>
      <c r="O159" t="s">
        <v>29</v>
      </c>
      <c r="P159" t="s">
        <v>696</v>
      </c>
      <c r="Q159" s="3" t="s">
        <v>697</v>
      </c>
    </row>
    <row r="160" spans="1:17" ht="15.6" x14ac:dyDescent="0.3">
      <c r="A160" s="2">
        <v>46192</v>
      </c>
      <c r="B160">
        <v>481</v>
      </c>
      <c r="C160" t="s">
        <v>698</v>
      </c>
      <c r="D160" s="2">
        <v>46192</v>
      </c>
      <c r="E160" s="2">
        <v>46223</v>
      </c>
      <c r="F160" t="s">
        <v>123</v>
      </c>
      <c r="G160" t="s">
        <v>24</v>
      </c>
      <c r="H160" t="s">
        <v>699</v>
      </c>
      <c r="I160" t="s">
        <v>26</v>
      </c>
      <c r="J160" t="s">
        <v>700</v>
      </c>
      <c r="K160" t="s">
        <v>28</v>
      </c>
      <c r="L160" t="s">
        <v>29</v>
      </c>
      <c r="M160" t="s">
        <v>30</v>
      </c>
      <c r="N160" t="s">
        <v>29</v>
      </c>
      <c r="O160" t="s">
        <v>29</v>
      </c>
      <c r="P160" t="s">
        <v>64</v>
      </c>
      <c r="Q160" s="3" t="s">
        <v>701</v>
      </c>
    </row>
    <row r="161" spans="1:17" ht="15.6" x14ac:dyDescent="0.3">
      <c r="A161" s="2">
        <v>46192</v>
      </c>
      <c r="B161">
        <v>480</v>
      </c>
      <c r="C161" t="s">
        <v>702</v>
      </c>
      <c r="D161" s="2">
        <v>46192</v>
      </c>
      <c r="E161" s="2">
        <v>46220</v>
      </c>
      <c r="F161" t="s">
        <v>23</v>
      </c>
      <c r="G161" t="s">
        <v>147</v>
      </c>
      <c r="H161" t="s">
        <v>703</v>
      </c>
      <c r="I161" t="s">
        <v>26</v>
      </c>
      <c r="J161" t="s">
        <v>695</v>
      </c>
      <c r="K161" t="s">
        <v>42</v>
      </c>
      <c r="L161" t="s">
        <v>29</v>
      </c>
      <c r="M161" t="s">
        <v>238</v>
      </c>
      <c r="N161" t="s">
        <v>31</v>
      </c>
      <c r="O161" t="s">
        <v>31</v>
      </c>
      <c r="P161" t="s">
        <v>696</v>
      </c>
      <c r="Q161" s="3" t="s">
        <v>704</v>
      </c>
    </row>
    <row r="162" spans="1:17" ht="15.6" x14ac:dyDescent="0.3">
      <c r="A162" s="2">
        <v>46192</v>
      </c>
      <c r="B162">
        <v>479</v>
      </c>
      <c r="C162" t="s">
        <v>705</v>
      </c>
      <c r="D162" s="2">
        <v>46192</v>
      </c>
      <c r="E162" s="2">
        <v>46220</v>
      </c>
      <c r="F162" t="s">
        <v>23</v>
      </c>
      <c r="G162" t="s">
        <v>147</v>
      </c>
      <c r="H162" t="s">
        <v>706</v>
      </c>
      <c r="I162" t="s">
        <v>26</v>
      </c>
      <c r="J162" t="s">
        <v>695</v>
      </c>
      <c r="K162" t="s">
        <v>42</v>
      </c>
      <c r="L162" t="s">
        <v>29</v>
      </c>
      <c r="M162" t="s">
        <v>238</v>
      </c>
      <c r="N162" t="s">
        <v>31</v>
      </c>
      <c r="O162" t="s">
        <v>29</v>
      </c>
      <c r="P162" t="s">
        <v>707</v>
      </c>
      <c r="Q162" s="3" t="s">
        <v>708</v>
      </c>
    </row>
    <row r="163" spans="1:17" ht="15.6" x14ac:dyDescent="0.3">
      <c r="A163" s="2">
        <v>46192</v>
      </c>
      <c r="B163">
        <v>478</v>
      </c>
      <c r="C163" t="s">
        <v>709</v>
      </c>
      <c r="D163" s="2">
        <v>46192</v>
      </c>
      <c r="E163" s="2">
        <v>46220</v>
      </c>
      <c r="F163" t="s">
        <v>23</v>
      </c>
      <c r="G163" t="s">
        <v>147</v>
      </c>
      <c r="H163" t="s">
        <v>710</v>
      </c>
      <c r="I163" t="s">
        <v>26</v>
      </c>
      <c r="J163" t="s">
        <v>695</v>
      </c>
      <c r="K163" t="s">
        <v>42</v>
      </c>
      <c r="L163" t="s">
        <v>29</v>
      </c>
      <c r="M163" t="s">
        <v>238</v>
      </c>
      <c r="N163" t="s">
        <v>31</v>
      </c>
      <c r="O163" t="s">
        <v>29</v>
      </c>
      <c r="P163" t="s">
        <v>696</v>
      </c>
      <c r="Q163" s="3" t="s">
        <v>711</v>
      </c>
    </row>
    <row r="164" spans="1:17" ht="15.6" x14ac:dyDescent="0.3">
      <c r="A164" s="2">
        <v>46192</v>
      </c>
      <c r="B164">
        <v>477</v>
      </c>
      <c r="C164" t="s">
        <v>712</v>
      </c>
      <c r="D164" s="2">
        <v>46192</v>
      </c>
      <c r="E164" s="2">
        <v>46220</v>
      </c>
      <c r="F164" t="s">
        <v>23</v>
      </c>
      <c r="G164" t="s">
        <v>147</v>
      </c>
      <c r="H164" t="s">
        <v>713</v>
      </c>
      <c r="I164" t="s">
        <v>26</v>
      </c>
      <c r="J164" t="s">
        <v>695</v>
      </c>
      <c r="K164" t="s">
        <v>42</v>
      </c>
      <c r="L164" t="s">
        <v>29</v>
      </c>
      <c r="M164" t="s">
        <v>238</v>
      </c>
      <c r="N164" t="s">
        <v>31</v>
      </c>
      <c r="O164" t="s">
        <v>29</v>
      </c>
      <c r="P164" t="s">
        <v>707</v>
      </c>
      <c r="Q164" s="3" t="s">
        <v>714</v>
      </c>
    </row>
    <row r="165" spans="1:17" ht="15.6" x14ac:dyDescent="0.3">
      <c r="A165" s="2">
        <v>46192</v>
      </c>
      <c r="B165">
        <v>476</v>
      </c>
      <c r="C165" t="s">
        <v>715</v>
      </c>
      <c r="D165" s="2">
        <v>46192</v>
      </c>
      <c r="E165" s="2">
        <v>46220</v>
      </c>
      <c r="F165" t="s">
        <v>23</v>
      </c>
      <c r="G165" t="s">
        <v>147</v>
      </c>
      <c r="H165" t="s">
        <v>716</v>
      </c>
      <c r="I165" t="s">
        <v>26</v>
      </c>
      <c r="J165" t="s">
        <v>695</v>
      </c>
      <c r="K165" t="s">
        <v>42</v>
      </c>
      <c r="L165" t="s">
        <v>29</v>
      </c>
      <c r="M165" t="s">
        <v>238</v>
      </c>
      <c r="N165" t="s">
        <v>31</v>
      </c>
      <c r="O165" t="s">
        <v>29</v>
      </c>
      <c r="P165" t="s">
        <v>696</v>
      </c>
      <c r="Q165" s="3" t="s">
        <v>717</v>
      </c>
    </row>
    <row r="166" spans="1:17" ht="15.6" x14ac:dyDescent="0.3">
      <c r="A166" s="2">
        <v>46192</v>
      </c>
      <c r="B166">
        <v>475</v>
      </c>
      <c r="C166" t="s">
        <v>718</v>
      </c>
      <c r="D166" s="2">
        <v>46192</v>
      </c>
      <c r="E166" s="2">
        <v>46220</v>
      </c>
      <c r="F166" t="s">
        <v>23</v>
      </c>
      <c r="G166" t="s">
        <v>147</v>
      </c>
      <c r="H166" t="s">
        <v>719</v>
      </c>
      <c r="I166" t="s">
        <v>26</v>
      </c>
      <c r="J166" t="s">
        <v>695</v>
      </c>
      <c r="K166" t="s">
        <v>42</v>
      </c>
      <c r="L166" t="s">
        <v>29</v>
      </c>
      <c r="M166" t="s">
        <v>238</v>
      </c>
      <c r="N166" t="s">
        <v>31</v>
      </c>
      <c r="O166" t="s">
        <v>29</v>
      </c>
      <c r="P166" t="s">
        <v>707</v>
      </c>
      <c r="Q166" s="3" t="s">
        <v>720</v>
      </c>
    </row>
    <row r="167" spans="1:17" ht="15.6" x14ac:dyDescent="0.3">
      <c r="A167" s="2">
        <v>46192</v>
      </c>
      <c r="B167">
        <v>474</v>
      </c>
      <c r="C167" t="s">
        <v>721</v>
      </c>
      <c r="D167" s="2">
        <v>46192</v>
      </c>
      <c r="E167" s="2">
        <v>46220</v>
      </c>
      <c r="F167" t="s">
        <v>23</v>
      </c>
      <c r="G167" t="s">
        <v>147</v>
      </c>
      <c r="H167" t="s">
        <v>722</v>
      </c>
      <c r="I167" t="s">
        <v>26</v>
      </c>
      <c r="J167" t="s">
        <v>695</v>
      </c>
      <c r="K167" t="s">
        <v>42</v>
      </c>
      <c r="L167" t="s">
        <v>29</v>
      </c>
      <c r="M167" t="s">
        <v>238</v>
      </c>
      <c r="N167" t="s">
        <v>31</v>
      </c>
      <c r="O167" t="s">
        <v>29</v>
      </c>
      <c r="P167" t="s">
        <v>707</v>
      </c>
      <c r="Q167" s="3" t="s">
        <v>723</v>
      </c>
    </row>
    <row r="168" spans="1:17" ht="15.6" x14ac:dyDescent="0.3">
      <c r="A168" s="2">
        <v>46192</v>
      </c>
      <c r="B168">
        <v>473</v>
      </c>
      <c r="C168" t="s">
        <v>724</v>
      </c>
      <c r="D168" s="2">
        <v>46192</v>
      </c>
      <c r="E168" s="2">
        <v>46220</v>
      </c>
      <c r="F168" t="s">
        <v>23</v>
      </c>
      <c r="G168" t="s">
        <v>147</v>
      </c>
      <c r="H168" t="s">
        <v>694</v>
      </c>
      <c r="I168" t="s">
        <v>26</v>
      </c>
      <c r="J168" t="s">
        <v>695</v>
      </c>
      <c r="K168" t="s">
        <v>42</v>
      </c>
      <c r="L168" t="s">
        <v>29</v>
      </c>
      <c r="M168" t="s">
        <v>238</v>
      </c>
      <c r="N168" t="s">
        <v>31</v>
      </c>
      <c r="O168" t="s">
        <v>29</v>
      </c>
      <c r="P168" t="s">
        <v>696</v>
      </c>
      <c r="Q168" s="3" t="s">
        <v>725</v>
      </c>
    </row>
    <row r="169" spans="1:17" ht="15.6" x14ac:dyDescent="0.3">
      <c r="A169" s="2">
        <v>46192</v>
      </c>
      <c r="B169">
        <v>472</v>
      </c>
      <c r="C169" t="s">
        <v>726</v>
      </c>
      <c r="D169" s="2">
        <v>46192</v>
      </c>
      <c r="E169" s="2">
        <v>46220</v>
      </c>
      <c r="F169" t="s">
        <v>23</v>
      </c>
      <c r="G169" t="s">
        <v>147</v>
      </c>
      <c r="H169" t="s">
        <v>727</v>
      </c>
      <c r="I169" t="s">
        <v>26</v>
      </c>
      <c r="J169" t="s">
        <v>695</v>
      </c>
      <c r="K169" t="s">
        <v>42</v>
      </c>
      <c r="L169" t="s">
        <v>29</v>
      </c>
      <c r="M169" t="s">
        <v>238</v>
      </c>
      <c r="N169" t="s">
        <v>31</v>
      </c>
      <c r="O169" t="s">
        <v>29</v>
      </c>
      <c r="P169" t="s">
        <v>707</v>
      </c>
      <c r="Q169" s="3" t="s">
        <v>728</v>
      </c>
    </row>
    <row r="170" spans="1:17" ht="15.6" x14ac:dyDescent="0.3">
      <c r="A170" s="2">
        <v>46192</v>
      </c>
      <c r="B170">
        <v>471</v>
      </c>
      <c r="C170" t="s">
        <v>729</v>
      </c>
      <c r="D170" s="2">
        <v>46192</v>
      </c>
      <c r="E170" s="2">
        <v>46220</v>
      </c>
      <c r="F170" t="s">
        <v>23</v>
      </c>
      <c r="G170" t="s">
        <v>147</v>
      </c>
      <c r="H170" t="s">
        <v>694</v>
      </c>
      <c r="I170" t="s">
        <v>26</v>
      </c>
      <c r="J170" t="s">
        <v>695</v>
      </c>
      <c r="K170" t="s">
        <v>42</v>
      </c>
      <c r="L170" t="s">
        <v>29</v>
      </c>
      <c r="M170" t="s">
        <v>238</v>
      </c>
      <c r="N170" t="s">
        <v>31</v>
      </c>
      <c r="O170" t="s">
        <v>29</v>
      </c>
      <c r="P170" t="s">
        <v>696</v>
      </c>
      <c r="Q170" s="3" t="s">
        <v>730</v>
      </c>
    </row>
    <row r="171" spans="1:17" ht="15.6" x14ac:dyDescent="0.3">
      <c r="A171" s="2">
        <v>46192</v>
      </c>
      <c r="B171">
        <v>470</v>
      </c>
      <c r="C171" t="s">
        <v>731</v>
      </c>
      <c r="D171" s="2">
        <v>46192</v>
      </c>
      <c r="E171" s="2">
        <v>46220</v>
      </c>
      <c r="F171" t="s">
        <v>23</v>
      </c>
      <c r="G171" t="s">
        <v>147</v>
      </c>
      <c r="H171" t="s">
        <v>732</v>
      </c>
      <c r="I171" t="s">
        <v>26</v>
      </c>
      <c r="J171" t="s">
        <v>695</v>
      </c>
      <c r="K171" t="s">
        <v>42</v>
      </c>
      <c r="L171" t="s">
        <v>29</v>
      </c>
      <c r="M171" t="s">
        <v>238</v>
      </c>
      <c r="N171" t="s">
        <v>31</v>
      </c>
      <c r="O171" t="s">
        <v>29</v>
      </c>
      <c r="P171" t="s">
        <v>696</v>
      </c>
      <c r="Q171" s="3" t="s">
        <v>733</v>
      </c>
    </row>
    <row r="172" spans="1:17" ht="15.6" x14ac:dyDescent="0.3">
      <c r="A172" s="2">
        <v>46192</v>
      </c>
      <c r="B172">
        <v>469</v>
      </c>
      <c r="C172" t="s">
        <v>734</v>
      </c>
      <c r="D172" s="2">
        <v>46192</v>
      </c>
      <c r="E172" s="2">
        <v>46220</v>
      </c>
      <c r="F172" t="s">
        <v>23</v>
      </c>
      <c r="G172" t="s">
        <v>147</v>
      </c>
      <c r="H172" t="s">
        <v>735</v>
      </c>
      <c r="I172" t="s">
        <v>26</v>
      </c>
      <c r="J172" t="s">
        <v>695</v>
      </c>
      <c r="K172" t="s">
        <v>42</v>
      </c>
      <c r="L172" t="s">
        <v>29</v>
      </c>
      <c r="M172" t="s">
        <v>238</v>
      </c>
      <c r="N172" t="s">
        <v>31</v>
      </c>
      <c r="O172" t="s">
        <v>29</v>
      </c>
      <c r="P172" t="s">
        <v>707</v>
      </c>
      <c r="Q172" s="3" t="s">
        <v>736</v>
      </c>
    </row>
    <row r="173" spans="1:17" ht="15.6" x14ac:dyDescent="0.3">
      <c r="A173" s="2">
        <v>46192</v>
      </c>
      <c r="B173">
        <v>468</v>
      </c>
      <c r="C173" t="s">
        <v>737</v>
      </c>
      <c r="D173" s="2">
        <v>46192</v>
      </c>
      <c r="E173" s="2">
        <v>46220</v>
      </c>
      <c r="F173" t="s">
        <v>23</v>
      </c>
      <c r="G173" t="s">
        <v>147</v>
      </c>
      <c r="H173" t="s">
        <v>738</v>
      </c>
      <c r="I173" t="s">
        <v>26</v>
      </c>
      <c r="J173" t="s">
        <v>695</v>
      </c>
      <c r="K173" t="s">
        <v>42</v>
      </c>
      <c r="L173" t="s">
        <v>29</v>
      </c>
      <c r="M173" t="s">
        <v>238</v>
      </c>
      <c r="N173" t="s">
        <v>31</v>
      </c>
      <c r="O173" t="s">
        <v>29</v>
      </c>
      <c r="P173" t="s">
        <v>696</v>
      </c>
      <c r="Q173" s="3" t="s">
        <v>739</v>
      </c>
    </row>
    <row r="174" spans="1:17" ht="15.6" x14ac:dyDescent="0.3">
      <c r="A174" s="2">
        <v>46192</v>
      </c>
      <c r="B174">
        <v>467</v>
      </c>
      <c r="C174" t="s">
        <v>740</v>
      </c>
      <c r="D174" s="2">
        <v>46192</v>
      </c>
      <c r="E174" s="2">
        <v>46220</v>
      </c>
      <c r="F174" t="s">
        <v>23</v>
      </c>
      <c r="G174" t="s">
        <v>147</v>
      </c>
      <c r="H174" t="s">
        <v>741</v>
      </c>
      <c r="I174" t="s">
        <v>26</v>
      </c>
      <c r="J174" t="s">
        <v>695</v>
      </c>
      <c r="K174" t="s">
        <v>42</v>
      </c>
      <c r="L174" t="s">
        <v>29</v>
      </c>
      <c r="M174" t="s">
        <v>238</v>
      </c>
      <c r="N174" t="s">
        <v>31</v>
      </c>
      <c r="O174" t="s">
        <v>29</v>
      </c>
      <c r="P174" t="s">
        <v>707</v>
      </c>
      <c r="Q174" s="3" t="s">
        <v>742</v>
      </c>
    </row>
    <row r="175" spans="1:17" ht="15.6" x14ac:dyDescent="0.3">
      <c r="A175" s="2">
        <v>46192</v>
      </c>
      <c r="B175">
        <v>466</v>
      </c>
      <c r="C175" t="s">
        <v>743</v>
      </c>
      <c r="D175" s="2">
        <v>46192</v>
      </c>
      <c r="E175" s="2">
        <v>46220</v>
      </c>
      <c r="F175" t="s">
        <v>23</v>
      </c>
      <c r="G175" t="s">
        <v>147</v>
      </c>
      <c r="H175" t="s">
        <v>744</v>
      </c>
      <c r="I175" t="s">
        <v>26</v>
      </c>
      <c r="J175" t="s">
        <v>695</v>
      </c>
      <c r="K175" t="s">
        <v>42</v>
      </c>
      <c r="L175" t="s">
        <v>29</v>
      </c>
      <c r="M175" t="s">
        <v>238</v>
      </c>
      <c r="N175" t="s">
        <v>31</v>
      </c>
      <c r="O175" t="s">
        <v>29</v>
      </c>
      <c r="P175" t="s">
        <v>696</v>
      </c>
      <c r="Q175" s="3" t="s">
        <v>745</v>
      </c>
    </row>
    <row r="176" spans="1:17" ht="15.6" x14ac:dyDescent="0.3">
      <c r="A176" s="2">
        <v>46192</v>
      </c>
      <c r="B176">
        <v>465</v>
      </c>
      <c r="C176" t="s">
        <v>746</v>
      </c>
      <c r="D176" s="2">
        <v>46192</v>
      </c>
      <c r="E176" s="2">
        <v>46220</v>
      </c>
      <c r="F176" t="s">
        <v>23</v>
      </c>
      <c r="G176" t="s">
        <v>147</v>
      </c>
      <c r="H176" t="s">
        <v>747</v>
      </c>
      <c r="I176" t="s">
        <v>26</v>
      </c>
      <c r="J176" t="s">
        <v>695</v>
      </c>
      <c r="K176" t="s">
        <v>42</v>
      </c>
      <c r="L176" t="s">
        <v>29</v>
      </c>
      <c r="M176" t="s">
        <v>238</v>
      </c>
      <c r="N176" t="s">
        <v>31</v>
      </c>
      <c r="O176" t="s">
        <v>29</v>
      </c>
      <c r="P176" t="s">
        <v>707</v>
      </c>
      <c r="Q176" s="3" t="s">
        <v>748</v>
      </c>
    </row>
    <row r="177" spans="1:17" ht="15.6" x14ac:dyDescent="0.3">
      <c r="A177" s="2">
        <v>46192</v>
      </c>
      <c r="B177">
        <v>464</v>
      </c>
      <c r="C177" t="s">
        <v>749</v>
      </c>
      <c r="D177" s="2">
        <v>46192</v>
      </c>
      <c r="E177" s="2">
        <v>46220</v>
      </c>
      <c r="F177" t="s">
        <v>23</v>
      </c>
      <c r="G177" t="s">
        <v>147</v>
      </c>
      <c r="H177" t="s">
        <v>750</v>
      </c>
      <c r="I177" t="s">
        <v>26</v>
      </c>
      <c r="J177" t="s">
        <v>695</v>
      </c>
      <c r="K177" t="s">
        <v>42</v>
      </c>
      <c r="L177" t="s">
        <v>29</v>
      </c>
      <c r="M177" t="s">
        <v>238</v>
      </c>
      <c r="N177" t="s">
        <v>31</v>
      </c>
      <c r="O177" t="s">
        <v>29</v>
      </c>
      <c r="P177" t="s">
        <v>707</v>
      </c>
      <c r="Q177" s="3" t="s">
        <v>751</v>
      </c>
    </row>
    <row r="178" spans="1:17" ht="15.6" x14ac:dyDescent="0.3">
      <c r="A178" s="2">
        <v>46192</v>
      </c>
      <c r="B178">
        <v>463</v>
      </c>
      <c r="C178" t="s">
        <v>752</v>
      </c>
      <c r="D178" s="2">
        <v>46192</v>
      </c>
      <c r="E178" s="2">
        <v>46220</v>
      </c>
      <c r="F178" t="s">
        <v>23</v>
      </c>
      <c r="G178" t="s">
        <v>147</v>
      </c>
      <c r="H178" t="s">
        <v>753</v>
      </c>
      <c r="I178" t="s">
        <v>26</v>
      </c>
      <c r="J178" t="s">
        <v>695</v>
      </c>
      <c r="K178" t="s">
        <v>42</v>
      </c>
      <c r="L178" t="s">
        <v>29</v>
      </c>
      <c r="M178" t="s">
        <v>238</v>
      </c>
      <c r="N178" t="s">
        <v>31</v>
      </c>
      <c r="O178" t="s">
        <v>29</v>
      </c>
      <c r="P178" t="s">
        <v>696</v>
      </c>
      <c r="Q178" s="3" t="s">
        <v>754</v>
      </c>
    </row>
    <row r="179" spans="1:17" ht="15.6" x14ac:dyDescent="0.3">
      <c r="A179" s="2">
        <v>46192</v>
      </c>
      <c r="B179">
        <v>462</v>
      </c>
      <c r="C179" t="s">
        <v>755</v>
      </c>
      <c r="D179" s="2">
        <v>46192</v>
      </c>
      <c r="E179" s="2">
        <v>46220</v>
      </c>
      <c r="F179" t="s">
        <v>23</v>
      </c>
      <c r="G179" t="s">
        <v>147</v>
      </c>
      <c r="H179" t="s">
        <v>756</v>
      </c>
      <c r="I179" t="s">
        <v>26</v>
      </c>
      <c r="J179" t="s">
        <v>695</v>
      </c>
      <c r="K179" t="s">
        <v>42</v>
      </c>
      <c r="L179" t="s">
        <v>29</v>
      </c>
      <c r="M179" t="s">
        <v>238</v>
      </c>
      <c r="N179" t="s">
        <v>31</v>
      </c>
      <c r="O179" t="s">
        <v>29</v>
      </c>
      <c r="P179" t="s">
        <v>707</v>
      </c>
      <c r="Q179" s="3" t="s">
        <v>757</v>
      </c>
    </row>
    <row r="180" spans="1:17" ht="15.6" x14ac:dyDescent="0.3">
      <c r="A180" s="2">
        <v>46192</v>
      </c>
      <c r="B180">
        <v>461</v>
      </c>
      <c r="C180" t="s">
        <v>758</v>
      </c>
      <c r="D180" s="2">
        <v>46192</v>
      </c>
      <c r="E180" s="2">
        <v>46220</v>
      </c>
      <c r="F180" t="s">
        <v>23</v>
      </c>
      <c r="G180" t="s">
        <v>147</v>
      </c>
      <c r="H180" t="s">
        <v>759</v>
      </c>
      <c r="I180" t="s">
        <v>26</v>
      </c>
      <c r="J180" t="s">
        <v>695</v>
      </c>
      <c r="K180" t="s">
        <v>42</v>
      </c>
      <c r="L180" t="s">
        <v>29</v>
      </c>
      <c r="M180" t="s">
        <v>238</v>
      </c>
      <c r="N180" t="s">
        <v>31</v>
      </c>
      <c r="O180" t="s">
        <v>29</v>
      </c>
      <c r="P180" t="s">
        <v>696</v>
      </c>
      <c r="Q180" s="3" t="s">
        <v>760</v>
      </c>
    </row>
    <row r="181" spans="1:17" ht="15.6" x14ac:dyDescent="0.3">
      <c r="A181" s="2">
        <v>46192</v>
      </c>
      <c r="B181">
        <v>460</v>
      </c>
      <c r="C181" t="s">
        <v>761</v>
      </c>
      <c r="D181" s="2">
        <v>46192</v>
      </c>
      <c r="E181" s="2">
        <v>46220</v>
      </c>
      <c r="F181" t="s">
        <v>23</v>
      </c>
      <c r="G181" t="s">
        <v>147</v>
      </c>
      <c r="H181" t="s">
        <v>762</v>
      </c>
      <c r="I181" t="s">
        <v>26</v>
      </c>
      <c r="J181" t="s">
        <v>695</v>
      </c>
      <c r="K181" t="s">
        <v>42</v>
      </c>
      <c r="L181" t="s">
        <v>29</v>
      </c>
      <c r="M181" t="s">
        <v>238</v>
      </c>
      <c r="N181" t="s">
        <v>31</v>
      </c>
      <c r="O181" t="s">
        <v>29</v>
      </c>
      <c r="P181" t="s">
        <v>696</v>
      </c>
      <c r="Q181" s="3" t="s">
        <v>763</v>
      </c>
    </row>
    <row r="182" spans="1:17" ht="15.6" x14ac:dyDescent="0.3">
      <c r="A182" s="2">
        <v>46192</v>
      </c>
      <c r="B182">
        <v>459</v>
      </c>
      <c r="C182" t="s">
        <v>764</v>
      </c>
      <c r="D182" s="2">
        <v>46192</v>
      </c>
      <c r="E182" s="2">
        <v>46220</v>
      </c>
      <c r="F182" t="s">
        <v>23</v>
      </c>
      <c r="G182" t="s">
        <v>147</v>
      </c>
      <c r="H182" t="s">
        <v>765</v>
      </c>
      <c r="I182" t="s">
        <v>26</v>
      </c>
      <c r="J182" t="s">
        <v>695</v>
      </c>
      <c r="K182" t="s">
        <v>42</v>
      </c>
      <c r="L182" t="s">
        <v>29</v>
      </c>
      <c r="M182" t="s">
        <v>238</v>
      </c>
      <c r="N182" t="s">
        <v>31</v>
      </c>
      <c r="O182" t="s">
        <v>29</v>
      </c>
      <c r="P182" t="s">
        <v>696</v>
      </c>
      <c r="Q182" s="3" t="s">
        <v>766</v>
      </c>
    </row>
    <row r="183" spans="1:17" ht="15.6" x14ac:dyDescent="0.3">
      <c r="A183" s="2">
        <v>46192</v>
      </c>
      <c r="B183">
        <v>458</v>
      </c>
      <c r="C183" t="s">
        <v>767</v>
      </c>
      <c r="D183" s="2">
        <v>46192</v>
      </c>
      <c r="E183" s="2">
        <v>46220</v>
      </c>
      <c r="F183" t="s">
        <v>23</v>
      </c>
      <c r="G183" t="s">
        <v>147</v>
      </c>
      <c r="H183" t="s">
        <v>768</v>
      </c>
      <c r="I183" t="s">
        <v>26</v>
      </c>
      <c r="J183" t="s">
        <v>695</v>
      </c>
      <c r="K183" t="s">
        <v>42</v>
      </c>
      <c r="L183" t="s">
        <v>29</v>
      </c>
      <c r="M183" t="s">
        <v>238</v>
      </c>
      <c r="N183" t="s">
        <v>31</v>
      </c>
      <c r="O183" t="s">
        <v>29</v>
      </c>
      <c r="P183" t="s">
        <v>696</v>
      </c>
      <c r="Q183" s="3" t="s">
        <v>769</v>
      </c>
    </row>
    <row r="184" spans="1:17" ht="15.6" x14ac:dyDescent="0.3">
      <c r="A184" s="2">
        <v>46192</v>
      </c>
      <c r="B184">
        <v>457</v>
      </c>
      <c r="C184" t="s">
        <v>770</v>
      </c>
      <c r="D184" s="2">
        <v>46192</v>
      </c>
      <c r="E184" s="2">
        <v>46220</v>
      </c>
      <c r="F184" t="s">
        <v>23</v>
      </c>
      <c r="G184" t="s">
        <v>147</v>
      </c>
      <c r="H184" t="s">
        <v>771</v>
      </c>
      <c r="I184" t="s">
        <v>26</v>
      </c>
      <c r="J184" t="s">
        <v>695</v>
      </c>
      <c r="K184" t="s">
        <v>42</v>
      </c>
      <c r="L184" t="s">
        <v>29</v>
      </c>
      <c r="M184" t="s">
        <v>238</v>
      </c>
      <c r="N184" t="s">
        <v>31</v>
      </c>
      <c r="O184" t="s">
        <v>29</v>
      </c>
      <c r="P184" t="s">
        <v>707</v>
      </c>
      <c r="Q184" s="3" t="s">
        <v>772</v>
      </c>
    </row>
    <row r="185" spans="1:17" ht="15.6" x14ac:dyDescent="0.3">
      <c r="A185" s="2">
        <v>46192</v>
      </c>
      <c r="B185">
        <v>456</v>
      </c>
      <c r="C185" t="s">
        <v>773</v>
      </c>
      <c r="D185" s="2">
        <v>46192</v>
      </c>
      <c r="E185" s="2">
        <v>46220</v>
      </c>
      <c r="F185" t="s">
        <v>23</v>
      </c>
      <c r="G185" t="s">
        <v>147</v>
      </c>
      <c r="H185" t="s">
        <v>774</v>
      </c>
      <c r="I185" t="s">
        <v>26</v>
      </c>
      <c r="J185" t="s">
        <v>695</v>
      </c>
      <c r="K185" t="s">
        <v>42</v>
      </c>
      <c r="L185" t="s">
        <v>29</v>
      </c>
      <c r="M185" t="s">
        <v>238</v>
      </c>
      <c r="N185" t="s">
        <v>31</v>
      </c>
      <c r="O185" t="s">
        <v>29</v>
      </c>
      <c r="P185" t="s">
        <v>696</v>
      </c>
      <c r="Q185" s="3" t="s">
        <v>775</v>
      </c>
    </row>
    <row r="186" spans="1:17" ht="15.6" x14ac:dyDescent="0.3">
      <c r="A186" s="2">
        <v>46192</v>
      </c>
      <c r="B186">
        <v>455</v>
      </c>
      <c r="C186" t="s">
        <v>776</v>
      </c>
      <c r="D186" s="2">
        <v>46192</v>
      </c>
      <c r="E186" s="2">
        <v>46220</v>
      </c>
      <c r="F186" t="s">
        <v>23</v>
      </c>
      <c r="G186" t="s">
        <v>147</v>
      </c>
      <c r="H186" t="s">
        <v>777</v>
      </c>
      <c r="I186" t="s">
        <v>26</v>
      </c>
      <c r="J186" t="s">
        <v>695</v>
      </c>
      <c r="K186" t="s">
        <v>42</v>
      </c>
      <c r="L186" t="s">
        <v>29</v>
      </c>
      <c r="M186" t="s">
        <v>238</v>
      </c>
      <c r="N186" t="s">
        <v>31</v>
      </c>
      <c r="O186" t="s">
        <v>29</v>
      </c>
      <c r="P186" t="s">
        <v>707</v>
      </c>
      <c r="Q186" s="3" t="s">
        <v>778</v>
      </c>
    </row>
    <row r="187" spans="1:17" ht="15.6" x14ac:dyDescent="0.3">
      <c r="A187" s="2">
        <v>46192</v>
      </c>
      <c r="B187">
        <v>454</v>
      </c>
      <c r="C187" t="s">
        <v>779</v>
      </c>
      <c r="D187" s="2">
        <v>46192</v>
      </c>
      <c r="E187" s="2">
        <v>46220</v>
      </c>
      <c r="F187" t="s">
        <v>23</v>
      </c>
      <c r="G187" t="s">
        <v>147</v>
      </c>
      <c r="H187" t="s">
        <v>780</v>
      </c>
      <c r="I187" t="s">
        <v>26</v>
      </c>
      <c r="J187" t="s">
        <v>695</v>
      </c>
      <c r="K187" t="s">
        <v>42</v>
      </c>
      <c r="L187" t="s">
        <v>29</v>
      </c>
      <c r="M187" t="s">
        <v>238</v>
      </c>
      <c r="N187" t="s">
        <v>31</v>
      </c>
      <c r="O187" t="s">
        <v>29</v>
      </c>
      <c r="P187" t="s">
        <v>707</v>
      </c>
      <c r="Q187" s="3" t="s">
        <v>781</v>
      </c>
    </row>
    <row r="188" spans="1:17" ht="15.6" x14ac:dyDescent="0.3">
      <c r="A188" s="2">
        <v>46192</v>
      </c>
      <c r="B188">
        <v>453</v>
      </c>
      <c r="C188" t="s">
        <v>782</v>
      </c>
      <c r="D188" s="2">
        <v>46192</v>
      </c>
      <c r="E188" s="2">
        <v>46220</v>
      </c>
      <c r="F188" t="s">
        <v>123</v>
      </c>
      <c r="G188" t="s">
        <v>24</v>
      </c>
      <c r="H188" t="s">
        <v>783</v>
      </c>
      <c r="I188" t="s">
        <v>26</v>
      </c>
      <c r="J188" t="s">
        <v>784</v>
      </c>
      <c r="K188" t="s">
        <v>379</v>
      </c>
      <c r="L188" t="s">
        <v>29</v>
      </c>
      <c r="M188" t="s">
        <v>254</v>
      </c>
      <c r="N188" t="s">
        <v>31</v>
      </c>
      <c r="O188" t="s">
        <v>29</v>
      </c>
      <c r="P188" t="s">
        <v>785</v>
      </c>
      <c r="Q188" s="3" t="s">
        <v>786</v>
      </c>
    </row>
    <row r="189" spans="1:17" ht="15.6" x14ac:dyDescent="0.3">
      <c r="A189" s="2">
        <v>46192</v>
      </c>
      <c r="B189">
        <v>452</v>
      </c>
      <c r="C189" t="s">
        <v>787</v>
      </c>
      <c r="D189" s="2">
        <v>46192</v>
      </c>
      <c r="E189" s="2">
        <v>46220</v>
      </c>
      <c r="F189" t="s">
        <v>123</v>
      </c>
      <c r="G189" t="s">
        <v>24</v>
      </c>
      <c r="H189" t="s">
        <v>788</v>
      </c>
      <c r="I189" t="s">
        <v>26</v>
      </c>
      <c r="J189" t="s">
        <v>789</v>
      </c>
      <c r="K189" t="s">
        <v>42</v>
      </c>
      <c r="L189" t="s">
        <v>29</v>
      </c>
      <c r="M189" t="s">
        <v>233</v>
      </c>
      <c r="N189" t="s">
        <v>29</v>
      </c>
      <c r="O189" t="s">
        <v>29</v>
      </c>
      <c r="P189" t="s">
        <v>64</v>
      </c>
      <c r="Q189" s="3" t="s">
        <v>790</v>
      </c>
    </row>
    <row r="190" spans="1:17" ht="15.6" x14ac:dyDescent="0.3">
      <c r="A190" s="2">
        <v>46192</v>
      </c>
      <c r="B190">
        <v>451</v>
      </c>
      <c r="C190" t="s">
        <v>791</v>
      </c>
      <c r="D190" s="2">
        <v>46192</v>
      </c>
      <c r="E190" s="2">
        <v>46220</v>
      </c>
      <c r="F190" t="s">
        <v>123</v>
      </c>
      <c r="G190" t="s">
        <v>24</v>
      </c>
      <c r="H190" t="s">
        <v>792</v>
      </c>
      <c r="I190" t="s">
        <v>26</v>
      </c>
      <c r="J190" t="s">
        <v>793</v>
      </c>
      <c r="K190" t="s">
        <v>42</v>
      </c>
      <c r="L190" t="s">
        <v>29</v>
      </c>
      <c r="M190" t="s">
        <v>356</v>
      </c>
      <c r="N190" t="s">
        <v>29</v>
      </c>
      <c r="O190" t="s">
        <v>29</v>
      </c>
      <c r="P190" t="s">
        <v>64</v>
      </c>
      <c r="Q190" s="3" t="s">
        <v>794</v>
      </c>
    </row>
    <row r="191" spans="1:17" ht="15.6" x14ac:dyDescent="0.3">
      <c r="A191" s="2">
        <v>46192</v>
      </c>
      <c r="B191">
        <v>450</v>
      </c>
      <c r="C191" t="s">
        <v>795</v>
      </c>
      <c r="D191" s="2">
        <v>46192</v>
      </c>
      <c r="E191" s="2">
        <v>46219</v>
      </c>
      <c r="F191" t="s">
        <v>123</v>
      </c>
      <c r="G191" t="s">
        <v>24</v>
      </c>
      <c r="H191" t="s">
        <v>796</v>
      </c>
      <c r="I191" t="s">
        <v>26</v>
      </c>
      <c r="J191" t="s">
        <v>797</v>
      </c>
      <c r="K191" t="s">
        <v>184</v>
      </c>
      <c r="L191" t="s">
        <v>29</v>
      </c>
      <c r="M191" t="s">
        <v>171</v>
      </c>
      <c r="N191" t="s">
        <v>31</v>
      </c>
      <c r="O191" t="s">
        <v>31</v>
      </c>
      <c r="P191" t="s">
        <v>798</v>
      </c>
      <c r="Q191" s="3" t="s">
        <v>799</v>
      </c>
    </row>
    <row r="192" spans="1:17" ht="15.6" x14ac:dyDescent="0.3">
      <c r="A192" s="2">
        <v>46192</v>
      </c>
      <c r="B192">
        <v>449</v>
      </c>
      <c r="C192" t="s">
        <v>800</v>
      </c>
      <c r="D192" s="2">
        <v>46192</v>
      </c>
      <c r="E192" s="2">
        <v>46219</v>
      </c>
      <c r="F192" t="s">
        <v>181</v>
      </c>
      <c r="G192" t="s">
        <v>227</v>
      </c>
      <c r="H192" t="s">
        <v>801</v>
      </c>
      <c r="I192" t="s">
        <v>26</v>
      </c>
      <c r="J192" t="s">
        <v>199</v>
      </c>
      <c r="K192" t="s">
        <v>48</v>
      </c>
      <c r="L192" t="s">
        <v>29</v>
      </c>
      <c r="M192" t="s">
        <v>171</v>
      </c>
      <c r="N192" t="s">
        <v>29</v>
      </c>
      <c r="O192" t="s">
        <v>29</v>
      </c>
      <c r="P192" t="s">
        <v>64</v>
      </c>
      <c r="Q192" s="3" t="s">
        <v>802</v>
      </c>
    </row>
    <row r="193" spans="1:17" ht="15.6" x14ac:dyDescent="0.3">
      <c r="A193" s="2">
        <v>46192</v>
      </c>
      <c r="B193">
        <v>448</v>
      </c>
      <c r="C193" t="s">
        <v>803</v>
      </c>
      <c r="D193" s="2">
        <v>46192</v>
      </c>
      <c r="E193" s="2">
        <v>46220</v>
      </c>
      <c r="F193" t="s">
        <v>123</v>
      </c>
      <c r="G193" t="s">
        <v>24</v>
      </c>
      <c r="H193" t="s">
        <v>804</v>
      </c>
      <c r="I193" t="s">
        <v>26</v>
      </c>
      <c r="J193" t="s">
        <v>805</v>
      </c>
      <c r="K193" t="s">
        <v>379</v>
      </c>
      <c r="L193" t="s">
        <v>29</v>
      </c>
      <c r="M193" t="s">
        <v>356</v>
      </c>
      <c r="N193" t="s">
        <v>29</v>
      </c>
      <c r="O193" t="s">
        <v>29</v>
      </c>
      <c r="P193" t="s">
        <v>64</v>
      </c>
      <c r="Q193" s="3" t="s">
        <v>806</v>
      </c>
    </row>
    <row r="194" spans="1:17" ht="15.6" x14ac:dyDescent="0.3">
      <c r="A194" s="2">
        <v>46192</v>
      </c>
      <c r="B194">
        <v>447</v>
      </c>
      <c r="C194" t="s">
        <v>807</v>
      </c>
      <c r="D194" s="2">
        <v>46192</v>
      </c>
      <c r="E194" s="2">
        <v>46220</v>
      </c>
      <c r="F194" t="s">
        <v>181</v>
      </c>
      <c r="G194" t="s">
        <v>147</v>
      </c>
      <c r="H194" t="s">
        <v>808</v>
      </c>
      <c r="I194" t="s">
        <v>26</v>
      </c>
      <c r="J194" t="s">
        <v>695</v>
      </c>
      <c r="K194" t="s">
        <v>42</v>
      </c>
      <c r="L194" t="s">
        <v>29</v>
      </c>
      <c r="M194" t="s">
        <v>238</v>
      </c>
      <c r="N194" t="s">
        <v>31</v>
      </c>
      <c r="O194" t="s">
        <v>29</v>
      </c>
      <c r="P194" t="s">
        <v>707</v>
      </c>
      <c r="Q194" s="3" t="s">
        <v>809</v>
      </c>
    </row>
    <row r="195" spans="1:17" ht="15.6" x14ac:dyDescent="0.3">
      <c r="A195" s="2">
        <v>46192</v>
      </c>
      <c r="B195">
        <v>446</v>
      </c>
      <c r="C195" t="s">
        <v>810</v>
      </c>
      <c r="D195" s="2">
        <v>46192</v>
      </c>
      <c r="E195" s="2">
        <v>46220</v>
      </c>
      <c r="F195" t="s">
        <v>181</v>
      </c>
      <c r="G195" t="s">
        <v>24</v>
      </c>
      <c r="H195" t="s">
        <v>811</v>
      </c>
      <c r="I195" t="s">
        <v>26</v>
      </c>
      <c r="J195" t="s">
        <v>812</v>
      </c>
      <c r="K195" t="s">
        <v>127</v>
      </c>
      <c r="L195" t="s">
        <v>29</v>
      </c>
      <c r="M195" t="s">
        <v>120</v>
      </c>
      <c r="N195" t="s">
        <v>29</v>
      </c>
      <c r="O195" t="s">
        <v>29</v>
      </c>
      <c r="P195" t="s">
        <v>64</v>
      </c>
      <c r="Q195" s="3" t="s">
        <v>813</v>
      </c>
    </row>
    <row r="196" spans="1:17" ht="15.6" x14ac:dyDescent="0.3">
      <c r="A196" s="2">
        <v>46192</v>
      </c>
      <c r="B196">
        <v>445</v>
      </c>
      <c r="C196" t="s">
        <v>814</v>
      </c>
      <c r="D196" s="2">
        <v>46192</v>
      </c>
      <c r="E196" s="2">
        <v>46220</v>
      </c>
      <c r="F196" t="s">
        <v>181</v>
      </c>
      <c r="G196" t="s">
        <v>24</v>
      </c>
      <c r="H196" t="s">
        <v>815</v>
      </c>
      <c r="I196" t="s">
        <v>26</v>
      </c>
      <c r="J196" t="s">
        <v>812</v>
      </c>
      <c r="K196" t="s">
        <v>127</v>
      </c>
      <c r="L196" t="s">
        <v>29</v>
      </c>
      <c r="M196" t="s">
        <v>254</v>
      </c>
      <c r="N196" t="s">
        <v>29</v>
      </c>
      <c r="O196" t="s">
        <v>29</v>
      </c>
      <c r="P196" t="s">
        <v>64</v>
      </c>
      <c r="Q196" s="3" t="s">
        <v>816</v>
      </c>
    </row>
    <row r="197" spans="1:17" ht="15.6" x14ac:dyDescent="0.3">
      <c r="A197" s="2">
        <v>46192</v>
      </c>
      <c r="B197">
        <v>444</v>
      </c>
      <c r="C197" t="s">
        <v>817</v>
      </c>
      <c r="D197" s="2">
        <v>46192</v>
      </c>
      <c r="E197" s="2">
        <v>46220</v>
      </c>
      <c r="F197" t="s">
        <v>181</v>
      </c>
      <c r="G197" t="s">
        <v>24</v>
      </c>
      <c r="H197" t="s">
        <v>818</v>
      </c>
      <c r="I197" t="s">
        <v>26</v>
      </c>
      <c r="J197" t="s">
        <v>812</v>
      </c>
      <c r="K197" t="s">
        <v>127</v>
      </c>
      <c r="L197" t="s">
        <v>29</v>
      </c>
      <c r="M197" t="s">
        <v>134</v>
      </c>
      <c r="N197" t="s">
        <v>29</v>
      </c>
      <c r="O197" t="s">
        <v>29</v>
      </c>
      <c r="P197" t="s">
        <v>64</v>
      </c>
      <c r="Q197" s="3" t="s">
        <v>819</v>
      </c>
    </row>
    <row r="198" spans="1:17" ht="15.6" x14ac:dyDescent="0.3">
      <c r="A198" s="2">
        <v>46192</v>
      </c>
      <c r="B198">
        <v>443</v>
      </c>
      <c r="C198" t="s">
        <v>820</v>
      </c>
      <c r="D198" s="2">
        <v>46192</v>
      </c>
      <c r="E198" s="2">
        <v>46220</v>
      </c>
      <c r="F198" t="s">
        <v>123</v>
      </c>
      <c r="G198" t="s">
        <v>24</v>
      </c>
      <c r="H198" t="s">
        <v>821</v>
      </c>
      <c r="I198" t="s">
        <v>26</v>
      </c>
      <c r="J198" t="s">
        <v>822</v>
      </c>
      <c r="K198" t="s">
        <v>207</v>
      </c>
      <c r="L198" t="s">
        <v>29</v>
      </c>
      <c r="M198" t="s">
        <v>422</v>
      </c>
      <c r="N198" t="s">
        <v>31</v>
      </c>
      <c r="O198" t="s">
        <v>29</v>
      </c>
      <c r="P198" t="s">
        <v>823</v>
      </c>
      <c r="Q198" s="3" t="s">
        <v>824</v>
      </c>
    </row>
    <row r="199" spans="1:17" ht="15.6" x14ac:dyDescent="0.3">
      <c r="A199" s="2">
        <v>46192</v>
      </c>
      <c r="B199">
        <v>442</v>
      </c>
      <c r="C199" t="s">
        <v>825</v>
      </c>
      <c r="D199" s="2">
        <v>46192</v>
      </c>
      <c r="E199" s="2">
        <v>46220</v>
      </c>
      <c r="F199" t="s">
        <v>181</v>
      </c>
      <c r="G199" t="s">
        <v>24</v>
      </c>
      <c r="H199" t="s">
        <v>826</v>
      </c>
      <c r="I199" t="s">
        <v>26</v>
      </c>
      <c r="J199" t="s">
        <v>199</v>
      </c>
      <c r="K199" t="s">
        <v>184</v>
      </c>
      <c r="L199" t="s">
        <v>29</v>
      </c>
      <c r="M199" t="s">
        <v>658</v>
      </c>
      <c r="N199" t="s">
        <v>29</v>
      </c>
      <c r="O199" t="s">
        <v>29</v>
      </c>
      <c r="P199" t="s">
        <v>64</v>
      </c>
      <c r="Q199" s="3" t="s">
        <v>827</v>
      </c>
    </row>
    <row r="200" spans="1:17" ht="15.6" x14ac:dyDescent="0.3">
      <c r="A200" s="2">
        <v>46192</v>
      </c>
      <c r="B200">
        <v>441</v>
      </c>
      <c r="C200" t="s">
        <v>828</v>
      </c>
      <c r="D200" s="2">
        <v>46192</v>
      </c>
      <c r="E200" s="2">
        <v>46220</v>
      </c>
      <c r="F200" t="s">
        <v>123</v>
      </c>
      <c r="G200" t="s">
        <v>24</v>
      </c>
      <c r="H200" t="s">
        <v>829</v>
      </c>
      <c r="I200" t="s">
        <v>26</v>
      </c>
      <c r="J200" t="s">
        <v>793</v>
      </c>
      <c r="K200" t="s">
        <v>42</v>
      </c>
      <c r="L200" t="s">
        <v>29</v>
      </c>
      <c r="M200" t="s">
        <v>208</v>
      </c>
      <c r="N200" t="s">
        <v>29</v>
      </c>
      <c r="O200" t="s">
        <v>29</v>
      </c>
      <c r="P200" t="s">
        <v>64</v>
      </c>
      <c r="Q200" s="3" t="s">
        <v>830</v>
      </c>
    </row>
    <row r="201" spans="1:17" ht="15.6" x14ac:dyDescent="0.3">
      <c r="A201" s="2">
        <v>46192</v>
      </c>
      <c r="B201">
        <v>440</v>
      </c>
      <c r="C201" t="s">
        <v>831</v>
      </c>
      <c r="D201" s="2">
        <v>46192</v>
      </c>
      <c r="E201" s="2">
        <v>46216</v>
      </c>
      <c r="F201" t="s">
        <v>23</v>
      </c>
      <c r="G201" t="s">
        <v>24</v>
      </c>
      <c r="H201" t="s">
        <v>832</v>
      </c>
      <c r="I201" t="s">
        <v>26</v>
      </c>
      <c r="J201" t="s">
        <v>833</v>
      </c>
      <c r="K201" t="s">
        <v>28</v>
      </c>
      <c r="L201" t="s">
        <v>29</v>
      </c>
      <c r="M201" t="s">
        <v>134</v>
      </c>
      <c r="N201" t="s">
        <v>31</v>
      </c>
      <c r="O201" t="s">
        <v>31</v>
      </c>
      <c r="P201" t="s">
        <v>834</v>
      </c>
      <c r="Q201" s="3" t="s">
        <v>835</v>
      </c>
    </row>
    <row r="202" spans="1:17" ht="15.6" x14ac:dyDescent="0.3">
      <c r="A202" s="2">
        <v>46192</v>
      </c>
      <c r="B202">
        <v>439</v>
      </c>
      <c r="C202" t="s">
        <v>836</v>
      </c>
      <c r="D202" s="2">
        <v>46192</v>
      </c>
      <c r="E202" s="2">
        <v>46217</v>
      </c>
      <c r="F202" t="s">
        <v>123</v>
      </c>
      <c r="G202" t="s">
        <v>24</v>
      </c>
      <c r="H202" t="s">
        <v>837</v>
      </c>
      <c r="I202" t="s">
        <v>26</v>
      </c>
      <c r="J202" t="s">
        <v>288</v>
      </c>
      <c r="K202" t="s">
        <v>184</v>
      </c>
      <c r="L202" t="s">
        <v>29</v>
      </c>
      <c r="M202" t="s">
        <v>30</v>
      </c>
      <c r="N202" t="s">
        <v>29</v>
      </c>
      <c r="O202" t="s">
        <v>29</v>
      </c>
      <c r="P202" t="s">
        <v>64</v>
      </c>
      <c r="Q202" s="3" t="s">
        <v>838</v>
      </c>
    </row>
    <row r="203" spans="1:17" ht="15.6" x14ac:dyDescent="0.3">
      <c r="A203" s="2">
        <v>46192</v>
      </c>
      <c r="B203">
        <v>438</v>
      </c>
      <c r="C203" t="s">
        <v>839</v>
      </c>
      <c r="D203" s="2">
        <v>46192</v>
      </c>
      <c r="E203" s="2">
        <v>46217</v>
      </c>
      <c r="F203" t="s">
        <v>123</v>
      </c>
      <c r="G203" t="s">
        <v>24</v>
      </c>
      <c r="H203" t="s">
        <v>840</v>
      </c>
      <c r="I203" t="s">
        <v>26</v>
      </c>
      <c r="J203" t="s">
        <v>841</v>
      </c>
      <c r="K203" t="s">
        <v>48</v>
      </c>
      <c r="L203" t="s">
        <v>29</v>
      </c>
      <c r="M203" t="s">
        <v>244</v>
      </c>
      <c r="N203" t="s">
        <v>29</v>
      </c>
      <c r="O203" t="s">
        <v>29</v>
      </c>
      <c r="P203" t="s">
        <v>64</v>
      </c>
      <c r="Q203" s="3" t="s">
        <v>842</v>
      </c>
    </row>
    <row r="204" spans="1:17" ht="15.6" x14ac:dyDescent="0.3">
      <c r="A204" s="2">
        <v>46192</v>
      </c>
      <c r="B204">
        <v>437</v>
      </c>
      <c r="C204" t="s">
        <v>843</v>
      </c>
      <c r="D204" s="2">
        <v>46192</v>
      </c>
      <c r="E204" s="2">
        <v>46217</v>
      </c>
      <c r="F204" t="s">
        <v>23</v>
      </c>
      <c r="G204" t="s">
        <v>147</v>
      </c>
      <c r="H204" t="s">
        <v>844</v>
      </c>
      <c r="I204" t="s">
        <v>26</v>
      </c>
      <c r="J204" t="s">
        <v>845</v>
      </c>
      <c r="K204" t="s">
        <v>62</v>
      </c>
      <c r="L204" t="s">
        <v>29</v>
      </c>
      <c r="M204" t="s">
        <v>356</v>
      </c>
      <c r="N204" t="s">
        <v>29</v>
      </c>
      <c r="O204" t="s">
        <v>29</v>
      </c>
      <c r="P204" t="s">
        <v>64</v>
      </c>
      <c r="Q204" s="3" t="s">
        <v>846</v>
      </c>
    </row>
    <row r="205" spans="1:17" ht="15.6" x14ac:dyDescent="0.3">
      <c r="A205" s="2">
        <v>46192</v>
      </c>
      <c r="B205">
        <v>436</v>
      </c>
      <c r="C205" t="s">
        <v>847</v>
      </c>
      <c r="D205" s="2">
        <v>46192</v>
      </c>
      <c r="E205" s="2">
        <v>46217</v>
      </c>
      <c r="F205" t="s">
        <v>23</v>
      </c>
      <c r="G205" t="s">
        <v>147</v>
      </c>
      <c r="H205" t="s">
        <v>848</v>
      </c>
      <c r="I205" t="s">
        <v>26</v>
      </c>
      <c r="J205" t="s">
        <v>845</v>
      </c>
      <c r="K205" t="s">
        <v>62</v>
      </c>
      <c r="L205" t="s">
        <v>29</v>
      </c>
      <c r="M205" t="s">
        <v>356</v>
      </c>
      <c r="N205" t="s">
        <v>29</v>
      </c>
      <c r="O205" t="s">
        <v>29</v>
      </c>
      <c r="P205" t="s">
        <v>64</v>
      </c>
      <c r="Q205" s="3" t="s">
        <v>849</v>
      </c>
    </row>
    <row r="206" spans="1:17" ht="15.6" x14ac:dyDescent="0.3">
      <c r="A206" s="2">
        <v>46192</v>
      </c>
      <c r="B206">
        <v>435</v>
      </c>
      <c r="C206" t="s">
        <v>850</v>
      </c>
      <c r="D206" s="2">
        <v>46192</v>
      </c>
      <c r="E206" s="2">
        <v>46218</v>
      </c>
      <c r="F206" t="s">
        <v>123</v>
      </c>
      <c r="G206" t="s">
        <v>24</v>
      </c>
      <c r="H206" t="s">
        <v>851</v>
      </c>
      <c r="I206" t="s">
        <v>26</v>
      </c>
      <c r="J206" t="s">
        <v>170</v>
      </c>
      <c r="K206" t="s">
        <v>127</v>
      </c>
      <c r="L206" t="s">
        <v>29</v>
      </c>
      <c r="M206" t="s">
        <v>128</v>
      </c>
      <c r="N206" t="s">
        <v>31</v>
      </c>
      <c r="O206" t="s">
        <v>29</v>
      </c>
      <c r="P206" t="s">
        <v>852</v>
      </c>
      <c r="Q206" s="3" t="s">
        <v>853</v>
      </c>
    </row>
    <row r="207" spans="1:17" ht="15.6" x14ac:dyDescent="0.3">
      <c r="A207" s="2">
        <v>46192</v>
      </c>
      <c r="B207">
        <v>434</v>
      </c>
      <c r="C207" t="s">
        <v>854</v>
      </c>
      <c r="D207" s="2">
        <v>46192</v>
      </c>
      <c r="E207" s="2">
        <v>46216</v>
      </c>
      <c r="F207" t="s">
        <v>23</v>
      </c>
      <c r="G207" t="s">
        <v>24</v>
      </c>
      <c r="H207" t="s">
        <v>855</v>
      </c>
      <c r="I207" t="s">
        <v>26</v>
      </c>
      <c r="J207" t="s">
        <v>248</v>
      </c>
      <c r="K207" t="s">
        <v>48</v>
      </c>
      <c r="L207" t="s">
        <v>29</v>
      </c>
      <c r="M207" t="s">
        <v>856</v>
      </c>
      <c r="N207" t="s">
        <v>31</v>
      </c>
      <c r="O207" t="s">
        <v>31</v>
      </c>
      <c r="P207" t="s">
        <v>857</v>
      </c>
      <c r="Q207" s="3" t="s">
        <v>858</v>
      </c>
    </row>
    <row r="208" spans="1:17" ht="15.6" x14ac:dyDescent="0.3">
      <c r="A208" s="2">
        <v>46192</v>
      </c>
      <c r="B208">
        <v>433</v>
      </c>
      <c r="C208" t="s">
        <v>859</v>
      </c>
      <c r="D208" s="2">
        <v>46192</v>
      </c>
      <c r="E208" s="2">
        <v>46216</v>
      </c>
      <c r="F208" t="s">
        <v>23</v>
      </c>
      <c r="G208" t="s">
        <v>24</v>
      </c>
      <c r="H208" t="s">
        <v>860</v>
      </c>
      <c r="I208" t="s">
        <v>26</v>
      </c>
      <c r="J208" t="s">
        <v>248</v>
      </c>
      <c r="K208" t="s">
        <v>48</v>
      </c>
      <c r="L208" t="s">
        <v>29</v>
      </c>
      <c r="M208" t="s">
        <v>861</v>
      </c>
      <c r="N208" t="s">
        <v>31</v>
      </c>
      <c r="O208" t="s">
        <v>31</v>
      </c>
      <c r="P208" t="s">
        <v>862</v>
      </c>
      <c r="Q208" s="3" t="s">
        <v>863</v>
      </c>
    </row>
    <row r="209" spans="1:17" ht="15.6" x14ac:dyDescent="0.3">
      <c r="A209" s="2">
        <v>46192</v>
      </c>
      <c r="B209">
        <v>432</v>
      </c>
      <c r="C209" t="s">
        <v>864</v>
      </c>
      <c r="D209" s="2">
        <v>46192</v>
      </c>
      <c r="E209" s="2">
        <v>46216</v>
      </c>
      <c r="F209" t="s">
        <v>123</v>
      </c>
      <c r="G209" t="s">
        <v>147</v>
      </c>
      <c r="H209" t="s">
        <v>865</v>
      </c>
      <c r="I209" t="s">
        <v>26</v>
      </c>
      <c r="J209" t="s">
        <v>866</v>
      </c>
      <c r="K209" t="s">
        <v>207</v>
      </c>
      <c r="L209" t="s">
        <v>29</v>
      </c>
      <c r="M209" t="s">
        <v>254</v>
      </c>
      <c r="N209" t="s">
        <v>31</v>
      </c>
      <c r="O209" t="s">
        <v>29</v>
      </c>
      <c r="P209" t="s">
        <v>867</v>
      </c>
      <c r="Q209" s="3" t="s">
        <v>868</v>
      </c>
    </row>
    <row r="210" spans="1:17" ht="15.6" x14ac:dyDescent="0.3">
      <c r="A210" s="2">
        <v>46192</v>
      </c>
      <c r="B210">
        <v>431</v>
      </c>
      <c r="C210" t="s">
        <v>869</v>
      </c>
      <c r="D210" s="2">
        <v>46192</v>
      </c>
      <c r="E210" s="2">
        <v>46216</v>
      </c>
      <c r="F210" t="s">
        <v>123</v>
      </c>
      <c r="G210" t="s">
        <v>24</v>
      </c>
      <c r="H210" t="s">
        <v>870</v>
      </c>
      <c r="I210" t="s">
        <v>26</v>
      </c>
      <c r="J210" t="s">
        <v>871</v>
      </c>
      <c r="K210" t="s">
        <v>207</v>
      </c>
      <c r="L210" t="s">
        <v>29</v>
      </c>
      <c r="M210" t="s">
        <v>254</v>
      </c>
      <c r="N210" t="s">
        <v>31</v>
      </c>
      <c r="O210" t="s">
        <v>31</v>
      </c>
      <c r="P210" t="s">
        <v>872</v>
      </c>
      <c r="Q210" s="3" t="s">
        <v>873</v>
      </c>
    </row>
    <row r="211" spans="1:17" ht="15.6" x14ac:dyDescent="0.3">
      <c r="A211" s="2">
        <v>46192</v>
      </c>
      <c r="B211">
        <v>430</v>
      </c>
      <c r="C211" t="s">
        <v>874</v>
      </c>
      <c r="D211" s="2">
        <v>46192</v>
      </c>
      <c r="E211" s="2">
        <v>46213</v>
      </c>
      <c r="F211" t="s">
        <v>23</v>
      </c>
      <c r="G211" t="s">
        <v>24</v>
      </c>
      <c r="H211" t="s">
        <v>875</v>
      </c>
      <c r="I211" t="s">
        <v>26</v>
      </c>
      <c r="J211" t="s">
        <v>876</v>
      </c>
      <c r="K211" t="s">
        <v>207</v>
      </c>
      <c r="L211" t="s">
        <v>29</v>
      </c>
      <c r="M211" t="s">
        <v>238</v>
      </c>
      <c r="N211" t="s">
        <v>31</v>
      </c>
      <c r="O211" t="s">
        <v>31</v>
      </c>
      <c r="P211" t="s">
        <v>877</v>
      </c>
      <c r="Q211" s="3" t="s">
        <v>878</v>
      </c>
    </row>
    <row r="212" spans="1:17" ht="15.6" x14ac:dyDescent="0.3">
      <c r="A212" s="2">
        <v>46192</v>
      </c>
      <c r="B212">
        <v>429</v>
      </c>
      <c r="C212" t="s">
        <v>879</v>
      </c>
      <c r="D212" s="2">
        <v>46192</v>
      </c>
      <c r="E212" s="2">
        <v>46216</v>
      </c>
      <c r="F212" t="s">
        <v>181</v>
      </c>
      <c r="G212" t="s">
        <v>24</v>
      </c>
      <c r="H212" t="s">
        <v>880</v>
      </c>
      <c r="I212" t="s">
        <v>26</v>
      </c>
      <c r="J212" t="s">
        <v>199</v>
      </c>
      <c r="K212" t="s">
        <v>184</v>
      </c>
      <c r="L212" t="s">
        <v>29</v>
      </c>
      <c r="M212" t="s">
        <v>881</v>
      </c>
      <c r="N212" t="s">
        <v>31</v>
      </c>
      <c r="O212" t="s">
        <v>29</v>
      </c>
      <c r="P212" t="s">
        <v>882</v>
      </c>
      <c r="Q212" s="3" t="s">
        <v>883</v>
      </c>
    </row>
    <row r="213" spans="1:17" ht="15.6" x14ac:dyDescent="0.3">
      <c r="A213" s="2">
        <v>46192</v>
      </c>
      <c r="B213">
        <v>428</v>
      </c>
      <c r="C213" t="s">
        <v>884</v>
      </c>
      <c r="D213" s="2">
        <v>46192</v>
      </c>
      <c r="E213" s="2">
        <v>46213</v>
      </c>
      <c r="F213" t="s">
        <v>23</v>
      </c>
      <c r="G213" t="s">
        <v>24</v>
      </c>
      <c r="H213" t="s">
        <v>885</v>
      </c>
      <c r="I213" t="s">
        <v>26</v>
      </c>
      <c r="J213" t="s">
        <v>886</v>
      </c>
      <c r="K213" t="s">
        <v>42</v>
      </c>
      <c r="L213" t="s">
        <v>29</v>
      </c>
      <c r="M213" t="s">
        <v>49</v>
      </c>
      <c r="N213" t="s">
        <v>29</v>
      </c>
      <c r="O213" t="s">
        <v>29</v>
      </c>
      <c r="P213" t="s">
        <v>64</v>
      </c>
      <c r="Q213" s="3" t="s">
        <v>887</v>
      </c>
    </row>
    <row r="214" spans="1:17" ht="15.6" x14ac:dyDescent="0.3">
      <c r="A214" s="2">
        <v>46192</v>
      </c>
      <c r="B214">
        <v>427</v>
      </c>
      <c r="C214" t="s">
        <v>888</v>
      </c>
      <c r="D214" s="2">
        <v>46192</v>
      </c>
      <c r="E214" s="2">
        <v>46213</v>
      </c>
      <c r="F214" t="s">
        <v>23</v>
      </c>
      <c r="G214" t="s">
        <v>252</v>
      </c>
      <c r="H214" t="s">
        <v>889</v>
      </c>
      <c r="I214" t="s">
        <v>26</v>
      </c>
      <c r="J214" t="s">
        <v>516</v>
      </c>
      <c r="K214" t="s">
        <v>42</v>
      </c>
      <c r="L214" t="s">
        <v>29</v>
      </c>
      <c r="M214" t="s">
        <v>310</v>
      </c>
      <c r="N214" t="s">
        <v>29</v>
      </c>
      <c r="O214" t="s">
        <v>29</v>
      </c>
      <c r="P214" t="s">
        <v>64</v>
      </c>
      <c r="Q214" s="3" t="s">
        <v>890</v>
      </c>
    </row>
    <row r="215" spans="1:17" ht="15.6" x14ac:dyDescent="0.3">
      <c r="A215" s="2">
        <v>46192</v>
      </c>
      <c r="B215">
        <v>426</v>
      </c>
      <c r="C215" t="s">
        <v>891</v>
      </c>
      <c r="D215" s="2">
        <v>46192</v>
      </c>
      <c r="E215" s="2">
        <v>46213</v>
      </c>
      <c r="F215" t="s">
        <v>23</v>
      </c>
      <c r="G215" t="s">
        <v>24</v>
      </c>
      <c r="H215" t="s">
        <v>892</v>
      </c>
      <c r="I215" t="s">
        <v>26</v>
      </c>
      <c r="J215" t="s">
        <v>893</v>
      </c>
      <c r="K215" t="s">
        <v>42</v>
      </c>
      <c r="L215" t="s">
        <v>29</v>
      </c>
      <c r="M215" t="s">
        <v>171</v>
      </c>
      <c r="N215" t="s">
        <v>29</v>
      </c>
      <c r="O215" t="s">
        <v>29</v>
      </c>
      <c r="P215" t="s">
        <v>64</v>
      </c>
      <c r="Q215" s="3" t="s">
        <v>894</v>
      </c>
    </row>
    <row r="216" spans="1:17" ht="15.6" x14ac:dyDescent="0.3">
      <c r="A216" s="2">
        <v>46192</v>
      </c>
      <c r="B216">
        <v>425</v>
      </c>
      <c r="C216" t="s">
        <v>895</v>
      </c>
      <c r="D216" s="2">
        <v>46192</v>
      </c>
      <c r="E216" s="2">
        <v>46213</v>
      </c>
      <c r="F216" t="s">
        <v>23</v>
      </c>
      <c r="G216" t="s">
        <v>24</v>
      </c>
      <c r="H216" t="s">
        <v>896</v>
      </c>
      <c r="I216" t="s">
        <v>26</v>
      </c>
      <c r="J216" t="s">
        <v>893</v>
      </c>
      <c r="K216" t="s">
        <v>42</v>
      </c>
      <c r="L216" t="s">
        <v>29</v>
      </c>
      <c r="M216" t="s">
        <v>310</v>
      </c>
      <c r="N216" t="s">
        <v>29</v>
      </c>
      <c r="O216" t="s">
        <v>29</v>
      </c>
      <c r="P216" t="s">
        <v>64</v>
      </c>
      <c r="Q216" s="3" t="s">
        <v>897</v>
      </c>
    </row>
    <row r="217" spans="1:17" ht="15.6" x14ac:dyDescent="0.3">
      <c r="A217" s="2">
        <v>46192</v>
      </c>
      <c r="B217">
        <v>424</v>
      </c>
      <c r="C217" t="s">
        <v>898</v>
      </c>
      <c r="D217" s="2">
        <v>46192</v>
      </c>
      <c r="E217" s="2">
        <v>46216</v>
      </c>
      <c r="F217" t="s">
        <v>181</v>
      </c>
      <c r="G217" t="s">
        <v>24</v>
      </c>
      <c r="H217" t="s">
        <v>899</v>
      </c>
      <c r="I217" t="s">
        <v>26</v>
      </c>
      <c r="J217" t="s">
        <v>199</v>
      </c>
      <c r="K217" t="s">
        <v>184</v>
      </c>
      <c r="L217" t="s">
        <v>29</v>
      </c>
      <c r="M217" t="s">
        <v>30</v>
      </c>
      <c r="N217" t="s">
        <v>31</v>
      </c>
      <c r="O217" t="s">
        <v>29</v>
      </c>
      <c r="P217" t="s">
        <v>900</v>
      </c>
      <c r="Q217" s="3" t="s">
        <v>901</v>
      </c>
    </row>
    <row r="218" spans="1:17" ht="15.6" x14ac:dyDescent="0.3">
      <c r="A218" s="2">
        <v>46192</v>
      </c>
      <c r="B218">
        <v>423</v>
      </c>
      <c r="C218" t="s">
        <v>902</v>
      </c>
      <c r="D218" s="2">
        <v>46192</v>
      </c>
      <c r="E218" s="2">
        <v>46216</v>
      </c>
      <c r="F218" t="s">
        <v>123</v>
      </c>
      <c r="G218" t="s">
        <v>24</v>
      </c>
      <c r="H218" t="s">
        <v>903</v>
      </c>
      <c r="I218" t="s">
        <v>26</v>
      </c>
      <c r="J218" t="s">
        <v>288</v>
      </c>
      <c r="K218" t="s">
        <v>184</v>
      </c>
      <c r="L218" t="s">
        <v>29</v>
      </c>
      <c r="M218" t="s">
        <v>171</v>
      </c>
      <c r="N218" t="s">
        <v>31</v>
      </c>
      <c r="O218" t="s">
        <v>31</v>
      </c>
      <c r="P218" t="s">
        <v>904</v>
      </c>
      <c r="Q218" s="3" t="s">
        <v>905</v>
      </c>
    </row>
    <row r="219" spans="1:17" ht="15.6" x14ac:dyDescent="0.3">
      <c r="A219" s="2">
        <v>46192</v>
      </c>
      <c r="B219">
        <v>422</v>
      </c>
      <c r="C219" t="s">
        <v>906</v>
      </c>
      <c r="D219" s="2">
        <v>46192</v>
      </c>
      <c r="E219" s="2">
        <v>46216</v>
      </c>
      <c r="F219" t="s">
        <v>123</v>
      </c>
      <c r="G219" t="s">
        <v>252</v>
      </c>
      <c r="H219" t="s">
        <v>907</v>
      </c>
      <c r="I219" t="s">
        <v>26</v>
      </c>
      <c r="J219" t="s">
        <v>394</v>
      </c>
      <c r="K219" t="s">
        <v>207</v>
      </c>
      <c r="L219" t="s">
        <v>29</v>
      </c>
      <c r="M219" t="s">
        <v>30</v>
      </c>
      <c r="N219" t="s">
        <v>29</v>
      </c>
      <c r="O219" t="s">
        <v>29</v>
      </c>
      <c r="P219" t="s">
        <v>64</v>
      </c>
      <c r="Q219" s="3" t="s">
        <v>908</v>
      </c>
    </row>
    <row r="220" spans="1:17" ht="15.6" x14ac:dyDescent="0.3">
      <c r="A220" s="2">
        <v>46192</v>
      </c>
      <c r="B220">
        <v>421</v>
      </c>
      <c r="C220" t="s">
        <v>909</v>
      </c>
      <c r="D220" s="2">
        <v>46192</v>
      </c>
      <c r="E220" s="2">
        <v>46213</v>
      </c>
      <c r="F220" t="s">
        <v>23</v>
      </c>
      <c r="G220" t="s">
        <v>24</v>
      </c>
      <c r="H220" t="s">
        <v>910</v>
      </c>
      <c r="I220" t="s">
        <v>26</v>
      </c>
      <c r="J220" t="s">
        <v>911</v>
      </c>
      <c r="K220" t="s">
        <v>184</v>
      </c>
      <c r="L220" t="s">
        <v>29</v>
      </c>
      <c r="M220" t="s">
        <v>134</v>
      </c>
      <c r="N220" t="s">
        <v>29</v>
      </c>
      <c r="O220" t="s">
        <v>29</v>
      </c>
      <c r="P220" t="s">
        <v>64</v>
      </c>
      <c r="Q220" s="3" t="s">
        <v>912</v>
      </c>
    </row>
    <row r="221" spans="1:17" ht="15.6" x14ac:dyDescent="0.3">
      <c r="A221" s="2">
        <v>46192</v>
      </c>
      <c r="B221">
        <v>420</v>
      </c>
      <c r="C221" t="s">
        <v>913</v>
      </c>
      <c r="D221" s="2">
        <v>46192</v>
      </c>
      <c r="E221" s="2">
        <v>46213</v>
      </c>
      <c r="F221" t="s">
        <v>23</v>
      </c>
      <c r="G221" t="s">
        <v>24</v>
      </c>
      <c r="H221" t="s">
        <v>914</v>
      </c>
      <c r="I221" t="s">
        <v>26</v>
      </c>
      <c r="J221" t="s">
        <v>915</v>
      </c>
      <c r="K221" t="s">
        <v>150</v>
      </c>
      <c r="L221" t="s">
        <v>29</v>
      </c>
      <c r="M221" t="s">
        <v>310</v>
      </c>
      <c r="N221" t="s">
        <v>29</v>
      </c>
      <c r="O221" t="s">
        <v>29</v>
      </c>
      <c r="P221" t="s">
        <v>64</v>
      </c>
      <c r="Q221" s="3" t="s">
        <v>916</v>
      </c>
    </row>
    <row r="222" spans="1:17" ht="15.6" x14ac:dyDescent="0.3">
      <c r="A222" s="2">
        <v>46192</v>
      </c>
      <c r="B222">
        <v>419</v>
      </c>
      <c r="C222" t="s">
        <v>917</v>
      </c>
      <c r="D222" s="2">
        <v>46192</v>
      </c>
      <c r="E222" s="2">
        <v>46213</v>
      </c>
      <c r="F222" t="s">
        <v>23</v>
      </c>
      <c r="G222" t="s">
        <v>24</v>
      </c>
      <c r="H222" t="s">
        <v>918</v>
      </c>
      <c r="I222" t="s">
        <v>26</v>
      </c>
      <c r="J222" t="s">
        <v>915</v>
      </c>
      <c r="K222" t="s">
        <v>150</v>
      </c>
      <c r="L222" t="s">
        <v>29</v>
      </c>
      <c r="M222" t="s">
        <v>310</v>
      </c>
      <c r="N222" t="s">
        <v>29</v>
      </c>
      <c r="O222" t="s">
        <v>29</v>
      </c>
      <c r="P222" t="s">
        <v>64</v>
      </c>
      <c r="Q222" s="3" t="s">
        <v>919</v>
      </c>
    </row>
    <row r="223" spans="1:17" ht="15.6" x14ac:dyDescent="0.3">
      <c r="A223" s="2">
        <v>46192</v>
      </c>
      <c r="B223">
        <v>418</v>
      </c>
      <c r="C223" t="s">
        <v>920</v>
      </c>
      <c r="D223" s="2">
        <v>46192</v>
      </c>
      <c r="E223" s="2">
        <v>46213</v>
      </c>
      <c r="F223" t="s">
        <v>23</v>
      </c>
      <c r="G223" t="s">
        <v>24</v>
      </c>
      <c r="H223" t="s">
        <v>921</v>
      </c>
      <c r="I223" t="s">
        <v>26</v>
      </c>
      <c r="J223" t="s">
        <v>915</v>
      </c>
      <c r="K223" t="s">
        <v>150</v>
      </c>
      <c r="L223" t="s">
        <v>29</v>
      </c>
      <c r="M223" t="s">
        <v>310</v>
      </c>
      <c r="N223" t="s">
        <v>29</v>
      </c>
      <c r="O223" t="s">
        <v>29</v>
      </c>
      <c r="P223" t="s">
        <v>64</v>
      </c>
      <c r="Q223" s="3" t="s">
        <v>922</v>
      </c>
    </row>
    <row r="224" spans="1:17" ht="15.6" x14ac:dyDescent="0.3">
      <c r="A224" s="2">
        <v>46192</v>
      </c>
      <c r="B224">
        <v>417</v>
      </c>
      <c r="C224" t="s">
        <v>923</v>
      </c>
      <c r="D224" s="2">
        <v>46192</v>
      </c>
      <c r="E224" s="2">
        <v>46213</v>
      </c>
      <c r="F224" t="s">
        <v>23</v>
      </c>
      <c r="G224" t="s">
        <v>24</v>
      </c>
      <c r="H224" t="s">
        <v>924</v>
      </c>
      <c r="I224" t="s">
        <v>26</v>
      </c>
      <c r="J224" t="s">
        <v>915</v>
      </c>
      <c r="K224" t="s">
        <v>150</v>
      </c>
      <c r="L224" t="s">
        <v>29</v>
      </c>
      <c r="M224" t="s">
        <v>310</v>
      </c>
      <c r="N224" t="s">
        <v>29</v>
      </c>
      <c r="O224" t="s">
        <v>29</v>
      </c>
      <c r="P224" t="s">
        <v>64</v>
      </c>
      <c r="Q224" s="3" t="s">
        <v>925</v>
      </c>
    </row>
    <row r="225" spans="1:17" ht="15.6" x14ac:dyDescent="0.3">
      <c r="A225" s="2">
        <v>46192</v>
      </c>
      <c r="B225">
        <v>416</v>
      </c>
      <c r="C225" t="s">
        <v>926</v>
      </c>
      <c r="D225" s="2">
        <v>46192</v>
      </c>
      <c r="E225" s="2">
        <v>46213</v>
      </c>
      <c r="F225" t="s">
        <v>23</v>
      </c>
      <c r="G225" t="s">
        <v>24</v>
      </c>
      <c r="H225" t="s">
        <v>927</v>
      </c>
      <c r="I225" t="s">
        <v>26</v>
      </c>
      <c r="J225" t="s">
        <v>915</v>
      </c>
      <c r="K225" t="s">
        <v>150</v>
      </c>
      <c r="L225" t="s">
        <v>29</v>
      </c>
      <c r="M225" t="s">
        <v>310</v>
      </c>
      <c r="N225" t="s">
        <v>29</v>
      </c>
      <c r="O225" t="s">
        <v>29</v>
      </c>
      <c r="P225" t="s">
        <v>64</v>
      </c>
      <c r="Q225" s="3" t="s">
        <v>928</v>
      </c>
    </row>
    <row r="226" spans="1:17" ht="15.6" x14ac:dyDescent="0.3">
      <c r="A226" s="2">
        <v>46192</v>
      </c>
      <c r="B226">
        <v>415</v>
      </c>
      <c r="C226" t="s">
        <v>929</v>
      </c>
      <c r="D226" s="2">
        <v>46192</v>
      </c>
      <c r="E226" s="2">
        <v>46213</v>
      </c>
      <c r="F226" t="s">
        <v>23</v>
      </c>
      <c r="G226" t="s">
        <v>24</v>
      </c>
      <c r="H226" t="s">
        <v>930</v>
      </c>
      <c r="I226" t="s">
        <v>26</v>
      </c>
      <c r="J226" t="s">
        <v>915</v>
      </c>
      <c r="K226" t="s">
        <v>150</v>
      </c>
      <c r="L226" t="s">
        <v>29</v>
      </c>
      <c r="M226" t="s">
        <v>310</v>
      </c>
      <c r="N226" t="s">
        <v>29</v>
      </c>
      <c r="O226" t="s">
        <v>29</v>
      </c>
      <c r="P226" t="s">
        <v>64</v>
      </c>
      <c r="Q226" s="3" t="s">
        <v>931</v>
      </c>
    </row>
    <row r="227" spans="1:17" ht="15.6" x14ac:dyDescent="0.3">
      <c r="A227" s="2">
        <v>46192</v>
      </c>
      <c r="B227">
        <v>414</v>
      </c>
      <c r="C227" t="s">
        <v>932</v>
      </c>
      <c r="D227" s="2">
        <v>46192</v>
      </c>
      <c r="E227" s="2">
        <v>46213</v>
      </c>
      <c r="F227" t="s">
        <v>23</v>
      </c>
      <c r="G227" t="s">
        <v>24</v>
      </c>
      <c r="H227" t="s">
        <v>933</v>
      </c>
      <c r="I227" t="s">
        <v>26</v>
      </c>
      <c r="J227" t="s">
        <v>915</v>
      </c>
      <c r="K227" t="s">
        <v>150</v>
      </c>
      <c r="L227" t="s">
        <v>29</v>
      </c>
      <c r="M227" t="s">
        <v>310</v>
      </c>
      <c r="N227" t="s">
        <v>29</v>
      </c>
      <c r="O227" t="s">
        <v>29</v>
      </c>
      <c r="P227" t="s">
        <v>64</v>
      </c>
      <c r="Q227" s="3" t="s">
        <v>934</v>
      </c>
    </row>
    <row r="228" spans="1:17" ht="15.6" x14ac:dyDescent="0.3">
      <c r="A228" s="2">
        <v>46192</v>
      </c>
      <c r="B228">
        <v>413</v>
      </c>
      <c r="C228" t="s">
        <v>935</v>
      </c>
      <c r="D228" s="2">
        <v>46192</v>
      </c>
      <c r="E228" s="2">
        <v>46213</v>
      </c>
      <c r="F228" t="s">
        <v>23</v>
      </c>
      <c r="G228" t="s">
        <v>24</v>
      </c>
      <c r="H228" t="s">
        <v>936</v>
      </c>
      <c r="I228" t="s">
        <v>26</v>
      </c>
      <c r="J228" t="s">
        <v>915</v>
      </c>
      <c r="K228" t="s">
        <v>150</v>
      </c>
      <c r="L228" t="s">
        <v>29</v>
      </c>
      <c r="M228" t="s">
        <v>310</v>
      </c>
      <c r="N228" t="s">
        <v>29</v>
      </c>
      <c r="O228" t="s">
        <v>29</v>
      </c>
      <c r="P228" t="s">
        <v>64</v>
      </c>
      <c r="Q228" s="3" t="s">
        <v>937</v>
      </c>
    </row>
    <row r="229" spans="1:17" ht="15.6" x14ac:dyDescent="0.3">
      <c r="A229" s="2">
        <v>46192</v>
      </c>
      <c r="B229">
        <v>412</v>
      </c>
      <c r="C229" t="s">
        <v>938</v>
      </c>
      <c r="D229" s="2">
        <v>46192</v>
      </c>
      <c r="E229" s="2">
        <v>46213</v>
      </c>
      <c r="F229" t="s">
        <v>23</v>
      </c>
      <c r="G229" t="s">
        <v>24</v>
      </c>
      <c r="H229" t="s">
        <v>939</v>
      </c>
      <c r="I229" t="s">
        <v>26</v>
      </c>
      <c r="J229" t="s">
        <v>915</v>
      </c>
      <c r="K229" t="s">
        <v>150</v>
      </c>
      <c r="L229" t="s">
        <v>29</v>
      </c>
      <c r="M229" t="s">
        <v>310</v>
      </c>
      <c r="N229" t="s">
        <v>29</v>
      </c>
      <c r="O229" t="s">
        <v>29</v>
      </c>
      <c r="P229" t="s">
        <v>64</v>
      </c>
      <c r="Q229" s="3" t="s">
        <v>940</v>
      </c>
    </row>
    <row r="230" spans="1:17" ht="15.6" x14ac:dyDescent="0.3">
      <c r="A230" s="2">
        <v>46192</v>
      </c>
      <c r="B230">
        <v>411</v>
      </c>
      <c r="C230" t="s">
        <v>941</v>
      </c>
      <c r="D230" s="2">
        <v>46192</v>
      </c>
      <c r="E230" s="2">
        <v>46213</v>
      </c>
      <c r="F230" t="s">
        <v>23</v>
      </c>
      <c r="G230" t="s">
        <v>24</v>
      </c>
      <c r="H230" t="s">
        <v>942</v>
      </c>
      <c r="I230" t="s">
        <v>26</v>
      </c>
      <c r="J230" t="s">
        <v>943</v>
      </c>
      <c r="K230" t="s">
        <v>150</v>
      </c>
      <c r="L230" t="s">
        <v>29</v>
      </c>
      <c r="M230" t="s">
        <v>128</v>
      </c>
      <c r="N230" t="s">
        <v>31</v>
      </c>
      <c r="O230" t="s">
        <v>31</v>
      </c>
      <c r="P230" t="s">
        <v>659</v>
      </c>
      <c r="Q230" s="3" t="s">
        <v>944</v>
      </c>
    </row>
    <row r="231" spans="1:17" ht="15.6" x14ac:dyDescent="0.3">
      <c r="A231" s="2">
        <v>46192</v>
      </c>
      <c r="B231">
        <v>410</v>
      </c>
      <c r="C231" t="s">
        <v>945</v>
      </c>
      <c r="D231" s="2">
        <v>46192</v>
      </c>
      <c r="E231" s="2">
        <v>46213</v>
      </c>
      <c r="F231" t="s">
        <v>23</v>
      </c>
      <c r="G231" t="s">
        <v>24</v>
      </c>
      <c r="H231" t="s">
        <v>946</v>
      </c>
      <c r="I231" t="s">
        <v>26</v>
      </c>
      <c r="J231" t="s">
        <v>915</v>
      </c>
      <c r="K231" t="s">
        <v>150</v>
      </c>
      <c r="L231" t="s">
        <v>29</v>
      </c>
      <c r="M231" t="s">
        <v>310</v>
      </c>
      <c r="N231" t="s">
        <v>29</v>
      </c>
      <c r="O231" t="s">
        <v>29</v>
      </c>
      <c r="P231" t="s">
        <v>64</v>
      </c>
      <c r="Q231" s="3" t="s">
        <v>947</v>
      </c>
    </row>
    <row r="232" spans="1:17" ht="15.6" x14ac:dyDescent="0.3">
      <c r="A232" s="2">
        <v>46192</v>
      </c>
      <c r="B232">
        <v>409</v>
      </c>
      <c r="C232" t="s">
        <v>948</v>
      </c>
      <c r="D232" s="2">
        <v>46192</v>
      </c>
      <c r="E232" s="2">
        <v>46213</v>
      </c>
      <c r="F232" t="s">
        <v>23</v>
      </c>
      <c r="G232" t="s">
        <v>24</v>
      </c>
      <c r="H232" t="s">
        <v>949</v>
      </c>
      <c r="I232" t="s">
        <v>26</v>
      </c>
      <c r="J232" t="s">
        <v>915</v>
      </c>
      <c r="K232" t="s">
        <v>150</v>
      </c>
      <c r="L232" t="s">
        <v>29</v>
      </c>
      <c r="M232" t="s">
        <v>310</v>
      </c>
      <c r="N232" t="s">
        <v>29</v>
      </c>
      <c r="O232" t="s">
        <v>29</v>
      </c>
      <c r="P232" t="s">
        <v>64</v>
      </c>
      <c r="Q232" s="3" t="s">
        <v>950</v>
      </c>
    </row>
    <row r="233" spans="1:17" ht="15.6" x14ac:dyDescent="0.3">
      <c r="A233" s="2">
        <v>46192</v>
      </c>
      <c r="B233">
        <v>408</v>
      </c>
      <c r="C233" t="s">
        <v>951</v>
      </c>
      <c r="D233" s="2">
        <v>46192</v>
      </c>
      <c r="E233" s="2">
        <v>46213</v>
      </c>
      <c r="F233" t="s">
        <v>23</v>
      </c>
      <c r="G233" t="s">
        <v>24</v>
      </c>
      <c r="H233" t="s">
        <v>952</v>
      </c>
      <c r="I233" t="s">
        <v>26</v>
      </c>
      <c r="J233" t="s">
        <v>915</v>
      </c>
      <c r="K233" t="s">
        <v>150</v>
      </c>
      <c r="L233" t="s">
        <v>29</v>
      </c>
      <c r="M233" t="s">
        <v>310</v>
      </c>
      <c r="N233" t="s">
        <v>29</v>
      </c>
      <c r="O233" t="s">
        <v>29</v>
      </c>
      <c r="P233" t="s">
        <v>64</v>
      </c>
      <c r="Q233" s="3" t="s">
        <v>953</v>
      </c>
    </row>
    <row r="234" spans="1:17" ht="15.6" x14ac:dyDescent="0.3">
      <c r="A234" s="2">
        <v>46192</v>
      </c>
      <c r="B234">
        <v>407</v>
      </c>
      <c r="C234" t="s">
        <v>954</v>
      </c>
      <c r="D234" s="2">
        <v>46192</v>
      </c>
      <c r="E234" s="2">
        <v>46213</v>
      </c>
      <c r="F234" t="s">
        <v>23</v>
      </c>
      <c r="G234" t="s">
        <v>24</v>
      </c>
      <c r="H234" t="s">
        <v>955</v>
      </c>
      <c r="I234" t="s">
        <v>26</v>
      </c>
      <c r="J234" t="s">
        <v>915</v>
      </c>
      <c r="K234" t="s">
        <v>150</v>
      </c>
      <c r="L234" t="s">
        <v>29</v>
      </c>
      <c r="M234" t="s">
        <v>310</v>
      </c>
      <c r="N234" t="s">
        <v>29</v>
      </c>
      <c r="O234" t="s">
        <v>29</v>
      </c>
      <c r="P234" t="s">
        <v>64</v>
      </c>
      <c r="Q234" s="3" t="s">
        <v>956</v>
      </c>
    </row>
    <row r="235" spans="1:17" ht="15.6" x14ac:dyDescent="0.3">
      <c r="A235" s="2">
        <v>46192</v>
      </c>
      <c r="B235">
        <v>406</v>
      </c>
      <c r="C235" t="s">
        <v>957</v>
      </c>
      <c r="D235" s="2">
        <v>46192</v>
      </c>
      <c r="E235" s="2">
        <v>46213</v>
      </c>
      <c r="F235" t="s">
        <v>23</v>
      </c>
      <c r="G235" t="s">
        <v>24</v>
      </c>
      <c r="H235" t="s">
        <v>958</v>
      </c>
      <c r="I235" t="s">
        <v>26</v>
      </c>
      <c r="J235" t="s">
        <v>915</v>
      </c>
      <c r="K235" t="s">
        <v>150</v>
      </c>
      <c r="L235" t="s">
        <v>29</v>
      </c>
      <c r="M235" t="s">
        <v>310</v>
      </c>
      <c r="N235" t="s">
        <v>29</v>
      </c>
      <c r="O235" t="s">
        <v>29</v>
      </c>
      <c r="P235" t="s">
        <v>64</v>
      </c>
      <c r="Q235" s="3" t="s">
        <v>959</v>
      </c>
    </row>
    <row r="236" spans="1:17" ht="15.6" x14ac:dyDescent="0.3">
      <c r="A236" s="2">
        <v>46192</v>
      </c>
      <c r="B236">
        <v>405</v>
      </c>
      <c r="C236" t="s">
        <v>960</v>
      </c>
      <c r="D236" s="2">
        <v>46192</v>
      </c>
      <c r="E236" s="2">
        <v>46213</v>
      </c>
      <c r="F236" t="s">
        <v>23</v>
      </c>
      <c r="G236" t="s">
        <v>24</v>
      </c>
      <c r="H236" t="s">
        <v>961</v>
      </c>
      <c r="I236" t="s">
        <v>26</v>
      </c>
      <c r="J236" t="s">
        <v>915</v>
      </c>
      <c r="K236" t="s">
        <v>150</v>
      </c>
      <c r="L236" t="s">
        <v>29</v>
      </c>
      <c r="M236" t="s">
        <v>310</v>
      </c>
      <c r="N236" t="s">
        <v>29</v>
      </c>
      <c r="O236" t="s">
        <v>29</v>
      </c>
      <c r="P236" t="s">
        <v>64</v>
      </c>
      <c r="Q236" s="3" t="s">
        <v>962</v>
      </c>
    </row>
    <row r="237" spans="1:17" ht="15.6" x14ac:dyDescent="0.3">
      <c r="A237" s="2">
        <v>46192</v>
      </c>
      <c r="B237">
        <v>404</v>
      </c>
      <c r="C237" t="s">
        <v>963</v>
      </c>
      <c r="D237" s="2">
        <v>46192</v>
      </c>
      <c r="E237" s="2">
        <v>46213</v>
      </c>
      <c r="F237" t="s">
        <v>23</v>
      </c>
      <c r="G237" t="s">
        <v>24</v>
      </c>
      <c r="H237" t="s">
        <v>964</v>
      </c>
      <c r="I237" t="s">
        <v>26</v>
      </c>
      <c r="J237" t="s">
        <v>915</v>
      </c>
      <c r="K237" t="s">
        <v>150</v>
      </c>
      <c r="L237" t="s">
        <v>29</v>
      </c>
      <c r="M237" t="s">
        <v>310</v>
      </c>
      <c r="N237" t="s">
        <v>29</v>
      </c>
      <c r="O237" t="s">
        <v>29</v>
      </c>
      <c r="P237" t="s">
        <v>64</v>
      </c>
      <c r="Q237" s="3" t="s">
        <v>965</v>
      </c>
    </row>
    <row r="238" spans="1:17" ht="15.6" x14ac:dyDescent="0.3">
      <c r="A238" s="2">
        <v>46192</v>
      </c>
      <c r="B238">
        <v>403</v>
      </c>
      <c r="C238" t="s">
        <v>966</v>
      </c>
      <c r="D238" s="2">
        <v>46192</v>
      </c>
      <c r="E238" s="2">
        <v>46213</v>
      </c>
      <c r="F238" t="s">
        <v>23</v>
      </c>
      <c r="G238" t="s">
        <v>24</v>
      </c>
      <c r="H238" t="s">
        <v>967</v>
      </c>
      <c r="I238" t="s">
        <v>26</v>
      </c>
      <c r="J238" t="s">
        <v>915</v>
      </c>
      <c r="K238" t="s">
        <v>150</v>
      </c>
      <c r="L238" t="s">
        <v>29</v>
      </c>
      <c r="M238" t="s">
        <v>310</v>
      </c>
      <c r="N238" t="s">
        <v>29</v>
      </c>
      <c r="O238" t="s">
        <v>29</v>
      </c>
      <c r="P238" t="s">
        <v>64</v>
      </c>
      <c r="Q238" s="3" t="s">
        <v>968</v>
      </c>
    </row>
    <row r="239" spans="1:17" ht="15.6" x14ac:dyDescent="0.3">
      <c r="A239" s="2">
        <v>46192</v>
      </c>
      <c r="B239">
        <v>402</v>
      </c>
      <c r="C239" t="s">
        <v>969</v>
      </c>
      <c r="D239" s="2">
        <v>46192</v>
      </c>
      <c r="E239" s="2">
        <v>46213</v>
      </c>
      <c r="F239" t="s">
        <v>23</v>
      </c>
      <c r="G239" t="s">
        <v>24</v>
      </c>
      <c r="H239" t="s">
        <v>970</v>
      </c>
      <c r="I239" t="s">
        <v>26</v>
      </c>
      <c r="J239" t="s">
        <v>915</v>
      </c>
      <c r="K239" t="s">
        <v>150</v>
      </c>
      <c r="L239" t="s">
        <v>29</v>
      </c>
      <c r="M239" t="s">
        <v>310</v>
      </c>
      <c r="N239" t="s">
        <v>29</v>
      </c>
      <c r="O239" t="s">
        <v>29</v>
      </c>
      <c r="P239" t="s">
        <v>64</v>
      </c>
      <c r="Q239" s="3" t="s">
        <v>971</v>
      </c>
    </row>
    <row r="240" spans="1:17" ht="15.6" x14ac:dyDescent="0.3">
      <c r="A240" s="2">
        <v>46192</v>
      </c>
      <c r="B240">
        <v>401</v>
      </c>
      <c r="C240" t="s">
        <v>972</v>
      </c>
      <c r="D240" s="2">
        <v>46192</v>
      </c>
      <c r="E240" s="2">
        <v>46213</v>
      </c>
      <c r="F240" t="s">
        <v>23</v>
      </c>
      <c r="G240" t="s">
        <v>24</v>
      </c>
      <c r="H240" t="s">
        <v>973</v>
      </c>
      <c r="I240" t="s">
        <v>26</v>
      </c>
      <c r="J240" t="s">
        <v>915</v>
      </c>
      <c r="K240" t="s">
        <v>150</v>
      </c>
      <c r="L240" t="s">
        <v>29</v>
      </c>
      <c r="M240" t="s">
        <v>310</v>
      </c>
      <c r="N240" t="s">
        <v>29</v>
      </c>
      <c r="O240" t="s">
        <v>29</v>
      </c>
      <c r="P240" t="s">
        <v>64</v>
      </c>
      <c r="Q240" s="3" t="s">
        <v>974</v>
      </c>
    </row>
    <row r="241" spans="1:17" ht="15.6" x14ac:dyDescent="0.3">
      <c r="A241" s="2">
        <v>46192</v>
      </c>
      <c r="B241">
        <v>400</v>
      </c>
      <c r="C241" t="s">
        <v>975</v>
      </c>
      <c r="D241" s="2">
        <v>46192</v>
      </c>
      <c r="E241" s="2">
        <v>46213</v>
      </c>
      <c r="F241" t="s">
        <v>23</v>
      </c>
      <c r="G241" t="s">
        <v>24</v>
      </c>
      <c r="H241" t="s">
        <v>976</v>
      </c>
      <c r="I241" t="s">
        <v>26</v>
      </c>
      <c r="J241" t="s">
        <v>915</v>
      </c>
      <c r="K241" t="s">
        <v>150</v>
      </c>
      <c r="L241" t="s">
        <v>29</v>
      </c>
      <c r="M241" t="s">
        <v>310</v>
      </c>
      <c r="N241" t="s">
        <v>29</v>
      </c>
      <c r="O241" t="s">
        <v>29</v>
      </c>
      <c r="P241" t="s">
        <v>64</v>
      </c>
      <c r="Q241" s="3" t="s">
        <v>977</v>
      </c>
    </row>
    <row r="242" spans="1:17" ht="15.6" x14ac:dyDescent="0.3">
      <c r="A242" s="2">
        <v>46192</v>
      </c>
      <c r="B242">
        <v>399</v>
      </c>
      <c r="C242" t="s">
        <v>978</v>
      </c>
      <c r="D242" s="2">
        <v>46192</v>
      </c>
      <c r="E242" s="2">
        <v>46213</v>
      </c>
      <c r="F242" t="s">
        <v>23</v>
      </c>
      <c r="G242" t="s">
        <v>24</v>
      </c>
      <c r="H242" t="s">
        <v>979</v>
      </c>
      <c r="I242" t="s">
        <v>26</v>
      </c>
      <c r="J242" t="s">
        <v>915</v>
      </c>
      <c r="K242" t="s">
        <v>150</v>
      </c>
      <c r="L242" t="s">
        <v>29</v>
      </c>
      <c r="M242" t="s">
        <v>310</v>
      </c>
      <c r="N242" t="s">
        <v>29</v>
      </c>
      <c r="O242" t="s">
        <v>29</v>
      </c>
      <c r="P242" t="s">
        <v>64</v>
      </c>
      <c r="Q242" s="3" t="s">
        <v>980</v>
      </c>
    </row>
    <row r="243" spans="1:17" ht="15.6" x14ac:dyDescent="0.3">
      <c r="A243" s="2">
        <v>46192</v>
      </c>
      <c r="B243">
        <v>398</v>
      </c>
      <c r="C243" t="s">
        <v>981</v>
      </c>
      <c r="D243" s="2">
        <v>46192</v>
      </c>
      <c r="E243" s="2">
        <v>46213</v>
      </c>
      <c r="F243" t="s">
        <v>23</v>
      </c>
      <c r="G243" t="s">
        <v>24</v>
      </c>
      <c r="H243" t="s">
        <v>982</v>
      </c>
      <c r="I243" t="s">
        <v>26</v>
      </c>
      <c r="J243" t="s">
        <v>915</v>
      </c>
      <c r="K243" t="s">
        <v>150</v>
      </c>
      <c r="L243" t="s">
        <v>29</v>
      </c>
      <c r="M243" t="s">
        <v>310</v>
      </c>
      <c r="N243" t="s">
        <v>29</v>
      </c>
      <c r="O243" t="s">
        <v>29</v>
      </c>
      <c r="P243" t="s">
        <v>64</v>
      </c>
      <c r="Q243" s="3" t="s">
        <v>983</v>
      </c>
    </row>
    <row r="244" spans="1:17" ht="15.6" x14ac:dyDescent="0.3">
      <c r="A244" s="2">
        <v>46192</v>
      </c>
      <c r="B244">
        <v>397</v>
      </c>
      <c r="C244" t="s">
        <v>984</v>
      </c>
      <c r="D244" s="2">
        <v>46192</v>
      </c>
      <c r="E244" s="2">
        <v>46213</v>
      </c>
      <c r="F244" t="s">
        <v>23</v>
      </c>
      <c r="G244" t="s">
        <v>24</v>
      </c>
      <c r="H244" t="s">
        <v>985</v>
      </c>
      <c r="I244" t="s">
        <v>26</v>
      </c>
      <c r="J244" t="s">
        <v>915</v>
      </c>
      <c r="K244" t="s">
        <v>150</v>
      </c>
      <c r="L244" t="s">
        <v>29</v>
      </c>
      <c r="M244" t="s">
        <v>310</v>
      </c>
      <c r="N244" t="s">
        <v>29</v>
      </c>
      <c r="O244" t="s">
        <v>29</v>
      </c>
      <c r="P244" t="s">
        <v>64</v>
      </c>
      <c r="Q244" s="3" t="s">
        <v>986</v>
      </c>
    </row>
    <row r="245" spans="1:17" ht="15.6" x14ac:dyDescent="0.3">
      <c r="A245" s="2">
        <v>46192</v>
      </c>
      <c r="B245">
        <v>396</v>
      </c>
      <c r="C245" t="s">
        <v>987</v>
      </c>
      <c r="D245" s="2">
        <v>46192</v>
      </c>
      <c r="E245" s="2">
        <v>46213</v>
      </c>
      <c r="F245" t="s">
        <v>23</v>
      </c>
      <c r="G245" t="s">
        <v>24</v>
      </c>
      <c r="H245" t="s">
        <v>988</v>
      </c>
      <c r="I245" t="s">
        <v>26</v>
      </c>
      <c r="J245" t="s">
        <v>915</v>
      </c>
      <c r="K245" t="s">
        <v>150</v>
      </c>
      <c r="L245" t="s">
        <v>29</v>
      </c>
      <c r="M245" t="s">
        <v>310</v>
      </c>
      <c r="N245" t="s">
        <v>29</v>
      </c>
      <c r="O245" t="s">
        <v>29</v>
      </c>
      <c r="P245" t="s">
        <v>64</v>
      </c>
      <c r="Q245" s="3" t="s">
        <v>989</v>
      </c>
    </row>
    <row r="246" spans="1:17" ht="15.6" x14ac:dyDescent="0.3">
      <c r="A246" s="2">
        <v>46192</v>
      </c>
      <c r="B246">
        <v>395</v>
      </c>
      <c r="C246" t="s">
        <v>990</v>
      </c>
      <c r="D246" s="2">
        <v>46192</v>
      </c>
      <c r="E246" s="2">
        <v>46213</v>
      </c>
      <c r="F246" t="s">
        <v>23</v>
      </c>
      <c r="G246" t="s">
        <v>24</v>
      </c>
      <c r="H246" t="s">
        <v>991</v>
      </c>
      <c r="I246" t="s">
        <v>26</v>
      </c>
      <c r="J246" t="s">
        <v>915</v>
      </c>
      <c r="K246" t="s">
        <v>150</v>
      </c>
      <c r="L246" t="s">
        <v>29</v>
      </c>
      <c r="M246" t="s">
        <v>310</v>
      </c>
      <c r="N246" t="s">
        <v>29</v>
      </c>
      <c r="O246" t="s">
        <v>29</v>
      </c>
      <c r="P246" t="s">
        <v>64</v>
      </c>
      <c r="Q246" s="3" t="s">
        <v>992</v>
      </c>
    </row>
    <row r="247" spans="1:17" ht="15.6" x14ac:dyDescent="0.3">
      <c r="A247" s="2">
        <v>46192</v>
      </c>
      <c r="B247">
        <v>394</v>
      </c>
      <c r="C247" t="s">
        <v>993</v>
      </c>
      <c r="D247" s="2">
        <v>46192</v>
      </c>
      <c r="E247" s="2">
        <v>46213</v>
      </c>
      <c r="F247" t="s">
        <v>23</v>
      </c>
      <c r="G247" t="s">
        <v>24</v>
      </c>
      <c r="H247" t="s">
        <v>994</v>
      </c>
      <c r="I247" t="s">
        <v>26</v>
      </c>
      <c r="J247" t="s">
        <v>915</v>
      </c>
      <c r="K247" t="s">
        <v>150</v>
      </c>
      <c r="L247" t="s">
        <v>29</v>
      </c>
      <c r="M247" t="s">
        <v>310</v>
      </c>
      <c r="N247" t="s">
        <v>29</v>
      </c>
      <c r="O247" t="s">
        <v>29</v>
      </c>
      <c r="P247" t="s">
        <v>64</v>
      </c>
      <c r="Q247" s="3" t="s">
        <v>995</v>
      </c>
    </row>
    <row r="248" spans="1:17" ht="15.6" x14ac:dyDescent="0.3">
      <c r="A248" s="2">
        <v>46192</v>
      </c>
      <c r="B248">
        <v>393</v>
      </c>
      <c r="C248" t="s">
        <v>996</v>
      </c>
      <c r="D248" s="2">
        <v>46192</v>
      </c>
      <c r="E248" s="2">
        <v>46213</v>
      </c>
      <c r="F248" t="s">
        <v>23</v>
      </c>
      <c r="G248" t="s">
        <v>24</v>
      </c>
      <c r="H248" t="s">
        <v>997</v>
      </c>
      <c r="I248" t="s">
        <v>26</v>
      </c>
      <c r="J248" t="s">
        <v>915</v>
      </c>
      <c r="K248" t="s">
        <v>150</v>
      </c>
      <c r="L248" t="s">
        <v>29</v>
      </c>
      <c r="M248" t="s">
        <v>310</v>
      </c>
      <c r="N248" t="s">
        <v>29</v>
      </c>
      <c r="O248" t="s">
        <v>29</v>
      </c>
      <c r="P248" t="s">
        <v>64</v>
      </c>
      <c r="Q248" s="3" t="s">
        <v>998</v>
      </c>
    </row>
    <row r="249" spans="1:17" ht="15.6" x14ac:dyDescent="0.3">
      <c r="A249" s="2">
        <v>46192</v>
      </c>
      <c r="B249">
        <v>392</v>
      </c>
      <c r="C249" t="s">
        <v>999</v>
      </c>
      <c r="D249" s="2">
        <v>46192</v>
      </c>
      <c r="E249" s="2">
        <v>46213</v>
      </c>
      <c r="F249" t="s">
        <v>123</v>
      </c>
      <c r="G249" t="s">
        <v>24</v>
      </c>
      <c r="H249" t="s">
        <v>1000</v>
      </c>
      <c r="I249" t="s">
        <v>26</v>
      </c>
      <c r="J249" t="s">
        <v>822</v>
      </c>
      <c r="K249" t="s">
        <v>207</v>
      </c>
      <c r="L249" t="s">
        <v>29</v>
      </c>
      <c r="M249" t="s">
        <v>214</v>
      </c>
      <c r="N249" t="s">
        <v>31</v>
      </c>
      <c r="O249" t="s">
        <v>29</v>
      </c>
      <c r="P249" t="s">
        <v>1001</v>
      </c>
      <c r="Q249" s="3" t="s">
        <v>1002</v>
      </c>
    </row>
    <row r="250" spans="1:17" ht="15.6" x14ac:dyDescent="0.3">
      <c r="A250" s="2">
        <v>46192</v>
      </c>
      <c r="B250">
        <v>391</v>
      </c>
      <c r="C250" t="s">
        <v>1003</v>
      </c>
      <c r="D250" s="2">
        <v>46192</v>
      </c>
      <c r="E250" s="2">
        <v>46213</v>
      </c>
      <c r="F250" t="s">
        <v>123</v>
      </c>
      <c r="G250" t="s">
        <v>147</v>
      </c>
      <c r="H250" t="s">
        <v>1004</v>
      </c>
      <c r="I250" t="s">
        <v>26</v>
      </c>
      <c r="J250" t="s">
        <v>1005</v>
      </c>
      <c r="K250" t="s">
        <v>184</v>
      </c>
      <c r="L250" t="s">
        <v>29</v>
      </c>
      <c r="M250" t="s">
        <v>128</v>
      </c>
      <c r="N250" t="s">
        <v>29</v>
      </c>
      <c r="O250" t="s">
        <v>29</v>
      </c>
      <c r="P250" t="s">
        <v>64</v>
      </c>
      <c r="Q250" s="3" t="s">
        <v>1006</v>
      </c>
    </row>
    <row r="251" spans="1:17" ht="15.6" x14ac:dyDescent="0.3">
      <c r="A251" s="2">
        <v>46192</v>
      </c>
      <c r="B251">
        <v>390</v>
      </c>
      <c r="C251" t="s">
        <v>1007</v>
      </c>
      <c r="D251" s="2">
        <v>46192</v>
      </c>
      <c r="E251" s="2">
        <v>46213</v>
      </c>
      <c r="F251" t="s">
        <v>123</v>
      </c>
      <c r="G251" t="s">
        <v>24</v>
      </c>
      <c r="H251" t="s">
        <v>1008</v>
      </c>
      <c r="I251" t="s">
        <v>26</v>
      </c>
      <c r="J251" t="s">
        <v>915</v>
      </c>
      <c r="K251" t="s">
        <v>150</v>
      </c>
      <c r="L251" t="s">
        <v>29</v>
      </c>
      <c r="M251" t="s">
        <v>310</v>
      </c>
      <c r="N251" t="s">
        <v>29</v>
      </c>
      <c r="O251" t="s">
        <v>29</v>
      </c>
      <c r="P251" t="s">
        <v>64</v>
      </c>
      <c r="Q251" s="3" t="s">
        <v>1009</v>
      </c>
    </row>
    <row r="252" spans="1:17" ht="15.6" x14ac:dyDescent="0.3">
      <c r="A252" s="2">
        <v>46192</v>
      </c>
      <c r="B252">
        <v>389</v>
      </c>
      <c r="C252" t="s">
        <v>1010</v>
      </c>
      <c r="D252" s="2">
        <v>46192</v>
      </c>
      <c r="E252" s="2">
        <v>46213</v>
      </c>
      <c r="F252" t="s">
        <v>123</v>
      </c>
      <c r="G252" t="s">
        <v>24</v>
      </c>
      <c r="H252" t="s">
        <v>1011</v>
      </c>
      <c r="I252" t="s">
        <v>26</v>
      </c>
      <c r="J252" t="s">
        <v>1012</v>
      </c>
      <c r="K252" t="s">
        <v>184</v>
      </c>
      <c r="L252" t="s">
        <v>29</v>
      </c>
      <c r="M252" t="s">
        <v>433</v>
      </c>
      <c r="N252" t="s">
        <v>29</v>
      </c>
      <c r="O252" t="s">
        <v>29</v>
      </c>
      <c r="P252" t="s">
        <v>64</v>
      </c>
      <c r="Q252" s="3" t="s">
        <v>1013</v>
      </c>
    </row>
    <row r="253" spans="1:17" ht="15.6" x14ac:dyDescent="0.3">
      <c r="A253" s="2">
        <v>46192</v>
      </c>
      <c r="B253">
        <v>388</v>
      </c>
      <c r="C253" t="s">
        <v>1014</v>
      </c>
      <c r="D253" s="2">
        <v>46192</v>
      </c>
      <c r="E253" s="2">
        <v>46213</v>
      </c>
      <c r="F253" t="s">
        <v>123</v>
      </c>
      <c r="G253" t="s">
        <v>24</v>
      </c>
      <c r="H253" t="s">
        <v>1015</v>
      </c>
      <c r="I253" t="s">
        <v>26</v>
      </c>
      <c r="J253" t="s">
        <v>1016</v>
      </c>
      <c r="K253" t="s">
        <v>207</v>
      </c>
      <c r="L253" t="s">
        <v>29</v>
      </c>
      <c r="M253" t="s">
        <v>451</v>
      </c>
      <c r="N253" t="s">
        <v>29</v>
      </c>
      <c r="O253" t="s">
        <v>29</v>
      </c>
      <c r="P253" t="s">
        <v>64</v>
      </c>
      <c r="Q253" s="3" t="s">
        <v>1017</v>
      </c>
    </row>
    <row r="254" spans="1:17" ht="15.6" x14ac:dyDescent="0.3">
      <c r="A254" s="2">
        <v>46192</v>
      </c>
      <c r="B254">
        <v>387</v>
      </c>
      <c r="C254" t="s">
        <v>1018</v>
      </c>
      <c r="D254" s="2">
        <v>46192</v>
      </c>
      <c r="E254" s="2">
        <v>46213</v>
      </c>
      <c r="F254" t="s">
        <v>123</v>
      </c>
      <c r="G254" t="s">
        <v>24</v>
      </c>
      <c r="H254" t="s">
        <v>1019</v>
      </c>
      <c r="I254" t="s">
        <v>26</v>
      </c>
      <c r="J254" t="s">
        <v>1016</v>
      </c>
      <c r="K254" t="s">
        <v>207</v>
      </c>
      <c r="L254" t="s">
        <v>29</v>
      </c>
      <c r="M254" t="s">
        <v>451</v>
      </c>
      <c r="N254" t="s">
        <v>29</v>
      </c>
      <c r="O254" t="s">
        <v>29</v>
      </c>
      <c r="P254" t="s">
        <v>64</v>
      </c>
      <c r="Q254" s="3" t="s">
        <v>1020</v>
      </c>
    </row>
    <row r="255" spans="1:17" ht="15.6" x14ac:dyDescent="0.3">
      <c r="A255" s="2">
        <v>46192</v>
      </c>
      <c r="B255">
        <v>386</v>
      </c>
      <c r="C255" t="s">
        <v>1021</v>
      </c>
      <c r="D255" s="2">
        <v>46192</v>
      </c>
      <c r="E255" s="2">
        <v>46213</v>
      </c>
      <c r="F255" t="s">
        <v>123</v>
      </c>
      <c r="G255" t="s">
        <v>24</v>
      </c>
      <c r="H255" t="s">
        <v>1022</v>
      </c>
      <c r="I255" t="s">
        <v>26</v>
      </c>
      <c r="J255" t="s">
        <v>1016</v>
      </c>
      <c r="K255" t="s">
        <v>207</v>
      </c>
      <c r="L255" t="s">
        <v>29</v>
      </c>
      <c r="M255" t="s">
        <v>289</v>
      </c>
      <c r="N255" t="s">
        <v>31</v>
      </c>
      <c r="O255" t="s">
        <v>31</v>
      </c>
      <c r="P255" t="s">
        <v>1023</v>
      </c>
      <c r="Q255" s="3" t="s">
        <v>1024</v>
      </c>
    </row>
    <row r="256" spans="1:17" ht="15.6" x14ac:dyDescent="0.3">
      <c r="A256" s="2">
        <v>46192</v>
      </c>
      <c r="B256">
        <v>385</v>
      </c>
      <c r="C256" t="s">
        <v>1025</v>
      </c>
      <c r="D256" s="2">
        <v>46192</v>
      </c>
      <c r="E256" s="2">
        <v>46213</v>
      </c>
      <c r="F256" t="s">
        <v>123</v>
      </c>
      <c r="G256" t="s">
        <v>24</v>
      </c>
      <c r="H256" t="s">
        <v>1026</v>
      </c>
      <c r="I256" t="s">
        <v>26</v>
      </c>
      <c r="J256" t="s">
        <v>1016</v>
      </c>
      <c r="K256" t="s">
        <v>207</v>
      </c>
      <c r="L256" t="s">
        <v>29</v>
      </c>
      <c r="M256" t="s">
        <v>289</v>
      </c>
      <c r="N256" t="s">
        <v>31</v>
      </c>
      <c r="O256" t="s">
        <v>31</v>
      </c>
      <c r="P256" t="s">
        <v>1027</v>
      </c>
      <c r="Q256" s="3" t="s">
        <v>1028</v>
      </c>
    </row>
    <row r="257" spans="1:17" ht="15.6" x14ac:dyDescent="0.3">
      <c r="A257" s="2">
        <v>46192</v>
      </c>
      <c r="B257">
        <v>384</v>
      </c>
      <c r="C257" t="s">
        <v>1029</v>
      </c>
      <c r="D257" s="2">
        <v>46192</v>
      </c>
      <c r="E257" s="2">
        <v>46213</v>
      </c>
      <c r="F257" t="s">
        <v>123</v>
      </c>
      <c r="G257" t="s">
        <v>147</v>
      </c>
      <c r="H257" t="s">
        <v>1030</v>
      </c>
      <c r="I257" t="s">
        <v>26</v>
      </c>
      <c r="J257" t="s">
        <v>1031</v>
      </c>
      <c r="K257" t="s">
        <v>28</v>
      </c>
      <c r="L257" t="s">
        <v>29</v>
      </c>
      <c r="M257" t="s">
        <v>1032</v>
      </c>
      <c r="N257" t="s">
        <v>31</v>
      </c>
      <c r="O257" t="s">
        <v>31</v>
      </c>
      <c r="P257" t="s">
        <v>1033</v>
      </c>
      <c r="Q257" s="3" t="s">
        <v>1034</v>
      </c>
    </row>
    <row r="258" spans="1:17" ht="15.6" x14ac:dyDescent="0.3">
      <c r="A258" s="2">
        <v>46192</v>
      </c>
      <c r="B258">
        <v>383</v>
      </c>
      <c r="C258" t="s">
        <v>1035</v>
      </c>
      <c r="D258" s="2">
        <v>46192</v>
      </c>
      <c r="E258" s="2">
        <v>46213</v>
      </c>
      <c r="F258" t="s">
        <v>123</v>
      </c>
      <c r="G258" t="s">
        <v>24</v>
      </c>
      <c r="H258" t="s">
        <v>1036</v>
      </c>
      <c r="I258" t="s">
        <v>26</v>
      </c>
      <c r="J258" t="s">
        <v>1037</v>
      </c>
      <c r="K258" t="s">
        <v>184</v>
      </c>
      <c r="L258" t="s">
        <v>29</v>
      </c>
      <c r="M258" t="s">
        <v>478</v>
      </c>
      <c r="N258" t="s">
        <v>29</v>
      </c>
      <c r="O258" t="s">
        <v>29</v>
      </c>
      <c r="P258" t="s">
        <v>64</v>
      </c>
      <c r="Q258" s="3" t="s">
        <v>1038</v>
      </c>
    </row>
    <row r="259" spans="1:17" ht="15.6" x14ac:dyDescent="0.3">
      <c r="A259" s="2">
        <v>46192</v>
      </c>
      <c r="B259">
        <v>382</v>
      </c>
      <c r="C259" t="s">
        <v>1039</v>
      </c>
      <c r="D259" s="2">
        <v>46192</v>
      </c>
      <c r="E259" s="2">
        <v>46213</v>
      </c>
      <c r="F259" t="s">
        <v>123</v>
      </c>
      <c r="G259" t="s">
        <v>24</v>
      </c>
      <c r="H259" t="s">
        <v>1040</v>
      </c>
      <c r="I259" t="s">
        <v>26</v>
      </c>
      <c r="J259" t="s">
        <v>822</v>
      </c>
      <c r="K259" t="s">
        <v>207</v>
      </c>
      <c r="L259" t="s">
        <v>29</v>
      </c>
      <c r="M259" t="s">
        <v>1041</v>
      </c>
      <c r="N259" t="s">
        <v>31</v>
      </c>
      <c r="O259" t="s">
        <v>29</v>
      </c>
      <c r="P259" t="s">
        <v>1042</v>
      </c>
      <c r="Q259" s="3" t="s">
        <v>1043</v>
      </c>
    </row>
    <row r="260" spans="1:17" ht="15.6" x14ac:dyDescent="0.3">
      <c r="A260" s="2">
        <v>46192</v>
      </c>
      <c r="B260">
        <v>381</v>
      </c>
      <c r="C260" t="s">
        <v>1044</v>
      </c>
      <c r="D260" s="2">
        <v>46192</v>
      </c>
      <c r="E260" s="2">
        <v>46213</v>
      </c>
      <c r="F260" t="s">
        <v>123</v>
      </c>
      <c r="G260" t="s">
        <v>24</v>
      </c>
      <c r="H260" t="s">
        <v>1045</v>
      </c>
      <c r="I260" t="s">
        <v>26</v>
      </c>
      <c r="J260" t="s">
        <v>1046</v>
      </c>
      <c r="K260" t="s">
        <v>184</v>
      </c>
      <c r="L260" t="s">
        <v>29</v>
      </c>
      <c r="M260" t="s">
        <v>190</v>
      </c>
      <c r="N260" t="s">
        <v>31</v>
      </c>
      <c r="O260" t="s">
        <v>31</v>
      </c>
      <c r="P260" t="s">
        <v>1047</v>
      </c>
      <c r="Q260" s="3" t="s">
        <v>1048</v>
      </c>
    </row>
    <row r="261" spans="1:17" ht="15.6" x14ac:dyDescent="0.3">
      <c r="A261" s="2">
        <v>46192</v>
      </c>
      <c r="B261">
        <v>380</v>
      </c>
      <c r="C261" t="s">
        <v>1049</v>
      </c>
      <c r="D261" s="2">
        <v>46192</v>
      </c>
      <c r="E261" s="2">
        <v>46213</v>
      </c>
      <c r="F261" t="s">
        <v>181</v>
      </c>
      <c r="G261" t="s">
        <v>24</v>
      </c>
      <c r="H261" t="s">
        <v>1050</v>
      </c>
      <c r="I261" t="s">
        <v>26</v>
      </c>
      <c r="J261" t="s">
        <v>199</v>
      </c>
      <c r="K261" t="s">
        <v>62</v>
      </c>
      <c r="L261" t="s">
        <v>29</v>
      </c>
      <c r="M261" t="s">
        <v>356</v>
      </c>
      <c r="N261" t="s">
        <v>31</v>
      </c>
      <c r="O261" t="s">
        <v>29</v>
      </c>
      <c r="P261" t="s">
        <v>684</v>
      </c>
      <c r="Q261" s="3" t="s">
        <v>1051</v>
      </c>
    </row>
    <row r="262" spans="1:17" ht="15.6" x14ac:dyDescent="0.3">
      <c r="A262" s="2">
        <v>46192</v>
      </c>
      <c r="B262">
        <v>379</v>
      </c>
      <c r="C262" t="s">
        <v>1052</v>
      </c>
      <c r="D262" s="2">
        <v>46192</v>
      </c>
      <c r="E262" s="2">
        <v>46212</v>
      </c>
      <c r="F262" t="s">
        <v>23</v>
      </c>
      <c r="G262" t="s">
        <v>24</v>
      </c>
      <c r="H262" t="s">
        <v>1053</v>
      </c>
      <c r="I262" t="s">
        <v>26</v>
      </c>
      <c r="J262" t="s">
        <v>1054</v>
      </c>
      <c r="K262" t="s">
        <v>150</v>
      </c>
      <c r="L262" t="s">
        <v>29</v>
      </c>
      <c r="M262" t="s">
        <v>310</v>
      </c>
      <c r="N262" t="s">
        <v>31</v>
      </c>
      <c r="O262" t="s">
        <v>31</v>
      </c>
      <c r="P262" t="s">
        <v>1055</v>
      </c>
      <c r="Q262" s="3" t="s">
        <v>1056</v>
      </c>
    </row>
    <row r="263" spans="1:17" ht="15.6" x14ac:dyDescent="0.3">
      <c r="A263" s="2">
        <v>46192</v>
      </c>
      <c r="B263">
        <v>378</v>
      </c>
      <c r="C263" t="s">
        <v>1057</v>
      </c>
      <c r="D263" s="2">
        <v>46192</v>
      </c>
      <c r="E263" s="2">
        <v>46212</v>
      </c>
      <c r="F263" t="s">
        <v>23</v>
      </c>
      <c r="G263" t="s">
        <v>24</v>
      </c>
      <c r="H263" t="s">
        <v>1058</v>
      </c>
      <c r="I263" t="s">
        <v>26</v>
      </c>
      <c r="J263" t="s">
        <v>1054</v>
      </c>
      <c r="K263" t="s">
        <v>150</v>
      </c>
      <c r="L263" t="s">
        <v>29</v>
      </c>
      <c r="M263" t="s">
        <v>310</v>
      </c>
      <c r="N263" t="s">
        <v>31</v>
      </c>
      <c r="O263" t="s">
        <v>31</v>
      </c>
      <c r="P263" t="s">
        <v>1059</v>
      </c>
      <c r="Q263" s="3" t="s">
        <v>1060</v>
      </c>
    </row>
    <row r="264" spans="1:17" ht="15.6" x14ac:dyDescent="0.3">
      <c r="A264" s="2">
        <v>46192</v>
      </c>
      <c r="B264">
        <v>377</v>
      </c>
      <c r="C264" t="s">
        <v>1061</v>
      </c>
      <c r="D264" s="2">
        <v>46192</v>
      </c>
      <c r="E264" s="2">
        <v>46212</v>
      </c>
      <c r="F264" t="s">
        <v>123</v>
      </c>
      <c r="G264" t="s">
        <v>24</v>
      </c>
      <c r="H264" t="s">
        <v>1062</v>
      </c>
      <c r="I264" t="s">
        <v>26</v>
      </c>
      <c r="J264" t="s">
        <v>886</v>
      </c>
      <c r="K264" t="s">
        <v>42</v>
      </c>
      <c r="L264" t="s">
        <v>29</v>
      </c>
      <c r="M264" t="s">
        <v>310</v>
      </c>
      <c r="N264" t="s">
        <v>29</v>
      </c>
      <c r="O264" t="s">
        <v>29</v>
      </c>
      <c r="P264" t="s">
        <v>64</v>
      </c>
      <c r="Q264" s="3" t="s">
        <v>1063</v>
      </c>
    </row>
    <row r="265" spans="1:17" ht="15.6" x14ac:dyDescent="0.3">
      <c r="A265" s="2">
        <v>46192</v>
      </c>
      <c r="B265">
        <v>376</v>
      </c>
      <c r="C265" t="s">
        <v>1064</v>
      </c>
      <c r="D265" s="2">
        <v>46192</v>
      </c>
      <c r="E265" s="2">
        <v>46212</v>
      </c>
      <c r="F265" t="s">
        <v>23</v>
      </c>
      <c r="G265" t="s">
        <v>24</v>
      </c>
      <c r="H265" t="s">
        <v>1065</v>
      </c>
      <c r="I265" t="s">
        <v>26</v>
      </c>
      <c r="J265" t="s">
        <v>886</v>
      </c>
      <c r="K265" t="s">
        <v>42</v>
      </c>
      <c r="L265" t="s">
        <v>29</v>
      </c>
      <c r="M265" t="s">
        <v>190</v>
      </c>
      <c r="N265" t="s">
        <v>29</v>
      </c>
      <c r="O265" t="s">
        <v>29</v>
      </c>
      <c r="P265" t="s">
        <v>64</v>
      </c>
      <c r="Q265" s="3" t="s">
        <v>1066</v>
      </c>
    </row>
    <row r="266" spans="1:17" ht="15.6" x14ac:dyDescent="0.3">
      <c r="A266" s="2">
        <v>46192</v>
      </c>
      <c r="B266">
        <v>375</v>
      </c>
      <c r="C266" t="s">
        <v>1067</v>
      </c>
      <c r="D266" s="2">
        <v>46192</v>
      </c>
      <c r="E266" s="2">
        <v>46212</v>
      </c>
      <c r="F266" t="s">
        <v>123</v>
      </c>
      <c r="G266" t="s">
        <v>147</v>
      </c>
      <c r="H266" t="s">
        <v>1068</v>
      </c>
      <c r="I266" t="s">
        <v>26</v>
      </c>
      <c r="J266" t="s">
        <v>1069</v>
      </c>
      <c r="K266" t="s">
        <v>207</v>
      </c>
      <c r="L266" t="s">
        <v>29</v>
      </c>
      <c r="M266" t="s">
        <v>254</v>
      </c>
      <c r="N266" t="s">
        <v>29</v>
      </c>
      <c r="O266" t="s">
        <v>29</v>
      </c>
      <c r="P266" t="s">
        <v>64</v>
      </c>
      <c r="Q266" s="3" t="s">
        <v>1070</v>
      </c>
    </row>
    <row r="267" spans="1:17" ht="15.6" x14ac:dyDescent="0.3">
      <c r="A267" s="2">
        <v>46192</v>
      </c>
      <c r="B267">
        <v>374</v>
      </c>
      <c r="C267" t="s">
        <v>1071</v>
      </c>
      <c r="D267" s="2">
        <v>46192</v>
      </c>
      <c r="E267" s="2">
        <v>46210</v>
      </c>
      <c r="F267" t="s">
        <v>23</v>
      </c>
      <c r="G267" t="s">
        <v>611</v>
      </c>
      <c r="H267" t="s">
        <v>1072</v>
      </c>
      <c r="I267" t="s">
        <v>26</v>
      </c>
      <c r="J267" t="s">
        <v>613</v>
      </c>
      <c r="K267" t="s">
        <v>48</v>
      </c>
      <c r="L267" t="s">
        <v>29</v>
      </c>
      <c r="M267" t="s">
        <v>30</v>
      </c>
      <c r="N267" t="s">
        <v>31</v>
      </c>
      <c r="O267" t="s">
        <v>29</v>
      </c>
      <c r="P267" t="s">
        <v>1073</v>
      </c>
      <c r="Q267" s="3" t="s">
        <v>1074</v>
      </c>
    </row>
    <row r="268" spans="1:17" ht="15.6" x14ac:dyDescent="0.3">
      <c r="A268" s="2">
        <v>46192</v>
      </c>
      <c r="B268">
        <v>373</v>
      </c>
      <c r="C268" t="s">
        <v>1075</v>
      </c>
      <c r="D268" s="2">
        <v>46192</v>
      </c>
      <c r="E268" s="2">
        <v>46211</v>
      </c>
      <c r="F268" t="s">
        <v>23</v>
      </c>
      <c r="G268" t="s">
        <v>24</v>
      </c>
      <c r="H268" t="s">
        <v>1076</v>
      </c>
      <c r="I268" t="s">
        <v>26</v>
      </c>
      <c r="J268" t="s">
        <v>1077</v>
      </c>
      <c r="K268" t="s">
        <v>42</v>
      </c>
      <c r="L268" t="s">
        <v>29</v>
      </c>
      <c r="M268" t="s">
        <v>600</v>
      </c>
      <c r="N268" t="s">
        <v>29</v>
      </c>
      <c r="O268" t="s">
        <v>29</v>
      </c>
      <c r="P268" t="s">
        <v>64</v>
      </c>
      <c r="Q268" s="3" t="s">
        <v>1078</v>
      </c>
    </row>
    <row r="269" spans="1:17" ht="15.6" x14ac:dyDescent="0.3">
      <c r="A269" s="2">
        <v>46192</v>
      </c>
      <c r="B269">
        <v>372</v>
      </c>
      <c r="C269" t="s">
        <v>1079</v>
      </c>
      <c r="D269" s="2">
        <v>46192</v>
      </c>
      <c r="E269" s="2">
        <v>46210</v>
      </c>
      <c r="F269" t="s">
        <v>330</v>
      </c>
      <c r="G269" t="s">
        <v>252</v>
      </c>
      <c r="H269" t="s">
        <v>1080</v>
      </c>
      <c r="I269" t="s">
        <v>26</v>
      </c>
      <c r="J269" t="s">
        <v>474</v>
      </c>
      <c r="K269" t="s">
        <v>184</v>
      </c>
      <c r="L269" t="s">
        <v>29</v>
      </c>
      <c r="M269" t="s">
        <v>134</v>
      </c>
      <c r="N269" t="s">
        <v>31</v>
      </c>
      <c r="O269" t="s">
        <v>31</v>
      </c>
      <c r="P269" t="s">
        <v>1081</v>
      </c>
      <c r="Q269" s="3" t="s">
        <v>1082</v>
      </c>
    </row>
    <row r="270" spans="1:17" ht="15.6" x14ac:dyDescent="0.3">
      <c r="A270" s="2">
        <v>46192</v>
      </c>
      <c r="B270">
        <v>371</v>
      </c>
      <c r="C270" t="s">
        <v>1083</v>
      </c>
      <c r="D270" s="2">
        <v>46192</v>
      </c>
      <c r="E270" s="2">
        <v>46210</v>
      </c>
      <c r="F270" t="s">
        <v>123</v>
      </c>
      <c r="G270" t="s">
        <v>252</v>
      </c>
      <c r="H270" t="s">
        <v>1084</v>
      </c>
      <c r="I270" t="s">
        <v>26</v>
      </c>
      <c r="J270" t="s">
        <v>1085</v>
      </c>
      <c r="K270" t="s">
        <v>28</v>
      </c>
      <c r="L270" t="s">
        <v>29</v>
      </c>
      <c r="M270" t="s">
        <v>478</v>
      </c>
      <c r="N270" t="s">
        <v>29</v>
      </c>
      <c r="O270" t="s">
        <v>29</v>
      </c>
      <c r="P270" t="s">
        <v>64</v>
      </c>
      <c r="Q270" s="3" t="s">
        <v>1086</v>
      </c>
    </row>
    <row r="271" spans="1:17" ht="15.6" x14ac:dyDescent="0.3">
      <c r="A271" s="2">
        <v>46192</v>
      </c>
      <c r="B271">
        <v>370</v>
      </c>
      <c r="C271" t="s">
        <v>1087</v>
      </c>
      <c r="D271" s="2">
        <v>46192</v>
      </c>
      <c r="E271" s="2">
        <v>46209</v>
      </c>
      <c r="F271" t="s">
        <v>330</v>
      </c>
      <c r="G271" t="s">
        <v>252</v>
      </c>
      <c r="H271" t="s">
        <v>1088</v>
      </c>
      <c r="I271" t="s">
        <v>26</v>
      </c>
      <c r="J271" t="s">
        <v>474</v>
      </c>
      <c r="K271" t="s">
        <v>184</v>
      </c>
      <c r="L271" t="s">
        <v>29</v>
      </c>
      <c r="M271" t="s">
        <v>289</v>
      </c>
      <c r="N271" t="s">
        <v>31</v>
      </c>
      <c r="O271" t="s">
        <v>31</v>
      </c>
      <c r="P271" t="s">
        <v>1089</v>
      </c>
      <c r="Q271" s="3" t="s">
        <v>1090</v>
      </c>
    </row>
    <row r="272" spans="1:17" ht="15.6" x14ac:dyDescent="0.3">
      <c r="A272" s="2">
        <v>46192</v>
      </c>
      <c r="B272">
        <v>369</v>
      </c>
      <c r="C272" t="s">
        <v>1091</v>
      </c>
      <c r="D272" s="2">
        <v>46192</v>
      </c>
      <c r="E272" s="2">
        <v>46210</v>
      </c>
      <c r="F272" t="s">
        <v>123</v>
      </c>
      <c r="G272" t="s">
        <v>252</v>
      </c>
      <c r="H272" t="s">
        <v>1092</v>
      </c>
      <c r="I272" t="s">
        <v>26</v>
      </c>
      <c r="J272" t="s">
        <v>1093</v>
      </c>
      <c r="K272" t="s">
        <v>62</v>
      </c>
      <c r="L272" t="s">
        <v>29</v>
      </c>
      <c r="M272" t="s">
        <v>254</v>
      </c>
      <c r="N272" t="s">
        <v>29</v>
      </c>
      <c r="O272" t="s">
        <v>29</v>
      </c>
      <c r="P272" t="s">
        <v>64</v>
      </c>
      <c r="Q272" s="3" t="s">
        <v>1094</v>
      </c>
    </row>
    <row r="273" spans="1:17" ht="15.6" x14ac:dyDescent="0.3">
      <c r="A273" s="2">
        <v>46192</v>
      </c>
      <c r="B273">
        <v>368</v>
      </c>
      <c r="C273" t="s">
        <v>1095</v>
      </c>
      <c r="D273" s="2">
        <v>46192</v>
      </c>
      <c r="E273" s="2">
        <v>46210</v>
      </c>
      <c r="F273" t="s">
        <v>23</v>
      </c>
      <c r="G273" t="s">
        <v>611</v>
      </c>
      <c r="H273" t="s">
        <v>1096</v>
      </c>
      <c r="I273" t="s">
        <v>26</v>
      </c>
      <c r="J273" t="s">
        <v>613</v>
      </c>
      <c r="K273" t="s">
        <v>48</v>
      </c>
      <c r="L273" t="s">
        <v>29</v>
      </c>
      <c r="M273" t="s">
        <v>30</v>
      </c>
      <c r="N273" t="s">
        <v>31</v>
      </c>
      <c r="O273" t="s">
        <v>29</v>
      </c>
      <c r="P273" t="s">
        <v>1073</v>
      </c>
      <c r="Q273" s="3" t="s">
        <v>1097</v>
      </c>
    </row>
    <row r="274" spans="1:17" ht="15.6" x14ac:dyDescent="0.3">
      <c r="A274" s="2">
        <v>46192</v>
      </c>
      <c r="B274">
        <v>367</v>
      </c>
      <c r="C274" t="s">
        <v>1098</v>
      </c>
      <c r="D274" s="2">
        <v>46192</v>
      </c>
      <c r="E274" s="2">
        <v>46209</v>
      </c>
      <c r="F274" t="s">
        <v>181</v>
      </c>
      <c r="G274" t="s">
        <v>24</v>
      </c>
      <c r="H274" t="s">
        <v>1099</v>
      </c>
      <c r="I274" t="s">
        <v>26</v>
      </c>
      <c r="J274" t="s">
        <v>199</v>
      </c>
      <c r="K274" t="s">
        <v>184</v>
      </c>
      <c r="L274" t="s">
        <v>29</v>
      </c>
      <c r="M274" t="s">
        <v>663</v>
      </c>
      <c r="N274" t="s">
        <v>29</v>
      </c>
      <c r="O274" t="s">
        <v>29</v>
      </c>
      <c r="P274" t="s">
        <v>64</v>
      </c>
      <c r="Q274" s="3" t="s">
        <v>1100</v>
      </c>
    </row>
    <row r="275" spans="1:17" ht="15.6" x14ac:dyDescent="0.3">
      <c r="A275" s="2">
        <v>46192</v>
      </c>
      <c r="B275">
        <v>366</v>
      </c>
      <c r="C275" t="s">
        <v>1101</v>
      </c>
      <c r="D275" s="2">
        <v>46192</v>
      </c>
      <c r="E275" s="2">
        <v>46209</v>
      </c>
      <c r="F275" t="s">
        <v>330</v>
      </c>
      <c r="G275" t="s">
        <v>252</v>
      </c>
      <c r="H275" t="s">
        <v>1102</v>
      </c>
      <c r="I275" t="s">
        <v>26</v>
      </c>
      <c r="J275" t="s">
        <v>474</v>
      </c>
      <c r="K275" t="s">
        <v>184</v>
      </c>
      <c r="L275" t="s">
        <v>29</v>
      </c>
      <c r="M275" t="s">
        <v>134</v>
      </c>
      <c r="N275" t="s">
        <v>31</v>
      </c>
      <c r="O275" t="s">
        <v>31</v>
      </c>
      <c r="P275" t="s">
        <v>1081</v>
      </c>
      <c r="Q275" s="3" t="s">
        <v>1103</v>
      </c>
    </row>
    <row r="276" spans="1:17" ht="15.6" x14ac:dyDescent="0.3">
      <c r="A276" s="2">
        <v>46192</v>
      </c>
      <c r="B276">
        <v>365</v>
      </c>
      <c r="C276" t="s">
        <v>1104</v>
      </c>
      <c r="D276" s="2">
        <v>46192</v>
      </c>
      <c r="E276" s="2">
        <v>46209</v>
      </c>
      <c r="F276" t="s">
        <v>330</v>
      </c>
      <c r="G276" t="s">
        <v>252</v>
      </c>
      <c r="H276" t="s">
        <v>1105</v>
      </c>
      <c r="I276" t="s">
        <v>26</v>
      </c>
      <c r="J276" t="s">
        <v>206</v>
      </c>
      <c r="K276" t="s">
        <v>150</v>
      </c>
      <c r="L276" t="s">
        <v>29</v>
      </c>
      <c r="M276" t="s">
        <v>134</v>
      </c>
      <c r="N276" t="s">
        <v>31</v>
      </c>
      <c r="O276" t="s">
        <v>29</v>
      </c>
      <c r="P276" t="s">
        <v>1106</v>
      </c>
      <c r="Q276" s="3" t="s">
        <v>1107</v>
      </c>
    </row>
    <row r="277" spans="1:17" ht="15.6" x14ac:dyDescent="0.3">
      <c r="A277" s="2">
        <v>46192</v>
      </c>
      <c r="B277">
        <v>364</v>
      </c>
      <c r="C277" t="s">
        <v>1108</v>
      </c>
      <c r="D277" s="2">
        <v>46192</v>
      </c>
      <c r="E277" s="2">
        <v>46206</v>
      </c>
      <c r="F277" t="s">
        <v>330</v>
      </c>
      <c r="G277" t="s">
        <v>252</v>
      </c>
      <c r="H277" t="s">
        <v>1109</v>
      </c>
      <c r="I277" t="s">
        <v>26</v>
      </c>
      <c r="J277" t="s">
        <v>1110</v>
      </c>
      <c r="K277" t="s">
        <v>28</v>
      </c>
      <c r="L277" t="s">
        <v>29</v>
      </c>
      <c r="M277" t="s">
        <v>310</v>
      </c>
      <c r="N277" t="s">
        <v>31</v>
      </c>
      <c r="O277" t="s">
        <v>31</v>
      </c>
      <c r="P277" t="s">
        <v>64</v>
      </c>
      <c r="Q277" s="3" t="s">
        <v>1111</v>
      </c>
    </row>
    <row r="278" spans="1:17" ht="15.6" x14ac:dyDescent="0.3">
      <c r="A278" s="2">
        <v>46192</v>
      </c>
      <c r="B278">
        <v>363</v>
      </c>
      <c r="C278" t="s">
        <v>1112</v>
      </c>
      <c r="D278" s="2">
        <v>46192</v>
      </c>
      <c r="E278" s="2">
        <v>46209</v>
      </c>
      <c r="F278" t="s">
        <v>123</v>
      </c>
      <c r="G278" t="s">
        <v>24</v>
      </c>
      <c r="H278" t="s">
        <v>1113</v>
      </c>
      <c r="I278" t="s">
        <v>26</v>
      </c>
      <c r="J278" t="s">
        <v>199</v>
      </c>
      <c r="K278" t="s">
        <v>62</v>
      </c>
      <c r="L278" t="s">
        <v>29</v>
      </c>
      <c r="M278" t="s">
        <v>190</v>
      </c>
      <c r="N278" t="s">
        <v>31</v>
      </c>
      <c r="O278" t="s">
        <v>29</v>
      </c>
      <c r="P278" t="s">
        <v>1114</v>
      </c>
      <c r="Q278" s="3" t="s">
        <v>1115</v>
      </c>
    </row>
    <row r="279" spans="1:17" ht="15.6" x14ac:dyDescent="0.3">
      <c r="A279" s="2">
        <v>46192</v>
      </c>
      <c r="B279">
        <v>362</v>
      </c>
      <c r="C279" t="s">
        <v>1116</v>
      </c>
      <c r="D279" s="2">
        <v>46192</v>
      </c>
      <c r="E279" s="2">
        <v>46209</v>
      </c>
      <c r="F279" t="s">
        <v>330</v>
      </c>
      <c r="G279" t="s">
        <v>252</v>
      </c>
      <c r="H279" t="s">
        <v>1117</v>
      </c>
      <c r="I279" t="s">
        <v>26</v>
      </c>
      <c r="J279" t="s">
        <v>474</v>
      </c>
      <c r="K279" t="s">
        <v>184</v>
      </c>
      <c r="L279" t="s">
        <v>29</v>
      </c>
      <c r="M279" t="s">
        <v>171</v>
      </c>
      <c r="N279" t="s">
        <v>31</v>
      </c>
      <c r="O279" t="s">
        <v>31</v>
      </c>
      <c r="P279" t="s">
        <v>1118</v>
      </c>
      <c r="Q279" s="3" t="s">
        <v>1119</v>
      </c>
    </row>
    <row r="280" spans="1:17" ht="15.6" x14ac:dyDescent="0.3">
      <c r="A280" s="2">
        <v>46192</v>
      </c>
      <c r="B280">
        <v>361</v>
      </c>
      <c r="C280" t="s">
        <v>1120</v>
      </c>
      <c r="D280" s="2">
        <v>46192</v>
      </c>
      <c r="E280" s="2">
        <v>46206</v>
      </c>
      <c r="F280" t="s">
        <v>330</v>
      </c>
      <c r="G280" t="s">
        <v>252</v>
      </c>
      <c r="H280" t="s">
        <v>1121</v>
      </c>
      <c r="I280" t="s">
        <v>26</v>
      </c>
      <c r="J280" t="s">
        <v>1122</v>
      </c>
      <c r="K280" t="s">
        <v>28</v>
      </c>
      <c r="L280" t="s">
        <v>29</v>
      </c>
      <c r="M280" t="s">
        <v>200</v>
      </c>
      <c r="N280" t="s">
        <v>29</v>
      </c>
      <c r="O280" t="s">
        <v>29</v>
      </c>
      <c r="P280" t="s">
        <v>64</v>
      </c>
      <c r="Q280" s="3" t="s">
        <v>1123</v>
      </c>
    </row>
    <row r="281" spans="1:17" ht="15.6" x14ac:dyDescent="0.3">
      <c r="A281" s="2">
        <v>46192</v>
      </c>
      <c r="B281">
        <v>360</v>
      </c>
      <c r="C281" t="s">
        <v>1124</v>
      </c>
      <c r="D281" s="2">
        <v>46192</v>
      </c>
      <c r="E281" s="2">
        <v>46206</v>
      </c>
      <c r="F281" t="s">
        <v>23</v>
      </c>
      <c r="G281" t="s">
        <v>252</v>
      </c>
      <c r="H281" t="s">
        <v>1125</v>
      </c>
      <c r="I281" t="s">
        <v>26</v>
      </c>
      <c r="J281" t="s">
        <v>886</v>
      </c>
      <c r="K281" t="s">
        <v>42</v>
      </c>
      <c r="L281" t="s">
        <v>29</v>
      </c>
      <c r="M281" t="s">
        <v>310</v>
      </c>
      <c r="N281" t="s">
        <v>29</v>
      </c>
      <c r="O281" t="s">
        <v>29</v>
      </c>
      <c r="P281" t="s">
        <v>64</v>
      </c>
      <c r="Q281" s="3" t="s">
        <v>1126</v>
      </c>
    </row>
    <row r="282" spans="1:17" ht="15.6" x14ac:dyDescent="0.3">
      <c r="A282" s="2">
        <v>46192</v>
      </c>
      <c r="B282">
        <v>359</v>
      </c>
      <c r="C282" t="s">
        <v>1127</v>
      </c>
      <c r="D282" s="2">
        <v>46192</v>
      </c>
      <c r="E282" s="2">
        <v>46206</v>
      </c>
      <c r="F282" t="s">
        <v>23</v>
      </c>
      <c r="G282" t="s">
        <v>252</v>
      </c>
      <c r="H282" t="s">
        <v>1128</v>
      </c>
      <c r="I282" t="s">
        <v>26</v>
      </c>
      <c r="J282" t="s">
        <v>516</v>
      </c>
      <c r="K282" t="s">
        <v>42</v>
      </c>
      <c r="L282" t="s">
        <v>29</v>
      </c>
      <c r="M282" t="s">
        <v>356</v>
      </c>
      <c r="N282" t="s">
        <v>29</v>
      </c>
      <c r="O282" t="s">
        <v>29</v>
      </c>
      <c r="P282" t="s">
        <v>64</v>
      </c>
      <c r="Q282" s="3" t="s">
        <v>1129</v>
      </c>
    </row>
    <row r="283" spans="1:17" ht="15.6" x14ac:dyDescent="0.3">
      <c r="A283" s="2">
        <v>46192</v>
      </c>
      <c r="B283">
        <v>358</v>
      </c>
      <c r="C283" t="s">
        <v>1130</v>
      </c>
      <c r="D283" s="2">
        <v>46192</v>
      </c>
      <c r="E283" s="2">
        <v>46206</v>
      </c>
      <c r="F283" t="s">
        <v>23</v>
      </c>
      <c r="G283" t="s">
        <v>252</v>
      </c>
      <c r="H283" t="s">
        <v>1131</v>
      </c>
      <c r="I283" t="s">
        <v>26</v>
      </c>
      <c r="J283" t="s">
        <v>516</v>
      </c>
      <c r="K283" t="s">
        <v>42</v>
      </c>
      <c r="L283" t="s">
        <v>29</v>
      </c>
      <c r="M283" t="s">
        <v>502</v>
      </c>
      <c r="N283" t="s">
        <v>29</v>
      </c>
      <c r="O283" t="s">
        <v>29</v>
      </c>
      <c r="P283" t="s">
        <v>64</v>
      </c>
      <c r="Q283" s="3" t="s">
        <v>1132</v>
      </c>
    </row>
    <row r="284" spans="1:17" ht="15.6" x14ac:dyDescent="0.3">
      <c r="A284" s="2">
        <v>46192</v>
      </c>
      <c r="B284">
        <v>357</v>
      </c>
      <c r="C284" t="s">
        <v>1133</v>
      </c>
      <c r="D284" s="2">
        <v>46192</v>
      </c>
      <c r="E284" s="2">
        <v>46206</v>
      </c>
      <c r="F284" t="s">
        <v>23</v>
      </c>
      <c r="G284" t="s">
        <v>252</v>
      </c>
      <c r="H284" t="s">
        <v>1134</v>
      </c>
      <c r="I284" t="s">
        <v>26</v>
      </c>
      <c r="J284" t="s">
        <v>516</v>
      </c>
      <c r="K284" t="s">
        <v>42</v>
      </c>
      <c r="L284" t="s">
        <v>29</v>
      </c>
      <c r="M284" t="s">
        <v>356</v>
      </c>
      <c r="N284" t="s">
        <v>29</v>
      </c>
      <c r="O284" t="s">
        <v>29</v>
      </c>
      <c r="P284" t="s">
        <v>64</v>
      </c>
      <c r="Q284" s="3" t="s">
        <v>1135</v>
      </c>
    </row>
    <row r="285" spans="1:17" ht="15.6" x14ac:dyDescent="0.3">
      <c r="A285" s="2">
        <v>46192</v>
      </c>
      <c r="B285">
        <v>356</v>
      </c>
      <c r="C285" t="s">
        <v>1136</v>
      </c>
      <c r="D285" s="2">
        <v>46192</v>
      </c>
      <c r="E285" s="2">
        <v>46206</v>
      </c>
      <c r="F285" t="s">
        <v>330</v>
      </c>
      <c r="G285" t="s">
        <v>252</v>
      </c>
      <c r="H285" t="s">
        <v>1137</v>
      </c>
      <c r="I285" t="s">
        <v>26</v>
      </c>
      <c r="J285" t="s">
        <v>279</v>
      </c>
      <c r="K285" t="s">
        <v>379</v>
      </c>
      <c r="L285" t="s">
        <v>29</v>
      </c>
      <c r="M285" t="s">
        <v>254</v>
      </c>
      <c r="N285" t="s">
        <v>29</v>
      </c>
      <c r="O285" t="s">
        <v>29</v>
      </c>
      <c r="P285" t="s">
        <v>64</v>
      </c>
      <c r="Q285" s="3" t="s">
        <v>1138</v>
      </c>
    </row>
    <row r="286" spans="1:17" ht="15.6" x14ac:dyDescent="0.3">
      <c r="A286" s="2">
        <v>46192</v>
      </c>
      <c r="B286">
        <v>355</v>
      </c>
      <c r="C286" t="s">
        <v>1139</v>
      </c>
      <c r="D286" s="2">
        <v>46192</v>
      </c>
      <c r="E286" s="2">
        <v>46206</v>
      </c>
      <c r="F286" t="s">
        <v>23</v>
      </c>
      <c r="G286" t="s">
        <v>24</v>
      </c>
      <c r="H286" t="s">
        <v>1140</v>
      </c>
      <c r="I286" t="s">
        <v>26</v>
      </c>
      <c r="J286" t="s">
        <v>1141</v>
      </c>
      <c r="K286" t="s">
        <v>62</v>
      </c>
      <c r="L286" t="s">
        <v>29</v>
      </c>
      <c r="M286" t="s">
        <v>30</v>
      </c>
      <c r="N286" t="s">
        <v>29</v>
      </c>
      <c r="O286" t="s">
        <v>29</v>
      </c>
      <c r="P286" t="s">
        <v>64</v>
      </c>
      <c r="Q286" s="3" t="s">
        <v>1142</v>
      </c>
    </row>
    <row r="287" spans="1:17" ht="15.6" x14ac:dyDescent="0.3">
      <c r="A287" s="2">
        <v>46192</v>
      </c>
      <c r="B287">
        <v>354</v>
      </c>
      <c r="C287" t="s">
        <v>1143</v>
      </c>
      <c r="D287" s="2">
        <v>46192</v>
      </c>
      <c r="E287" s="2">
        <v>46206</v>
      </c>
      <c r="F287" t="s">
        <v>123</v>
      </c>
      <c r="G287" t="s">
        <v>252</v>
      </c>
      <c r="H287" t="s">
        <v>1144</v>
      </c>
      <c r="I287" t="s">
        <v>26</v>
      </c>
      <c r="J287" t="s">
        <v>1085</v>
      </c>
      <c r="K287" t="s">
        <v>28</v>
      </c>
      <c r="L287" t="s">
        <v>29</v>
      </c>
      <c r="M287" t="s">
        <v>478</v>
      </c>
      <c r="N287" t="s">
        <v>31</v>
      </c>
      <c r="O287" t="s">
        <v>29</v>
      </c>
      <c r="P287" t="s">
        <v>64</v>
      </c>
      <c r="Q287" s="3" t="s">
        <v>1145</v>
      </c>
    </row>
    <row r="288" spans="1:17" ht="15.6" x14ac:dyDescent="0.3">
      <c r="A288" s="2">
        <v>46192</v>
      </c>
      <c r="B288">
        <v>353</v>
      </c>
      <c r="C288" t="s">
        <v>1146</v>
      </c>
      <c r="D288" s="2">
        <v>46192</v>
      </c>
      <c r="E288" s="2">
        <v>46206</v>
      </c>
      <c r="F288" t="s">
        <v>347</v>
      </c>
      <c r="G288" t="s">
        <v>227</v>
      </c>
      <c r="H288" t="s">
        <v>1147</v>
      </c>
      <c r="I288" t="s">
        <v>26</v>
      </c>
      <c r="J288" t="s">
        <v>1148</v>
      </c>
      <c r="K288" t="s">
        <v>184</v>
      </c>
      <c r="L288" t="s">
        <v>29</v>
      </c>
      <c r="M288" t="s">
        <v>254</v>
      </c>
      <c r="N288" t="s">
        <v>31</v>
      </c>
      <c r="O288" t="s">
        <v>29</v>
      </c>
      <c r="P288" t="s">
        <v>1149</v>
      </c>
      <c r="Q288" s="3" t="s">
        <v>1150</v>
      </c>
    </row>
    <row r="289" spans="1:17" ht="15.6" x14ac:dyDescent="0.3">
      <c r="A289" s="2">
        <v>46192</v>
      </c>
      <c r="B289">
        <v>352</v>
      </c>
      <c r="C289" t="s">
        <v>1151</v>
      </c>
      <c r="D289" s="2">
        <v>46192</v>
      </c>
      <c r="E289" s="2">
        <v>46206</v>
      </c>
      <c r="F289" t="s">
        <v>330</v>
      </c>
      <c r="G289" t="s">
        <v>252</v>
      </c>
      <c r="H289" t="s">
        <v>1152</v>
      </c>
      <c r="I289" t="s">
        <v>26</v>
      </c>
      <c r="J289" t="s">
        <v>1110</v>
      </c>
      <c r="K289" t="s">
        <v>28</v>
      </c>
      <c r="L289" t="s">
        <v>29</v>
      </c>
      <c r="M289" t="s">
        <v>310</v>
      </c>
      <c r="N289" t="s">
        <v>31</v>
      </c>
      <c r="O289" t="s">
        <v>31</v>
      </c>
      <c r="P289" t="s">
        <v>1153</v>
      </c>
      <c r="Q289" s="3" t="s">
        <v>1154</v>
      </c>
    </row>
    <row r="290" spans="1:17" ht="15.6" x14ac:dyDescent="0.3">
      <c r="A290" s="2">
        <v>46192</v>
      </c>
      <c r="B290">
        <v>351</v>
      </c>
      <c r="C290" t="s">
        <v>1155</v>
      </c>
      <c r="D290" s="2">
        <v>46192</v>
      </c>
      <c r="E290" s="2">
        <v>46206</v>
      </c>
      <c r="F290" t="s">
        <v>123</v>
      </c>
      <c r="G290" t="s">
        <v>252</v>
      </c>
      <c r="H290" t="s">
        <v>1156</v>
      </c>
      <c r="I290" t="s">
        <v>26</v>
      </c>
      <c r="J290" t="s">
        <v>1157</v>
      </c>
      <c r="K290" t="s">
        <v>184</v>
      </c>
      <c r="L290" t="s">
        <v>29</v>
      </c>
      <c r="M290" t="s">
        <v>1158</v>
      </c>
      <c r="N290" t="s">
        <v>31</v>
      </c>
      <c r="O290" t="s">
        <v>31</v>
      </c>
      <c r="P290" t="s">
        <v>1159</v>
      </c>
      <c r="Q290" s="3" t="s">
        <v>1160</v>
      </c>
    </row>
    <row r="291" spans="1:17" ht="15.6" x14ac:dyDescent="0.3">
      <c r="A291" s="2">
        <v>46192</v>
      </c>
      <c r="B291">
        <v>350</v>
      </c>
      <c r="C291" t="s">
        <v>1161</v>
      </c>
      <c r="D291" s="2">
        <v>46192</v>
      </c>
      <c r="E291" s="2">
        <v>46206</v>
      </c>
      <c r="F291" t="s">
        <v>123</v>
      </c>
      <c r="G291" t="s">
        <v>24</v>
      </c>
      <c r="H291" t="s">
        <v>1162</v>
      </c>
      <c r="I291" t="s">
        <v>26</v>
      </c>
      <c r="J291" t="s">
        <v>1163</v>
      </c>
      <c r="K291" t="s">
        <v>150</v>
      </c>
      <c r="L291" t="s">
        <v>29</v>
      </c>
      <c r="M291" t="s">
        <v>310</v>
      </c>
      <c r="N291" t="s">
        <v>29</v>
      </c>
      <c r="O291" t="s">
        <v>29</v>
      </c>
      <c r="P291" t="s">
        <v>64</v>
      </c>
      <c r="Q291" s="3" t="s">
        <v>1164</v>
      </c>
    </row>
    <row r="292" spans="1:17" ht="15.6" x14ac:dyDescent="0.3">
      <c r="A292" s="2">
        <v>46192</v>
      </c>
      <c r="B292">
        <v>349</v>
      </c>
      <c r="C292" t="s">
        <v>1165</v>
      </c>
      <c r="D292" s="2">
        <v>46192</v>
      </c>
      <c r="E292" s="2">
        <v>46206</v>
      </c>
      <c r="F292" t="s">
        <v>1166</v>
      </c>
      <c r="G292" t="s">
        <v>147</v>
      </c>
      <c r="H292" t="s">
        <v>1167</v>
      </c>
      <c r="I292" t="s">
        <v>26</v>
      </c>
      <c r="J292" t="s">
        <v>1168</v>
      </c>
      <c r="K292" t="s">
        <v>184</v>
      </c>
      <c r="L292" t="s">
        <v>29</v>
      </c>
      <c r="M292" t="s">
        <v>254</v>
      </c>
      <c r="N292" t="s">
        <v>29</v>
      </c>
      <c r="O292" t="s">
        <v>29</v>
      </c>
      <c r="P292" t="s">
        <v>64</v>
      </c>
      <c r="Q292" s="3" t="s">
        <v>1169</v>
      </c>
    </row>
    <row r="293" spans="1:17" ht="15.6" x14ac:dyDescent="0.3">
      <c r="A293" s="2">
        <v>46192</v>
      </c>
      <c r="B293">
        <v>348</v>
      </c>
      <c r="C293" t="s">
        <v>1170</v>
      </c>
      <c r="D293" s="2">
        <v>46192</v>
      </c>
      <c r="E293" s="2">
        <v>46206</v>
      </c>
      <c r="F293" t="s">
        <v>123</v>
      </c>
      <c r="G293" t="s">
        <v>252</v>
      </c>
      <c r="H293" t="s">
        <v>1171</v>
      </c>
      <c r="I293" t="s">
        <v>26</v>
      </c>
      <c r="J293" t="s">
        <v>373</v>
      </c>
      <c r="K293" t="s">
        <v>184</v>
      </c>
      <c r="L293" t="s">
        <v>29</v>
      </c>
      <c r="M293" t="s">
        <v>254</v>
      </c>
      <c r="N293" t="s">
        <v>29</v>
      </c>
      <c r="O293" t="s">
        <v>29</v>
      </c>
      <c r="P293" t="s">
        <v>64</v>
      </c>
      <c r="Q293" s="3" t="s">
        <v>1172</v>
      </c>
    </row>
    <row r="294" spans="1:17" ht="15.6" x14ac:dyDescent="0.3">
      <c r="A294" s="2">
        <v>46192</v>
      </c>
      <c r="B294">
        <v>347</v>
      </c>
      <c r="C294" t="s">
        <v>1173</v>
      </c>
      <c r="D294" s="2">
        <v>46192</v>
      </c>
      <c r="E294" s="2">
        <v>46205</v>
      </c>
      <c r="F294" t="s">
        <v>123</v>
      </c>
      <c r="G294" t="s">
        <v>252</v>
      </c>
      <c r="H294" t="s">
        <v>1174</v>
      </c>
      <c r="I294" t="s">
        <v>26</v>
      </c>
      <c r="J294" t="s">
        <v>1175</v>
      </c>
      <c r="K294" t="s">
        <v>184</v>
      </c>
      <c r="L294" t="s">
        <v>29</v>
      </c>
      <c r="M294" t="s">
        <v>254</v>
      </c>
      <c r="N294" t="s">
        <v>31</v>
      </c>
      <c r="O294" t="s">
        <v>31</v>
      </c>
      <c r="P294" t="s">
        <v>1176</v>
      </c>
      <c r="Q294" s="3" t="s">
        <v>1177</v>
      </c>
    </row>
    <row r="295" spans="1:17" ht="15.6" x14ac:dyDescent="0.3">
      <c r="A295" s="2">
        <v>46192</v>
      </c>
      <c r="B295">
        <v>346</v>
      </c>
      <c r="C295" t="s">
        <v>1178</v>
      </c>
      <c r="D295" s="2">
        <v>46192</v>
      </c>
      <c r="E295" s="2">
        <v>46206</v>
      </c>
      <c r="F295" t="s">
        <v>123</v>
      </c>
      <c r="G295" t="s">
        <v>227</v>
      </c>
      <c r="H295" t="s">
        <v>1179</v>
      </c>
      <c r="I295" t="s">
        <v>26</v>
      </c>
      <c r="J295" t="s">
        <v>1180</v>
      </c>
      <c r="K295" t="s">
        <v>207</v>
      </c>
      <c r="L295" t="s">
        <v>29</v>
      </c>
      <c r="M295" t="s">
        <v>208</v>
      </c>
      <c r="N295" t="s">
        <v>29</v>
      </c>
      <c r="O295" t="s">
        <v>29</v>
      </c>
      <c r="P295" t="s">
        <v>64</v>
      </c>
      <c r="Q295" s="3" t="s">
        <v>1181</v>
      </c>
    </row>
    <row r="296" spans="1:17" ht="15.6" x14ac:dyDescent="0.3">
      <c r="A296" s="2">
        <v>46192</v>
      </c>
      <c r="B296">
        <v>345</v>
      </c>
      <c r="C296" t="s">
        <v>1182</v>
      </c>
      <c r="D296" s="2">
        <v>46192</v>
      </c>
      <c r="E296" s="2">
        <v>46205</v>
      </c>
      <c r="F296" t="s">
        <v>23</v>
      </c>
      <c r="G296" t="s">
        <v>24</v>
      </c>
      <c r="H296" t="s">
        <v>1183</v>
      </c>
      <c r="I296" t="s">
        <v>26</v>
      </c>
      <c r="J296" t="s">
        <v>1184</v>
      </c>
      <c r="K296" t="s">
        <v>379</v>
      </c>
      <c r="L296" t="s">
        <v>29</v>
      </c>
      <c r="M296" t="s">
        <v>343</v>
      </c>
      <c r="N296" t="s">
        <v>29</v>
      </c>
      <c r="O296" t="s">
        <v>29</v>
      </c>
      <c r="P296" t="s">
        <v>64</v>
      </c>
      <c r="Q296" s="3" t="s">
        <v>1185</v>
      </c>
    </row>
    <row r="297" spans="1:17" ht="15.6" x14ac:dyDescent="0.3">
      <c r="A297" s="2">
        <v>46192</v>
      </c>
      <c r="B297">
        <v>344</v>
      </c>
      <c r="C297" t="s">
        <v>1186</v>
      </c>
      <c r="D297" s="2">
        <v>46192</v>
      </c>
      <c r="E297" s="2">
        <v>46205</v>
      </c>
      <c r="F297" t="s">
        <v>23</v>
      </c>
      <c r="G297" t="s">
        <v>252</v>
      </c>
      <c r="H297" t="s">
        <v>1187</v>
      </c>
      <c r="I297" t="s">
        <v>26</v>
      </c>
      <c r="J297" t="s">
        <v>1188</v>
      </c>
      <c r="K297" t="s">
        <v>28</v>
      </c>
      <c r="L297" t="s">
        <v>29</v>
      </c>
      <c r="M297" t="s">
        <v>30</v>
      </c>
      <c r="N297" t="s">
        <v>29</v>
      </c>
      <c r="O297" t="s">
        <v>29</v>
      </c>
      <c r="P297" t="s">
        <v>64</v>
      </c>
      <c r="Q297" s="3" t="s">
        <v>1189</v>
      </c>
    </row>
    <row r="298" spans="1:17" ht="15.6" x14ac:dyDescent="0.3">
      <c r="A298" s="2">
        <v>46192</v>
      </c>
      <c r="B298">
        <v>343</v>
      </c>
      <c r="C298" t="s">
        <v>1190</v>
      </c>
      <c r="D298" s="2">
        <v>46192</v>
      </c>
      <c r="E298" s="2">
        <v>46205</v>
      </c>
      <c r="F298" t="s">
        <v>347</v>
      </c>
      <c r="G298" t="s">
        <v>227</v>
      </c>
      <c r="H298" t="s">
        <v>1191</v>
      </c>
      <c r="I298" t="s">
        <v>26</v>
      </c>
      <c r="J298" t="s">
        <v>1148</v>
      </c>
      <c r="K298" t="s">
        <v>184</v>
      </c>
      <c r="L298" t="s">
        <v>29</v>
      </c>
      <c r="M298" t="s">
        <v>254</v>
      </c>
      <c r="N298" t="s">
        <v>31</v>
      </c>
      <c r="O298" t="s">
        <v>29</v>
      </c>
      <c r="P298" t="s">
        <v>1149</v>
      </c>
      <c r="Q298" s="3" t="s">
        <v>1192</v>
      </c>
    </row>
    <row r="299" spans="1:17" ht="15.6" x14ac:dyDescent="0.3">
      <c r="A299" s="2">
        <v>46192</v>
      </c>
      <c r="B299">
        <v>342</v>
      </c>
      <c r="C299" t="s">
        <v>1193</v>
      </c>
      <c r="D299" s="2">
        <v>46192</v>
      </c>
      <c r="E299" s="2">
        <v>46205</v>
      </c>
      <c r="F299" t="s">
        <v>258</v>
      </c>
      <c r="G299" t="s">
        <v>227</v>
      </c>
      <c r="H299" t="s">
        <v>1194</v>
      </c>
      <c r="I299" t="s">
        <v>26</v>
      </c>
      <c r="J299" t="s">
        <v>1148</v>
      </c>
      <c r="K299" t="s">
        <v>184</v>
      </c>
      <c r="L299" t="s">
        <v>29</v>
      </c>
      <c r="M299" t="s">
        <v>254</v>
      </c>
      <c r="N299" t="s">
        <v>31</v>
      </c>
      <c r="O299" t="s">
        <v>29</v>
      </c>
      <c r="P299" t="s">
        <v>1149</v>
      </c>
      <c r="Q299" s="3" t="s">
        <v>1195</v>
      </c>
    </row>
    <row r="300" spans="1:17" ht="15.6" x14ac:dyDescent="0.3">
      <c r="A300" s="2">
        <v>46192</v>
      </c>
      <c r="B300">
        <v>341</v>
      </c>
      <c r="C300" t="s">
        <v>1196</v>
      </c>
      <c r="D300" s="2">
        <v>46192</v>
      </c>
      <c r="E300" s="2">
        <v>46203</v>
      </c>
      <c r="F300" t="s">
        <v>330</v>
      </c>
      <c r="G300" t="s">
        <v>147</v>
      </c>
      <c r="H300" t="s">
        <v>1197</v>
      </c>
      <c r="I300" t="s">
        <v>26</v>
      </c>
      <c r="J300" t="s">
        <v>1198</v>
      </c>
      <c r="K300" t="s">
        <v>184</v>
      </c>
      <c r="L300" t="s">
        <v>29</v>
      </c>
      <c r="M300" t="s">
        <v>254</v>
      </c>
      <c r="N300" t="s">
        <v>29</v>
      </c>
      <c r="O300" t="s">
        <v>29</v>
      </c>
      <c r="P300" t="s">
        <v>64</v>
      </c>
      <c r="Q300" s="3" t="s">
        <v>1199</v>
      </c>
    </row>
    <row r="301" spans="1:17" ht="15.6" x14ac:dyDescent="0.3">
      <c r="A301" s="2">
        <v>46192</v>
      </c>
      <c r="B301">
        <v>340</v>
      </c>
      <c r="C301" t="s">
        <v>1200</v>
      </c>
      <c r="D301" s="2">
        <v>46192</v>
      </c>
      <c r="E301" s="2">
        <v>46203</v>
      </c>
      <c r="F301" t="s">
        <v>330</v>
      </c>
      <c r="G301" t="s">
        <v>252</v>
      </c>
      <c r="H301" t="s">
        <v>1201</v>
      </c>
      <c r="I301" t="s">
        <v>26</v>
      </c>
      <c r="J301" t="s">
        <v>1202</v>
      </c>
      <c r="K301" t="s">
        <v>48</v>
      </c>
      <c r="L301" t="s">
        <v>29</v>
      </c>
      <c r="M301" t="s">
        <v>254</v>
      </c>
      <c r="N301" t="s">
        <v>29</v>
      </c>
      <c r="O301" t="s">
        <v>29</v>
      </c>
      <c r="P301" t="s">
        <v>64</v>
      </c>
      <c r="Q301" s="3" t="s">
        <v>1203</v>
      </c>
    </row>
    <row r="302" spans="1:17" ht="15.6" x14ac:dyDescent="0.3">
      <c r="A302" s="2">
        <v>46192</v>
      </c>
      <c r="B302">
        <v>339</v>
      </c>
      <c r="C302" t="s">
        <v>1204</v>
      </c>
      <c r="D302" s="2">
        <v>46192</v>
      </c>
      <c r="E302" s="2">
        <v>46204</v>
      </c>
      <c r="F302" t="s">
        <v>123</v>
      </c>
      <c r="G302" t="s">
        <v>252</v>
      </c>
      <c r="H302" t="s">
        <v>1205</v>
      </c>
      <c r="I302" t="s">
        <v>26</v>
      </c>
      <c r="J302" t="s">
        <v>1085</v>
      </c>
      <c r="K302" t="s">
        <v>28</v>
      </c>
      <c r="L302" t="s">
        <v>29</v>
      </c>
      <c r="M302" t="s">
        <v>478</v>
      </c>
      <c r="N302" t="s">
        <v>29</v>
      </c>
      <c r="O302" t="s">
        <v>29</v>
      </c>
      <c r="P302" t="s">
        <v>64</v>
      </c>
      <c r="Q302" s="3" t="s">
        <v>1206</v>
      </c>
    </row>
    <row r="303" spans="1:17" ht="15.6" x14ac:dyDescent="0.3">
      <c r="A303" s="2">
        <v>46192</v>
      </c>
      <c r="B303">
        <v>338</v>
      </c>
      <c r="C303" t="s">
        <v>1207</v>
      </c>
      <c r="D303" s="2">
        <v>46192</v>
      </c>
      <c r="E303" s="2">
        <v>46203</v>
      </c>
      <c r="F303" t="s">
        <v>258</v>
      </c>
      <c r="G303" t="s">
        <v>252</v>
      </c>
      <c r="H303" t="s">
        <v>1208</v>
      </c>
      <c r="I303" t="s">
        <v>26</v>
      </c>
      <c r="J303" t="s">
        <v>1209</v>
      </c>
      <c r="K303" t="s">
        <v>379</v>
      </c>
      <c r="L303" t="s">
        <v>29</v>
      </c>
      <c r="M303" t="s">
        <v>254</v>
      </c>
      <c r="N303" t="s">
        <v>29</v>
      </c>
      <c r="O303" t="s">
        <v>29</v>
      </c>
      <c r="P303" t="s">
        <v>64</v>
      </c>
      <c r="Q303" s="3" t="s">
        <v>1210</v>
      </c>
    </row>
    <row r="304" spans="1:17" ht="15.6" x14ac:dyDescent="0.3">
      <c r="A304" s="2">
        <v>46192</v>
      </c>
      <c r="B304">
        <v>337</v>
      </c>
      <c r="C304" t="s">
        <v>1211</v>
      </c>
      <c r="D304" s="2">
        <v>46192</v>
      </c>
      <c r="E304" s="2">
        <v>46203</v>
      </c>
      <c r="F304" t="s">
        <v>123</v>
      </c>
      <c r="G304" t="s">
        <v>24</v>
      </c>
      <c r="H304" t="s">
        <v>1212</v>
      </c>
      <c r="I304" t="s">
        <v>26</v>
      </c>
      <c r="J304" t="s">
        <v>1163</v>
      </c>
      <c r="K304" t="s">
        <v>150</v>
      </c>
      <c r="L304" t="s">
        <v>29</v>
      </c>
      <c r="M304" t="s">
        <v>163</v>
      </c>
      <c r="N304" t="s">
        <v>29</v>
      </c>
      <c r="O304" t="s">
        <v>29</v>
      </c>
      <c r="P304" t="s">
        <v>64</v>
      </c>
      <c r="Q304" s="3" t="s">
        <v>1213</v>
      </c>
    </row>
    <row r="305" spans="1:17" ht="15.6" x14ac:dyDescent="0.3">
      <c r="A305" s="2">
        <v>46192</v>
      </c>
      <c r="B305">
        <v>336</v>
      </c>
      <c r="C305" t="s">
        <v>1214</v>
      </c>
      <c r="D305" s="2">
        <v>46192</v>
      </c>
      <c r="E305" s="2">
        <v>46204</v>
      </c>
      <c r="F305" t="s">
        <v>123</v>
      </c>
      <c r="G305" t="s">
        <v>252</v>
      </c>
      <c r="H305" t="s">
        <v>1215</v>
      </c>
      <c r="I305" t="s">
        <v>26</v>
      </c>
      <c r="J305" t="s">
        <v>1216</v>
      </c>
      <c r="K305" t="s">
        <v>42</v>
      </c>
      <c r="L305" t="s">
        <v>29</v>
      </c>
      <c r="M305" t="s">
        <v>171</v>
      </c>
      <c r="N305" t="s">
        <v>29</v>
      </c>
      <c r="O305" t="s">
        <v>29</v>
      </c>
      <c r="P305" t="s">
        <v>64</v>
      </c>
      <c r="Q305" s="3" t="s">
        <v>1217</v>
      </c>
    </row>
    <row r="306" spans="1:17" ht="15.6" x14ac:dyDescent="0.3">
      <c r="A306" s="2">
        <v>46192</v>
      </c>
      <c r="B306">
        <v>335</v>
      </c>
      <c r="C306" t="s">
        <v>1218</v>
      </c>
      <c r="D306" s="2">
        <v>46192</v>
      </c>
      <c r="E306" s="2">
        <v>46204</v>
      </c>
      <c r="F306" t="s">
        <v>123</v>
      </c>
      <c r="G306" t="s">
        <v>252</v>
      </c>
      <c r="H306" t="s">
        <v>1219</v>
      </c>
      <c r="I306" t="s">
        <v>26</v>
      </c>
      <c r="J306" t="s">
        <v>1216</v>
      </c>
      <c r="K306" t="s">
        <v>42</v>
      </c>
      <c r="L306" t="s">
        <v>29</v>
      </c>
      <c r="M306" t="s">
        <v>171</v>
      </c>
      <c r="N306" t="s">
        <v>29</v>
      </c>
      <c r="O306" t="s">
        <v>29</v>
      </c>
      <c r="P306" t="s">
        <v>64</v>
      </c>
      <c r="Q306" s="3" t="s">
        <v>1220</v>
      </c>
    </row>
    <row r="307" spans="1:17" ht="15.6" x14ac:dyDescent="0.3">
      <c r="A307" s="2">
        <v>46192</v>
      </c>
      <c r="B307">
        <v>334</v>
      </c>
      <c r="C307" t="s">
        <v>1221</v>
      </c>
      <c r="D307" s="2">
        <v>46192</v>
      </c>
      <c r="E307" s="2">
        <v>46204</v>
      </c>
      <c r="F307" t="s">
        <v>123</v>
      </c>
      <c r="G307" t="s">
        <v>252</v>
      </c>
      <c r="H307" t="s">
        <v>1222</v>
      </c>
      <c r="I307" t="s">
        <v>26</v>
      </c>
      <c r="J307" t="s">
        <v>1216</v>
      </c>
      <c r="K307" t="s">
        <v>42</v>
      </c>
      <c r="L307" t="s">
        <v>29</v>
      </c>
      <c r="M307" t="s">
        <v>171</v>
      </c>
      <c r="N307" t="s">
        <v>29</v>
      </c>
      <c r="O307" t="s">
        <v>29</v>
      </c>
      <c r="P307" t="s">
        <v>64</v>
      </c>
      <c r="Q307" s="3" t="s">
        <v>1223</v>
      </c>
    </row>
    <row r="308" spans="1:17" ht="15.6" x14ac:dyDescent="0.3">
      <c r="A308" s="2">
        <v>46192</v>
      </c>
      <c r="B308">
        <v>333</v>
      </c>
      <c r="C308" t="s">
        <v>1224</v>
      </c>
      <c r="D308" s="2">
        <v>46192</v>
      </c>
      <c r="E308" s="2">
        <v>46204</v>
      </c>
      <c r="F308" t="s">
        <v>123</v>
      </c>
      <c r="G308" t="s">
        <v>252</v>
      </c>
      <c r="H308" t="s">
        <v>1225</v>
      </c>
      <c r="I308" t="s">
        <v>26</v>
      </c>
      <c r="J308" t="s">
        <v>1216</v>
      </c>
      <c r="K308" t="s">
        <v>42</v>
      </c>
      <c r="L308" t="s">
        <v>29</v>
      </c>
      <c r="M308" t="s">
        <v>254</v>
      </c>
      <c r="N308" t="s">
        <v>29</v>
      </c>
      <c r="O308" t="s">
        <v>29</v>
      </c>
      <c r="P308" t="s">
        <v>64</v>
      </c>
      <c r="Q308" s="3" t="s">
        <v>1226</v>
      </c>
    </row>
    <row r="309" spans="1:17" ht="15.6" x14ac:dyDescent="0.3">
      <c r="A309" s="2">
        <v>46192</v>
      </c>
      <c r="B309">
        <v>332</v>
      </c>
      <c r="C309" t="s">
        <v>1227</v>
      </c>
      <c r="D309" s="2">
        <v>46192</v>
      </c>
      <c r="E309" s="2">
        <v>46203</v>
      </c>
      <c r="F309" t="s">
        <v>123</v>
      </c>
      <c r="G309" t="s">
        <v>252</v>
      </c>
      <c r="H309" t="s">
        <v>1228</v>
      </c>
      <c r="I309" t="s">
        <v>26</v>
      </c>
      <c r="J309" t="s">
        <v>1229</v>
      </c>
      <c r="K309" t="s">
        <v>42</v>
      </c>
      <c r="L309" t="s">
        <v>29</v>
      </c>
      <c r="M309" t="s">
        <v>343</v>
      </c>
      <c r="N309" t="s">
        <v>29</v>
      </c>
      <c r="O309" t="s">
        <v>29</v>
      </c>
      <c r="P309" t="s">
        <v>64</v>
      </c>
      <c r="Q309" s="3" t="s">
        <v>1230</v>
      </c>
    </row>
    <row r="310" spans="1:17" ht="15.6" x14ac:dyDescent="0.3">
      <c r="A310" s="2">
        <v>46192</v>
      </c>
      <c r="B310">
        <v>331</v>
      </c>
      <c r="C310" t="s">
        <v>1231</v>
      </c>
      <c r="D310" s="2">
        <v>46192</v>
      </c>
      <c r="E310" s="2">
        <v>46203</v>
      </c>
      <c r="F310" t="s">
        <v>123</v>
      </c>
      <c r="G310" t="s">
        <v>252</v>
      </c>
      <c r="H310" t="s">
        <v>1232</v>
      </c>
      <c r="I310" t="s">
        <v>26</v>
      </c>
      <c r="J310" t="s">
        <v>1233</v>
      </c>
      <c r="K310" t="s">
        <v>28</v>
      </c>
      <c r="L310" t="s">
        <v>29</v>
      </c>
      <c r="M310" t="s">
        <v>507</v>
      </c>
      <c r="N310" t="s">
        <v>29</v>
      </c>
      <c r="O310" t="s">
        <v>29</v>
      </c>
      <c r="P310" t="s">
        <v>64</v>
      </c>
      <c r="Q310" s="3" t="s">
        <v>1234</v>
      </c>
    </row>
    <row r="311" spans="1:17" ht="15.6" x14ac:dyDescent="0.3">
      <c r="A311" s="2">
        <v>46192</v>
      </c>
      <c r="B311">
        <v>330</v>
      </c>
      <c r="C311" t="s">
        <v>1235</v>
      </c>
      <c r="D311" s="2">
        <v>46192</v>
      </c>
      <c r="E311" s="2">
        <v>46202</v>
      </c>
      <c r="F311" t="s">
        <v>23</v>
      </c>
      <c r="G311" t="s">
        <v>252</v>
      </c>
      <c r="H311" t="s">
        <v>1236</v>
      </c>
      <c r="I311" t="s">
        <v>26</v>
      </c>
      <c r="J311" t="s">
        <v>1237</v>
      </c>
      <c r="K311" t="s">
        <v>48</v>
      </c>
      <c r="L311" t="s">
        <v>29</v>
      </c>
      <c r="M311" t="s">
        <v>254</v>
      </c>
      <c r="N311" t="s">
        <v>29</v>
      </c>
      <c r="O311" t="s">
        <v>29</v>
      </c>
      <c r="P311" t="s">
        <v>64</v>
      </c>
      <c r="Q311" s="3" t="s">
        <v>1238</v>
      </c>
    </row>
    <row r="312" spans="1:17" ht="15.6" x14ac:dyDescent="0.3">
      <c r="A312" s="2">
        <v>46192</v>
      </c>
      <c r="B312">
        <v>329</v>
      </c>
      <c r="C312" t="s">
        <v>1239</v>
      </c>
      <c r="D312" s="2">
        <v>46192</v>
      </c>
      <c r="E312" s="2">
        <v>46202</v>
      </c>
      <c r="F312" t="s">
        <v>123</v>
      </c>
      <c r="G312" t="s">
        <v>252</v>
      </c>
      <c r="H312" t="s">
        <v>1240</v>
      </c>
      <c r="I312" t="s">
        <v>26</v>
      </c>
      <c r="J312" t="s">
        <v>1241</v>
      </c>
      <c r="K312" t="s">
        <v>150</v>
      </c>
      <c r="L312" t="s">
        <v>29</v>
      </c>
      <c r="M312" t="s">
        <v>120</v>
      </c>
      <c r="N312" t="s">
        <v>29</v>
      </c>
      <c r="O312" t="s">
        <v>29</v>
      </c>
      <c r="P312" t="s">
        <v>64</v>
      </c>
      <c r="Q312" s="3" t="s">
        <v>1242</v>
      </c>
    </row>
    <row r="313" spans="1:17" ht="15.6" x14ac:dyDescent="0.3">
      <c r="A313" s="2">
        <v>46192</v>
      </c>
      <c r="B313">
        <v>328</v>
      </c>
      <c r="C313" t="s">
        <v>1243</v>
      </c>
      <c r="D313" s="2">
        <v>46192</v>
      </c>
      <c r="E313" s="2">
        <v>46202</v>
      </c>
      <c r="F313" t="s">
        <v>123</v>
      </c>
      <c r="G313" t="s">
        <v>252</v>
      </c>
      <c r="H313" t="s">
        <v>1244</v>
      </c>
      <c r="I313" t="s">
        <v>26</v>
      </c>
      <c r="J313" t="s">
        <v>1245</v>
      </c>
      <c r="K313" t="s">
        <v>150</v>
      </c>
      <c r="L313" t="s">
        <v>29</v>
      </c>
      <c r="M313" t="s">
        <v>502</v>
      </c>
      <c r="N313" t="s">
        <v>29</v>
      </c>
      <c r="O313" t="s">
        <v>29</v>
      </c>
      <c r="P313" t="s">
        <v>64</v>
      </c>
      <c r="Q313" s="3" t="s">
        <v>1246</v>
      </c>
    </row>
    <row r="314" spans="1:17" ht="15.6" x14ac:dyDescent="0.3">
      <c r="A314" s="2">
        <v>46192</v>
      </c>
      <c r="B314">
        <v>327</v>
      </c>
      <c r="C314" t="s">
        <v>1247</v>
      </c>
      <c r="D314" s="2">
        <v>46192</v>
      </c>
      <c r="E314" s="2">
        <v>46203</v>
      </c>
      <c r="F314" t="s">
        <v>123</v>
      </c>
      <c r="G314" t="s">
        <v>252</v>
      </c>
      <c r="H314" t="s">
        <v>1248</v>
      </c>
      <c r="I314" t="s">
        <v>26</v>
      </c>
      <c r="J314" t="s">
        <v>1249</v>
      </c>
      <c r="K314" t="s">
        <v>42</v>
      </c>
      <c r="L314" t="s">
        <v>29</v>
      </c>
      <c r="M314" t="s">
        <v>356</v>
      </c>
      <c r="N314" t="s">
        <v>29</v>
      </c>
      <c r="O314" t="s">
        <v>29</v>
      </c>
      <c r="P314" t="s">
        <v>64</v>
      </c>
      <c r="Q314" s="3" t="s">
        <v>1250</v>
      </c>
    </row>
    <row r="315" spans="1:17" ht="15.6" x14ac:dyDescent="0.3">
      <c r="A315" s="2">
        <v>46192</v>
      </c>
      <c r="B315">
        <v>326</v>
      </c>
      <c r="C315" t="s">
        <v>1251</v>
      </c>
      <c r="D315" s="2">
        <v>46192</v>
      </c>
      <c r="E315" s="2">
        <v>46202</v>
      </c>
      <c r="F315" t="s">
        <v>123</v>
      </c>
      <c r="G315" t="s">
        <v>252</v>
      </c>
      <c r="H315" t="s">
        <v>1252</v>
      </c>
      <c r="I315" t="s">
        <v>26</v>
      </c>
      <c r="J315" t="s">
        <v>1253</v>
      </c>
      <c r="K315" t="s">
        <v>207</v>
      </c>
      <c r="L315" t="s">
        <v>29</v>
      </c>
      <c r="M315" t="s">
        <v>254</v>
      </c>
      <c r="N315" t="s">
        <v>29</v>
      </c>
      <c r="O315" t="s">
        <v>29</v>
      </c>
      <c r="P315" t="s">
        <v>64</v>
      </c>
      <c r="Q315" s="3" t="s">
        <v>1254</v>
      </c>
    </row>
    <row r="316" spans="1:17" ht="15.6" x14ac:dyDescent="0.3">
      <c r="A316" s="2">
        <v>46192</v>
      </c>
      <c r="B316">
        <v>325</v>
      </c>
      <c r="C316" t="s">
        <v>1255</v>
      </c>
      <c r="D316" s="2">
        <v>46192</v>
      </c>
      <c r="E316" s="2">
        <v>46202</v>
      </c>
      <c r="F316" t="s">
        <v>123</v>
      </c>
      <c r="G316" t="s">
        <v>147</v>
      </c>
      <c r="H316" t="s">
        <v>1256</v>
      </c>
      <c r="I316" t="s">
        <v>26</v>
      </c>
      <c r="J316" t="s">
        <v>275</v>
      </c>
      <c r="K316" t="s">
        <v>62</v>
      </c>
      <c r="L316" t="s">
        <v>29</v>
      </c>
      <c r="M316" t="s">
        <v>482</v>
      </c>
      <c r="N316" t="s">
        <v>29</v>
      </c>
      <c r="O316" t="s">
        <v>29</v>
      </c>
      <c r="P316" t="s">
        <v>64</v>
      </c>
      <c r="Q316" s="3" t="s">
        <v>1257</v>
      </c>
    </row>
    <row r="317" spans="1:17" ht="15.6" x14ac:dyDescent="0.3">
      <c r="A317" s="2">
        <v>46192</v>
      </c>
      <c r="B317">
        <v>324</v>
      </c>
      <c r="C317" t="s">
        <v>1258</v>
      </c>
      <c r="D317" s="2">
        <v>46192</v>
      </c>
      <c r="E317" s="2">
        <v>46202</v>
      </c>
      <c r="F317" t="s">
        <v>23</v>
      </c>
      <c r="G317" t="s">
        <v>252</v>
      </c>
      <c r="H317" t="s">
        <v>1259</v>
      </c>
      <c r="I317" t="s">
        <v>26</v>
      </c>
      <c r="J317" t="s">
        <v>1260</v>
      </c>
      <c r="K317" t="s">
        <v>28</v>
      </c>
      <c r="L317" t="s">
        <v>29</v>
      </c>
      <c r="M317" t="s">
        <v>310</v>
      </c>
      <c r="N317" t="s">
        <v>31</v>
      </c>
      <c r="O317" t="s">
        <v>31</v>
      </c>
      <c r="P317" t="s">
        <v>1261</v>
      </c>
      <c r="Q317" s="3" t="s">
        <v>1262</v>
      </c>
    </row>
    <row r="318" spans="1:17" ht="15.6" x14ac:dyDescent="0.3">
      <c r="A318" s="2">
        <v>46192</v>
      </c>
      <c r="B318">
        <v>323</v>
      </c>
      <c r="C318" t="s">
        <v>1263</v>
      </c>
      <c r="D318" s="2">
        <v>46192</v>
      </c>
      <c r="E318" s="2">
        <v>46202</v>
      </c>
      <c r="F318" t="s">
        <v>123</v>
      </c>
      <c r="G318" t="s">
        <v>147</v>
      </c>
      <c r="H318" t="s">
        <v>1264</v>
      </c>
      <c r="I318" t="s">
        <v>26</v>
      </c>
      <c r="J318" t="s">
        <v>490</v>
      </c>
      <c r="K318" t="s">
        <v>184</v>
      </c>
      <c r="L318" t="s">
        <v>29</v>
      </c>
      <c r="M318" t="s">
        <v>30</v>
      </c>
      <c r="N318" t="s">
        <v>29</v>
      </c>
      <c r="O318" t="s">
        <v>29</v>
      </c>
      <c r="P318" t="s">
        <v>64</v>
      </c>
      <c r="Q318" s="3" t="s">
        <v>1265</v>
      </c>
    </row>
    <row r="319" spans="1:17" ht="15.6" x14ac:dyDescent="0.3">
      <c r="A319" s="2">
        <v>46192</v>
      </c>
      <c r="B319">
        <v>322</v>
      </c>
      <c r="C319" t="s">
        <v>1266</v>
      </c>
      <c r="D319" s="2">
        <v>46192</v>
      </c>
      <c r="E319" s="2">
        <v>46202</v>
      </c>
      <c r="F319" t="s">
        <v>123</v>
      </c>
      <c r="G319" t="s">
        <v>252</v>
      </c>
      <c r="H319" t="s">
        <v>1267</v>
      </c>
      <c r="I319" t="s">
        <v>26</v>
      </c>
      <c r="J319" t="s">
        <v>1241</v>
      </c>
      <c r="K319" t="s">
        <v>150</v>
      </c>
      <c r="L319" t="s">
        <v>29</v>
      </c>
      <c r="M319" t="s">
        <v>433</v>
      </c>
      <c r="N319" t="s">
        <v>29</v>
      </c>
      <c r="O319" t="s">
        <v>29</v>
      </c>
      <c r="P319" t="s">
        <v>64</v>
      </c>
      <c r="Q319" s="3" t="s">
        <v>1268</v>
      </c>
    </row>
    <row r="320" spans="1:17" ht="15.6" x14ac:dyDescent="0.3">
      <c r="A320" s="2">
        <v>46192</v>
      </c>
      <c r="B320">
        <v>321</v>
      </c>
      <c r="C320" t="s">
        <v>1269</v>
      </c>
      <c r="D320" s="2">
        <v>46192</v>
      </c>
      <c r="E320" s="2">
        <v>46202</v>
      </c>
      <c r="F320" t="s">
        <v>123</v>
      </c>
      <c r="G320" t="s">
        <v>252</v>
      </c>
      <c r="H320" t="s">
        <v>1270</v>
      </c>
      <c r="I320" t="s">
        <v>26</v>
      </c>
      <c r="J320" t="s">
        <v>1241</v>
      </c>
      <c r="K320" t="s">
        <v>150</v>
      </c>
      <c r="L320" t="s">
        <v>29</v>
      </c>
      <c r="M320" t="s">
        <v>433</v>
      </c>
      <c r="N320" t="s">
        <v>29</v>
      </c>
      <c r="O320" t="s">
        <v>29</v>
      </c>
      <c r="P320" t="s">
        <v>64</v>
      </c>
      <c r="Q320" s="3" t="s">
        <v>1271</v>
      </c>
    </row>
    <row r="321" spans="1:17" ht="15.6" x14ac:dyDescent="0.3">
      <c r="A321" s="2">
        <v>46192</v>
      </c>
      <c r="B321">
        <v>320</v>
      </c>
      <c r="C321" t="s">
        <v>1272</v>
      </c>
      <c r="D321" s="2">
        <v>46192</v>
      </c>
      <c r="E321" s="2">
        <v>46202</v>
      </c>
      <c r="F321" t="s">
        <v>123</v>
      </c>
      <c r="G321" t="s">
        <v>252</v>
      </c>
      <c r="H321" t="s">
        <v>1273</v>
      </c>
      <c r="I321" t="s">
        <v>26</v>
      </c>
      <c r="J321" t="s">
        <v>1241</v>
      </c>
      <c r="K321" t="s">
        <v>150</v>
      </c>
      <c r="L321" t="s">
        <v>29</v>
      </c>
      <c r="M321" t="s">
        <v>433</v>
      </c>
      <c r="N321" t="s">
        <v>29</v>
      </c>
      <c r="O321" t="s">
        <v>29</v>
      </c>
      <c r="P321" t="s">
        <v>64</v>
      </c>
      <c r="Q321" s="3" t="s">
        <v>1274</v>
      </c>
    </row>
    <row r="322" spans="1:17" ht="15.6" x14ac:dyDescent="0.3">
      <c r="A322" s="2">
        <v>46192</v>
      </c>
      <c r="B322">
        <v>319</v>
      </c>
      <c r="C322" t="s">
        <v>1275</v>
      </c>
      <c r="D322" s="2">
        <v>46192</v>
      </c>
      <c r="E322" s="2">
        <v>46202</v>
      </c>
      <c r="F322" t="s">
        <v>123</v>
      </c>
      <c r="G322" t="s">
        <v>252</v>
      </c>
      <c r="H322" t="s">
        <v>1276</v>
      </c>
      <c r="I322" t="s">
        <v>26</v>
      </c>
      <c r="J322" t="s">
        <v>1277</v>
      </c>
      <c r="K322" t="s">
        <v>62</v>
      </c>
      <c r="L322" t="s">
        <v>29</v>
      </c>
      <c r="M322" t="s">
        <v>171</v>
      </c>
      <c r="N322" t="s">
        <v>29</v>
      </c>
      <c r="O322" t="s">
        <v>29</v>
      </c>
      <c r="P322" t="s">
        <v>64</v>
      </c>
      <c r="Q322" s="3" t="s">
        <v>1278</v>
      </c>
    </row>
    <row r="323" spans="1:17" ht="15.6" x14ac:dyDescent="0.3">
      <c r="A323" s="2">
        <v>46192</v>
      </c>
      <c r="B323">
        <v>318</v>
      </c>
      <c r="C323" t="s">
        <v>1279</v>
      </c>
      <c r="D323" s="2">
        <v>46192</v>
      </c>
      <c r="E323" s="2">
        <v>46199</v>
      </c>
      <c r="F323" t="s">
        <v>330</v>
      </c>
      <c r="G323" t="s">
        <v>252</v>
      </c>
      <c r="H323" t="s">
        <v>1280</v>
      </c>
      <c r="I323" t="s">
        <v>26</v>
      </c>
      <c r="J323" t="s">
        <v>474</v>
      </c>
      <c r="K323" t="s">
        <v>184</v>
      </c>
      <c r="L323" t="s">
        <v>29</v>
      </c>
      <c r="M323" t="s">
        <v>171</v>
      </c>
      <c r="N323" t="s">
        <v>29</v>
      </c>
      <c r="O323" t="s">
        <v>29</v>
      </c>
      <c r="P323" t="s">
        <v>64</v>
      </c>
      <c r="Q323" s="3" t="s">
        <v>1281</v>
      </c>
    </row>
    <row r="324" spans="1:17" ht="15.6" x14ac:dyDescent="0.3">
      <c r="A324" s="2">
        <v>46192</v>
      </c>
      <c r="B324">
        <v>317</v>
      </c>
      <c r="C324" t="s">
        <v>1282</v>
      </c>
      <c r="D324" s="2">
        <v>46192</v>
      </c>
      <c r="E324" s="2">
        <v>46199</v>
      </c>
      <c r="F324" t="s">
        <v>330</v>
      </c>
      <c r="G324" t="s">
        <v>252</v>
      </c>
      <c r="H324" t="s">
        <v>1283</v>
      </c>
      <c r="I324" t="s">
        <v>26</v>
      </c>
      <c r="J324" t="s">
        <v>474</v>
      </c>
      <c r="K324" t="s">
        <v>184</v>
      </c>
      <c r="L324" t="s">
        <v>29</v>
      </c>
      <c r="M324" t="s">
        <v>171</v>
      </c>
      <c r="N324" t="s">
        <v>29</v>
      </c>
      <c r="O324" t="s">
        <v>29</v>
      </c>
      <c r="P324" t="s">
        <v>64</v>
      </c>
      <c r="Q324" s="3" t="s">
        <v>1284</v>
      </c>
    </row>
    <row r="325" spans="1:17" ht="15.6" x14ac:dyDescent="0.3">
      <c r="A325" s="2">
        <v>46192</v>
      </c>
      <c r="B325">
        <v>316</v>
      </c>
      <c r="C325" t="s">
        <v>1285</v>
      </c>
      <c r="D325" s="2">
        <v>46192</v>
      </c>
      <c r="E325" s="2">
        <v>46199</v>
      </c>
      <c r="F325" t="s">
        <v>330</v>
      </c>
      <c r="G325" t="s">
        <v>252</v>
      </c>
      <c r="H325" t="s">
        <v>1286</v>
      </c>
      <c r="I325" t="s">
        <v>26</v>
      </c>
      <c r="J325" t="s">
        <v>1287</v>
      </c>
      <c r="K325" t="s">
        <v>42</v>
      </c>
      <c r="L325" t="s">
        <v>29</v>
      </c>
      <c r="M325" t="s">
        <v>171</v>
      </c>
      <c r="N325" t="s">
        <v>29</v>
      </c>
      <c r="O325" t="s">
        <v>29</v>
      </c>
      <c r="P325" t="s">
        <v>64</v>
      </c>
      <c r="Q325" s="3" t="s">
        <v>1288</v>
      </c>
    </row>
    <row r="326" spans="1:17" ht="15.6" x14ac:dyDescent="0.3">
      <c r="A326" s="2">
        <v>46192</v>
      </c>
      <c r="B326">
        <v>315</v>
      </c>
      <c r="C326" t="s">
        <v>1289</v>
      </c>
      <c r="D326" s="2">
        <v>46192</v>
      </c>
      <c r="E326" s="2">
        <v>46199</v>
      </c>
      <c r="F326" t="s">
        <v>330</v>
      </c>
      <c r="G326" t="s">
        <v>252</v>
      </c>
      <c r="H326" t="s">
        <v>1290</v>
      </c>
      <c r="I326" t="s">
        <v>26</v>
      </c>
      <c r="J326" t="s">
        <v>1291</v>
      </c>
      <c r="K326" t="s">
        <v>284</v>
      </c>
      <c r="L326" t="s">
        <v>29</v>
      </c>
      <c r="M326" t="s">
        <v>190</v>
      </c>
      <c r="N326" t="s">
        <v>29</v>
      </c>
      <c r="O326" t="s">
        <v>29</v>
      </c>
      <c r="P326" t="s">
        <v>64</v>
      </c>
      <c r="Q326" s="3" t="s">
        <v>1292</v>
      </c>
    </row>
    <row r="327" spans="1:17" ht="15.6" x14ac:dyDescent="0.3">
      <c r="A327" s="2">
        <v>46192</v>
      </c>
      <c r="B327">
        <v>314</v>
      </c>
      <c r="C327" t="s">
        <v>1293</v>
      </c>
      <c r="D327" s="2">
        <v>46192</v>
      </c>
      <c r="E327" s="2">
        <v>46199</v>
      </c>
      <c r="F327" t="s">
        <v>330</v>
      </c>
      <c r="G327" t="s">
        <v>252</v>
      </c>
      <c r="H327" t="s">
        <v>1294</v>
      </c>
      <c r="I327" t="s">
        <v>26</v>
      </c>
      <c r="J327" t="s">
        <v>474</v>
      </c>
      <c r="K327" t="s">
        <v>184</v>
      </c>
      <c r="L327" t="s">
        <v>29</v>
      </c>
      <c r="M327" t="s">
        <v>171</v>
      </c>
      <c r="N327" t="s">
        <v>29</v>
      </c>
      <c r="O327" t="s">
        <v>29</v>
      </c>
      <c r="P327" t="s">
        <v>64</v>
      </c>
      <c r="Q327" s="3" t="s">
        <v>1295</v>
      </c>
    </row>
    <row r="328" spans="1:17" ht="15.6" x14ac:dyDescent="0.3">
      <c r="A328" s="2">
        <v>46192</v>
      </c>
      <c r="B328">
        <v>313</v>
      </c>
      <c r="C328" t="s">
        <v>1296</v>
      </c>
      <c r="D328" s="2">
        <v>46192</v>
      </c>
      <c r="E328" s="2">
        <v>46199</v>
      </c>
      <c r="F328" t="s">
        <v>330</v>
      </c>
      <c r="G328" t="s">
        <v>252</v>
      </c>
      <c r="H328" t="s">
        <v>1297</v>
      </c>
      <c r="I328" t="s">
        <v>26</v>
      </c>
      <c r="J328" t="s">
        <v>474</v>
      </c>
      <c r="K328" t="s">
        <v>184</v>
      </c>
      <c r="L328" t="s">
        <v>29</v>
      </c>
      <c r="M328" t="s">
        <v>171</v>
      </c>
      <c r="N328" t="s">
        <v>29</v>
      </c>
      <c r="O328" t="s">
        <v>29</v>
      </c>
      <c r="P328" t="s">
        <v>64</v>
      </c>
      <c r="Q328" s="3" t="s">
        <v>1298</v>
      </c>
    </row>
    <row r="329" spans="1:17" ht="15.6" x14ac:dyDescent="0.3">
      <c r="A329" s="2">
        <v>46192</v>
      </c>
      <c r="B329">
        <v>312</v>
      </c>
      <c r="C329" t="s">
        <v>1299</v>
      </c>
      <c r="D329" s="2">
        <v>46192</v>
      </c>
      <c r="E329" s="2">
        <v>46199</v>
      </c>
      <c r="F329" t="s">
        <v>330</v>
      </c>
      <c r="G329" t="s">
        <v>252</v>
      </c>
      <c r="H329" t="s">
        <v>1300</v>
      </c>
      <c r="I329" t="s">
        <v>26</v>
      </c>
      <c r="J329" t="s">
        <v>474</v>
      </c>
      <c r="K329" t="s">
        <v>184</v>
      </c>
      <c r="L329" t="s">
        <v>29</v>
      </c>
      <c r="M329" t="s">
        <v>30</v>
      </c>
      <c r="N329" t="s">
        <v>29</v>
      </c>
      <c r="O329" t="s">
        <v>29</v>
      </c>
      <c r="P329" t="s">
        <v>64</v>
      </c>
      <c r="Q329" s="3" t="s">
        <v>1301</v>
      </c>
    </row>
    <row r="330" spans="1:17" ht="15.6" x14ac:dyDescent="0.3">
      <c r="A330" s="2">
        <v>46192</v>
      </c>
      <c r="B330">
        <v>311</v>
      </c>
      <c r="C330" t="s">
        <v>1302</v>
      </c>
      <c r="D330" s="2">
        <v>46192</v>
      </c>
      <c r="E330" s="2">
        <v>46199</v>
      </c>
      <c r="F330" t="s">
        <v>330</v>
      </c>
      <c r="G330" t="s">
        <v>252</v>
      </c>
      <c r="H330" t="s">
        <v>1303</v>
      </c>
      <c r="I330" t="s">
        <v>26</v>
      </c>
      <c r="J330" t="s">
        <v>474</v>
      </c>
      <c r="K330" t="s">
        <v>184</v>
      </c>
      <c r="L330" t="s">
        <v>29</v>
      </c>
      <c r="M330" t="s">
        <v>30</v>
      </c>
      <c r="N330" t="s">
        <v>29</v>
      </c>
      <c r="O330" t="s">
        <v>29</v>
      </c>
      <c r="P330" t="s">
        <v>64</v>
      </c>
      <c r="Q330" s="3" t="s">
        <v>1304</v>
      </c>
    </row>
    <row r="331" spans="1:17" ht="15.6" x14ac:dyDescent="0.3">
      <c r="A331" s="2">
        <v>46193</v>
      </c>
      <c r="B331">
        <v>310</v>
      </c>
      <c r="C331" t="s">
        <v>1305</v>
      </c>
      <c r="D331" s="2">
        <v>46193</v>
      </c>
      <c r="E331" s="2">
        <v>46233</v>
      </c>
      <c r="F331" t="s">
        <v>181</v>
      </c>
      <c r="G331" t="s">
        <v>24</v>
      </c>
      <c r="H331" t="s">
        <v>1306</v>
      </c>
      <c r="I331" t="s">
        <v>26</v>
      </c>
      <c r="J331" t="s">
        <v>199</v>
      </c>
      <c r="K331" t="s">
        <v>184</v>
      </c>
      <c r="L331" t="s">
        <v>29</v>
      </c>
      <c r="M331" t="s">
        <v>254</v>
      </c>
      <c r="N331" t="s">
        <v>31</v>
      </c>
      <c r="O331" t="s">
        <v>31</v>
      </c>
      <c r="P331" t="s">
        <v>659</v>
      </c>
      <c r="Q331" s="3" t="s">
        <v>1307</v>
      </c>
    </row>
    <row r="332" spans="1:17" ht="15.6" x14ac:dyDescent="0.3">
      <c r="A332" s="2">
        <v>46193</v>
      </c>
      <c r="B332">
        <v>309</v>
      </c>
      <c r="C332" t="s">
        <v>1308</v>
      </c>
      <c r="D332" s="2">
        <v>46193</v>
      </c>
      <c r="E332" s="2">
        <v>46233</v>
      </c>
      <c r="F332" t="s">
        <v>181</v>
      </c>
      <c r="G332" t="s">
        <v>24</v>
      </c>
      <c r="H332" t="s">
        <v>1309</v>
      </c>
      <c r="I332" t="s">
        <v>26</v>
      </c>
      <c r="J332" t="s">
        <v>199</v>
      </c>
      <c r="K332" t="s">
        <v>184</v>
      </c>
      <c r="L332" t="s">
        <v>29</v>
      </c>
      <c r="M332" t="s">
        <v>254</v>
      </c>
      <c r="N332" t="s">
        <v>31</v>
      </c>
      <c r="O332" t="s">
        <v>29</v>
      </c>
      <c r="P332" t="s">
        <v>659</v>
      </c>
      <c r="Q332" s="3" t="s">
        <v>1310</v>
      </c>
    </row>
    <row r="333" spans="1:17" ht="15.6" x14ac:dyDescent="0.3">
      <c r="A333" s="2">
        <v>46193</v>
      </c>
      <c r="B333">
        <v>308</v>
      </c>
      <c r="C333" t="s">
        <v>1311</v>
      </c>
      <c r="D333" s="2">
        <v>46193</v>
      </c>
      <c r="E333" s="2">
        <v>46217</v>
      </c>
      <c r="F333" t="s">
        <v>123</v>
      </c>
      <c r="G333" t="s">
        <v>147</v>
      </c>
      <c r="H333" t="s">
        <v>1312</v>
      </c>
      <c r="I333" t="s">
        <v>26</v>
      </c>
      <c r="J333" t="s">
        <v>1313</v>
      </c>
      <c r="K333" t="s">
        <v>150</v>
      </c>
      <c r="L333" t="s">
        <v>29</v>
      </c>
      <c r="M333" t="s">
        <v>30</v>
      </c>
      <c r="N333" t="s">
        <v>31</v>
      </c>
      <c r="O333" t="s">
        <v>31</v>
      </c>
      <c r="P333" t="s">
        <v>1314</v>
      </c>
      <c r="Q333" s="3" t="s">
        <v>1315</v>
      </c>
    </row>
    <row r="334" spans="1:17" ht="15.6" x14ac:dyDescent="0.3">
      <c r="A334" s="2">
        <v>46194</v>
      </c>
      <c r="B334">
        <v>307</v>
      </c>
      <c r="C334" t="s">
        <v>1316</v>
      </c>
      <c r="D334" s="2">
        <v>46194</v>
      </c>
      <c r="E334" s="2">
        <v>46224</v>
      </c>
      <c r="F334" t="s">
        <v>123</v>
      </c>
      <c r="G334" t="s">
        <v>24</v>
      </c>
      <c r="H334" t="s">
        <v>1317</v>
      </c>
      <c r="I334" t="s">
        <v>26</v>
      </c>
      <c r="J334" t="s">
        <v>1277</v>
      </c>
      <c r="K334" t="s">
        <v>62</v>
      </c>
      <c r="L334" t="s">
        <v>29</v>
      </c>
      <c r="M334" t="s">
        <v>171</v>
      </c>
      <c r="N334" t="s">
        <v>29</v>
      </c>
      <c r="O334" t="s">
        <v>29</v>
      </c>
      <c r="P334" t="s">
        <v>64</v>
      </c>
      <c r="Q334" s="3" t="s">
        <v>1318</v>
      </c>
    </row>
    <row r="335" spans="1:17" ht="15.6" x14ac:dyDescent="0.3">
      <c r="A335" s="2">
        <v>46194</v>
      </c>
      <c r="B335">
        <v>306</v>
      </c>
      <c r="C335" t="s">
        <v>1319</v>
      </c>
      <c r="D335" s="2">
        <v>46194</v>
      </c>
      <c r="E335" s="2">
        <v>46224</v>
      </c>
      <c r="F335" t="s">
        <v>123</v>
      </c>
      <c r="G335" t="s">
        <v>24</v>
      </c>
      <c r="H335" t="s">
        <v>1320</v>
      </c>
      <c r="I335" t="s">
        <v>26</v>
      </c>
      <c r="J335" t="s">
        <v>1277</v>
      </c>
      <c r="K335" t="s">
        <v>62</v>
      </c>
      <c r="L335" t="s">
        <v>29</v>
      </c>
      <c r="M335" t="s">
        <v>238</v>
      </c>
      <c r="N335" t="s">
        <v>31</v>
      </c>
      <c r="O335" t="s">
        <v>31</v>
      </c>
      <c r="P335" t="s">
        <v>1321</v>
      </c>
      <c r="Q335" s="3" t="s">
        <v>1322</v>
      </c>
    </row>
    <row r="336" spans="1:17" ht="15.6" x14ac:dyDescent="0.3">
      <c r="A336" s="2">
        <v>46194</v>
      </c>
      <c r="B336">
        <v>305</v>
      </c>
      <c r="C336" t="s">
        <v>1323</v>
      </c>
      <c r="D336" s="2">
        <v>46194</v>
      </c>
      <c r="E336" s="2">
        <v>46225</v>
      </c>
      <c r="F336" t="s">
        <v>123</v>
      </c>
      <c r="G336" t="s">
        <v>24</v>
      </c>
      <c r="H336" t="s">
        <v>1324</v>
      </c>
      <c r="I336" t="s">
        <v>26</v>
      </c>
      <c r="J336" t="s">
        <v>1325</v>
      </c>
      <c r="K336" t="s">
        <v>207</v>
      </c>
      <c r="L336" t="s">
        <v>29</v>
      </c>
      <c r="M336" t="s">
        <v>254</v>
      </c>
      <c r="N336" t="s">
        <v>31</v>
      </c>
      <c r="O336" t="s">
        <v>31</v>
      </c>
      <c r="P336" t="s">
        <v>1326</v>
      </c>
      <c r="Q336" s="3" t="s">
        <v>1327</v>
      </c>
    </row>
    <row r="337" spans="1:17" ht="15.6" x14ac:dyDescent="0.3">
      <c r="A337" s="2">
        <v>46194</v>
      </c>
      <c r="B337">
        <v>304</v>
      </c>
      <c r="C337" t="s">
        <v>1328</v>
      </c>
      <c r="D337" s="2">
        <v>46194</v>
      </c>
      <c r="E337" s="2">
        <v>46198</v>
      </c>
      <c r="F337" t="s">
        <v>181</v>
      </c>
      <c r="G337" t="s">
        <v>252</v>
      </c>
      <c r="H337" t="s">
        <v>1329</v>
      </c>
      <c r="I337" t="s">
        <v>26</v>
      </c>
      <c r="J337" t="s">
        <v>126</v>
      </c>
      <c r="K337" t="s">
        <v>127</v>
      </c>
      <c r="L337" t="s">
        <v>29</v>
      </c>
      <c r="M337" t="s">
        <v>1330</v>
      </c>
      <c r="N337" t="s">
        <v>29</v>
      </c>
      <c r="O337" t="s">
        <v>29</v>
      </c>
      <c r="P337" t="s">
        <v>64</v>
      </c>
      <c r="Q337" s="3" t="s">
        <v>1331</v>
      </c>
    </row>
    <row r="338" spans="1:17" ht="15.6" x14ac:dyDescent="0.3">
      <c r="A338" s="2">
        <v>46196</v>
      </c>
      <c r="B338">
        <v>303</v>
      </c>
      <c r="C338" t="s">
        <v>1332</v>
      </c>
      <c r="D338" s="2">
        <v>46196</v>
      </c>
      <c r="E338" s="2">
        <v>46205</v>
      </c>
      <c r="F338" t="s">
        <v>123</v>
      </c>
      <c r="G338" t="s">
        <v>252</v>
      </c>
      <c r="H338" t="s">
        <v>1333</v>
      </c>
      <c r="I338" t="s">
        <v>1334</v>
      </c>
      <c r="J338" t="s">
        <v>1335</v>
      </c>
      <c r="K338" t="s">
        <v>150</v>
      </c>
      <c r="Q338" s="3" t="s">
        <v>1336</v>
      </c>
    </row>
    <row r="339" spans="1:17" ht="15.6" x14ac:dyDescent="0.3">
      <c r="A339" s="2">
        <v>46196</v>
      </c>
      <c r="B339">
        <v>302</v>
      </c>
      <c r="C339" t="s">
        <v>1337</v>
      </c>
      <c r="D339" s="2">
        <v>46195</v>
      </c>
      <c r="E339" s="2">
        <v>46210</v>
      </c>
      <c r="F339" t="s">
        <v>123</v>
      </c>
      <c r="G339" t="s">
        <v>1338</v>
      </c>
      <c r="H339" t="s">
        <v>1339</v>
      </c>
      <c r="I339" t="s">
        <v>1334</v>
      </c>
      <c r="J339" t="s">
        <v>1335</v>
      </c>
      <c r="K339" t="s">
        <v>150</v>
      </c>
      <c r="Q339" s="3" t="s">
        <v>1340</v>
      </c>
    </row>
    <row r="340" spans="1:17" ht="15.6" x14ac:dyDescent="0.3">
      <c r="A340" s="2">
        <v>46196</v>
      </c>
      <c r="B340">
        <v>301</v>
      </c>
      <c r="C340" t="s">
        <v>1341</v>
      </c>
      <c r="D340" s="2">
        <v>46195</v>
      </c>
      <c r="E340" s="2">
        <v>46210</v>
      </c>
      <c r="F340" t="s">
        <v>123</v>
      </c>
      <c r="G340" t="s">
        <v>1338</v>
      </c>
      <c r="H340" t="s">
        <v>1342</v>
      </c>
      <c r="I340" t="s">
        <v>1334</v>
      </c>
      <c r="J340" t="s">
        <v>1335</v>
      </c>
      <c r="K340" t="s">
        <v>150</v>
      </c>
      <c r="Q340" s="3" t="s">
        <v>1343</v>
      </c>
    </row>
    <row r="341" spans="1:17" ht="15.6" x14ac:dyDescent="0.3">
      <c r="A341" s="2">
        <v>46196</v>
      </c>
      <c r="B341">
        <v>300</v>
      </c>
      <c r="C341" t="s">
        <v>1344</v>
      </c>
      <c r="D341" s="2">
        <v>46195</v>
      </c>
      <c r="E341" s="2">
        <v>46224</v>
      </c>
      <c r="G341" t="s">
        <v>1338</v>
      </c>
      <c r="H341" t="s">
        <v>1345</v>
      </c>
      <c r="I341" t="s">
        <v>1334</v>
      </c>
      <c r="J341" t="s">
        <v>1335</v>
      </c>
      <c r="K341" t="s">
        <v>150</v>
      </c>
      <c r="Q341" s="3" t="s">
        <v>1346</v>
      </c>
    </row>
    <row r="342" spans="1:17" ht="15.6" x14ac:dyDescent="0.3">
      <c r="A342" s="2">
        <v>46196</v>
      </c>
      <c r="B342">
        <v>299</v>
      </c>
      <c r="C342" t="s">
        <v>1347</v>
      </c>
      <c r="D342" s="2">
        <v>46195</v>
      </c>
      <c r="E342" s="2">
        <v>46210</v>
      </c>
      <c r="F342" t="s">
        <v>123</v>
      </c>
      <c r="G342" t="s">
        <v>1338</v>
      </c>
      <c r="H342" t="s">
        <v>1348</v>
      </c>
      <c r="I342" t="s">
        <v>1334</v>
      </c>
      <c r="J342" t="s">
        <v>1335</v>
      </c>
      <c r="K342" t="s">
        <v>150</v>
      </c>
      <c r="Q342" s="3" t="s">
        <v>1349</v>
      </c>
    </row>
    <row r="343" spans="1:17" ht="15.6" x14ac:dyDescent="0.3">
      <c r="A343" s="2">
        <v>46196</v>
      </c>
      <c r="B343">
        <v>298</v>
      </c>
      <c r="C343" t="s">
        <v>1350</v>
      </c>
      <c r="D343" s="2">
        <v>46195</v>
      </c>
      <c r="E343" s="2">
        <v>46210</v>
      </c>
      <c r="F343" t="s">
        <v>123</v>
      </c>
      <c r="G343" t="s">
        <v>1338</v>
      </c>
      <c r="H343" t="s">
        <v>1351</v>
      </c>
      <c r="I343" t="s">
        <v>1334</v>
      </c>
      <c r="J343" t="s">
        <v>1335</v>
      </c>
      <c r="K343" t="s">
        <v>150</v>
      </c>
      <c r="Q343" s="3" t="s">
        <v>1352</v>
      </c>
    </row>
    <row r="344" spans="1:17" ht="15.6" x14ac:dyDescent="0.3">
      <c r="A344" s="2">
        <v>46196</v>
      </c>
      <c r="B344">
        <v>297</v>
      </c>
      <c r="C344" t="s">
        <v>1353</v>
      </c>
      <c r="D344" s="2">
        <v>46195</v>
      </c>
      <c r="G344" t="s">
        <v>1338</v>
      </c>
      <c r="H344" t="s">
        <v>1354</v>
      </c>
      <c r="I344" t="s">
        <v>1334</v>
      </c>
      <c r="J344" t="s">
        <v>1335</v>
      </c>
      <c r="K344" t="s">
        <v>150</v>
      </c>
      <c r="Q344" s="3" t="s">
        <v>1355</v>
      </c>
    </row>
    <row r="345" spans="1:17" ht="15.6" x14ac:dyDescent="0.3">
      <c r="A345" s="2">
        <v>46196</v>
      </c>
      <c r="B345">
        <v>296</v>
      </c>
      <c r="C345" t="s">
        <v>1356</v>
      </c>
      <c r="D345" s="2">
        <v>46195</v>
      </c>
      <c r="E345" s="2">
        <v>46238</v>
      </c>
      <c r="F345" t="s">
        <v>211</v>
      </c>
      <c r="G345" t="s">
        <v>1338</v>
      </c>
      <c r="H345" t="s">
        <v>1357</v>
      </c>
      <c r="I345" t="s">
        <v>1334</v>
      </c>
      <c r="J345" t="s">
        <v>1335</v>
      </c>
      <c r="K345" t="s">
        <v>150</v>
      </c>
      <c r="Q345" s="3" t="s">
        <v>1358</v>
      </c>
    </row>
    <row r="346" spans="1:17" ht="15.6" x14ac:dyDescent="0.3">
      <c r="A346" s="2">
        <v>46196</v>
      </c>
      <c r="B346">
        <v>295</v>
      </c>
      <c r="C346" t="s">
        <v>1359</v>
      </c>
      <c r="D346" s="2">
        <v>46195</v>
      </c>
      <c r="E346" s="2">
        <v>46224</v>
      </c>
      <c r="F346" t="s">
        <v>123</v>
      </c>
      <c r="G346" t="s">
        <v>1338</v>
      </c>
      <c r="H346" t="s">
        <v>1360</v>
      </c>
      <c r="I346" t="s">
        <v>1334</v>
      </c>
      <c r="J346" t="s">
        <v>1335</v>
      </c>
      <c r="K346" t="s">
        <v>150</v>
      </c>
      <c r="Q346" s="3" t="s">
        <v>1361</v>
      </c>
    </row>
    <row r="347" spans="1:17" ht="15.6" x14ac:dyDescent="0.3">
      <c r="A347" s="2">
        <v>46196</v>
      </c>
      <c r="B347">
        <v>294</v>
      </c>
      <c r="C347" t="s">
        <v>1362</v>
      </c>
      <c r="D347" s="2">
        <v>46192</v>
      </c>
      <c r="E347" s="2">
        <v>46196</v>
      </c>
      <c r="F347" t="s">
        <v>123</v>
      </c>
      <c r="G347" t="s">
        <v>252</v>
      </c>
      <c r="H347" t="s">
        <v>1363</v>
      </c>
      <c r="I347" t="s">
        <v>1334</v>
      </c>
      <c r="J347" t="s">
        <v>1335</v>
      </c>
      <c r="K347" t="s">
        <v>150</v>
      </c>
      <c r="Q347" s="3" t="s">
        <v>1364</v>
      </c>
    </row>
    <row r="348" spans="1:17" ht="15.6" x14ac:dyDescent="0.3">
      <c r="A348" s="2">
        <v>46196</v>
      </c>
      <c r="B348">
        <v>293</v>
      </c>
      <c r="C348" t="s">
        <v>1365</v>
      </c>
      <c r="D348" s="2">
        <v>46192</v>
      </c>
      <c r="E348" s="2">
        <v>46216</v>
      </c>
      <c r="F348" t="s">
        <v>123</v>
      </c>
      <c r="G348" t="s">
        <v>1338</v>
      </c>
      <c r="H348" t="s">
        <v>1366</v>
      </c>
      <c r="I348" t="s">
        <v>1334</v>
      </c>
      <c r="J348" t="s">
        <v>1335</v>
      </c>
      <c r="K348" t="s">
        <v>150</v>
      </c>
      <c r="Q348" s="3" t="s">
        <v>1367</v>
      </c>
    </row>
    <row r="349" spans="1:17" ht="15.6" x14ac:dyDescent="0.3">
      <c r="A349" s="2">
        <v>46196</v>
      </c>
      <c r="B349">
        <v>292</v>
      </c>
      <c r="C349" t="s">
        <v>1368</v>
      </c>
      <c r="D349" s="2">
        <v>46192</v>
      </c>
      <c r="E349" s="2">
        <v>46213</v>
      </c>
      <c r="F349" t="s">
        <v>123</v>
      </c>
      <c r="G349" t="s">
        <v>1338</v>
      </c>
      <c r="H349" t="s">
        <v>1369</v>
      </c>
      <c r="I349" t="s">
        <v>1334</v>
      </c>
      <c r="J349" t="s">
        <v>1335</v>
      </c>
      <c r="K349" t="s">
        <v>150</v>
      </c>
      <c r="Q349" s="3" t="s">
        <v>1370</v>
      </c>
    </row>
    <row r="350" spans="1:17" ht="15.6" x14ac:dyDescent="0.3">
      <c r="A350" s="2">
        <v>46196</v>
      </c>
      <c r="B350">
        <v>291</v>
      </c>
      <c r="C350" t="s">
        <v>1371</v>
      </c>
      <c r="D350" s="2">
        <v>46192</v>
      </c>
      <c r="E350" s="2">
        <v>46213</v>
      </c>
      <c r="F350" t="s">
        <v>123</v>
      </c>
      <c r="G350" t="s">
        <v>1338</v>
      </c>
      <c r="H350" t="s">
        <v>1372</v>
      </c>
      <c r="I350" t="s">
        <v>1334</v>
      </c>
      <c r="J350" t="s">
        <v>1335</v>
      </c>
      <c r="K350" t="s">
        <v>150</v>
      </c>
      <c r="Q350" s="3" t="s">
        <v>1373</v>
      </c>
    </row>
    <row r="351" spans="1:17" ht="15.6" x14ac:dyDescent="0.3">
      <c r="A351" s="2">
        <v>46194</v>
      </c>
      <c r="B351">
        <v>290</v>
      </c>
      <c r="G351" t="s">
        <v>1338</v>
      </c>
      <c r="H351" t="s">
        <v>1374</v>
      </c>
      <c r="I351" t="s">
        <v>1375</v>
      </c>
      <c r="J351" t="s">
        <v>1054</v>
      </c>
      <c r="K351" t="s">
        <v>150</v>
      </c>
      <c r="Q351" s="3" t="s">
        <v>1376</v>
      </c>
    </row>
    <row r="352" spans="1:17" ht="15.6" x14ac:dyDescent="0.3">
      <c r="A352" s="2">
        <v>46194</v>
      </c>
      <c r="B352">
        <v>289</v>
      </c>
      <c r="G352" t="s">
        <v>1338</v>
      </c>
      <c r="H352" t="s">
        <v>1377</v>
      </c>
      <c r="I352" t="s">
        <v>1375</v>
      </c>
      <c r="J352" t="s">
        <v>1054</v>
      </c>
      <c r="K352" t="s">
        <v>150</v>
      </c>
      <c r="Q352" s="3" t="s">
        <v>1378</v>
      </c>
    </row>
    <row r="353" spans="1:17" ht="15.6" x14ac:dyDescent="0.3">
      <c r="A353" s="2">
        <v>46194</v>
      </c>
      <c r="B353">
        <v>288</v>
      </c>
      <c r="G353" t="s">
        <v>1338</v>
      </c>
      <c r="H353" t="s">
        <v>1379</v>
      </c>
      <c r="I353" t="s">
        <v>1375</v>
      </c>
      <c r="J353" t="s">
        <v>1054</v>
      </c>
      <c r="K353" t="s">
        <v>150</v>
      </c>
      <c r="Q353" s="3" t="s">
        <v>1380</v>
      </c>
    </row>
    <row r="354" spans="1:17" ht="15.6" x14ac:dyDescent="0.3">
      <c r="A354" s="2">
        <v>46194</v>
      </c>
      <c r="B354">
        <v>287</v>
      </c>
      <c r="G354" t="s">
        <v>1338</v>
      </c>
      <c r="H354" t="s">
        <v>1381</v>
      </c>
      <c r="I354" t="s">
        <v>1375</v>
      </c>
      <c r="J354" t="s">
        <v>1054</v>
      </c>
      <c r="K354" t="s">
        <v>150</v>
      </c>
      <c r="Q354" s="3" t="s">
        <v>1382</v>
      </c>
    </row>
    <row r="355" spans="1:17" ht="15.6" x14ac:dyDescent="0.3">
      <c r="A355" s="2">
        <v>46194</v>
      </c>
      <c r="B355">
        <v>286</v>
      </c>
      <c r="G355" t="s">
        <v>1338</v>
      </c>
      <c r="H355" t="s">
        <v>1383</v>
      </c>
      <c r="I355" t="s">
        <v>1375</v>
      </c>
      <c r="J355" t="s">
        <v>1054</v>
      </c>
      <c r="K355" t="s">
        <v>150</v>
      </c>
      <c r="Q355" s="3" t="s">
        <v>1384</v>
      </c>
    </row>
    <row r="356" spans="1:17" ht="15.6" x14ac:dyDescent="0.3">
      <c r="A356" s="2">
        <v>46194</v>
      </c>
      <c r="B356">
        <v>285</v>
      </c>
      <c r="G356" t="s">
        <v>1338</v>
      </c>
      <c r="H356" t="s">
        <v>1385</v>
      </c>
      <c r="I356" t="s">
        <v>1375</v>
      </c>
      <c r="J356" t="s">
        <v>1054</v>
      </c>
      <c r="K356" t="s">
        <v>150</v>
      </c>
      <c r="Q356" s="3" t="s">
        <v>1386</v>
      </c>
    </row>
    <row r="357" spans="1:17" ht="15.6" x14ac:dyDescent="0.3">
      <c r="A357" s="2">
        <v>46194</v>
      </c>
      <c r="B357">
        <v>284</v>
      </c>
      <c r="G357" t="s">
        <v>1338</v>
      </c>
      <c r="H357" t="s">
        <v>1387</v>
      </c>
      <c r="I357" t="s">
        <v>1375</v>
      </c>
      <c r="J357" t="s">
        <v>1054</v>
      </c>
      <c r="K357" t="s">
        <v>150</v>
      </c>
      <c r="Q357" s="3" t="s">
        <v>1388</v>
      </c>
    </row>
    <row r="358" spans="1:17" ht="15.6" x14ac:dyDescent="0.3">
      <c r="A358" s="2">
        <v>46194</v>
      </c>
      <c r="B358">
        <v>283</v>
      </c>
      <c r="G358" t="s">
        <v>1338</v>
      </c>
      <c r="H358" t="s">
        <v>1389</v>
      </c>
      <c r="I358" t="s">
        <v>1375</v>
      </c>
      <c r="J358" t="s">
        <v>1054</v>
      </c>
      <c r="K358" t="s">
        <v>150</v>
      </c>
      <c r="Q358" s="3" t="s">
        <v>1390</v>
      </c>
    </row>
    <row r="359" spans="1:17" ht="15.6" x14ac:dyDescent="0.3">
      <c r="A359" s="2">
        <v>46194</v>
      </c>
      <c r="B359">
        <v>282</v>
      </c>
      <c r="G359" t="s">
        <v>1338</v>
      </c>
      <c r="H359" t="s">
        <v>1391</v>
      </c>
      <c r="I359" t="s">
        <v>1375</v>
      </c>
      <c r="J359" t="s">
        <v>1054</v>
      </c>
      <c r="K359" t="s">
        <v>150</v>
      </c>
      <c r="Q359" s="3" t="s">
        <v>1392</v>
      </c>
    </row>
    <row r="360" spans="1:17" ht="15.6" x14ac:dyDescent="0.3">
      <c r="A360" s="2">
        <v>46194</v>
      </c>
      <c r="B360">
        <v>281</v>
      </c>
      <c r="G360" t="s">
        <v>1338</v>
      </c>
      <c r="H360" t="s">
        <v>1393</v>
      </c>
      <c r="I360" t="s">
        <v>1375</v>
      </c>
      <c r="J360" t="s">
        <v>1054</v>
      </c>
      <c r="K360" t="s">
        <v>150</v>
      </c>
      <c r="Q360" s="3" t="s">
        <v>1394</v>
      </c>
    </row>
    <row r="361" spans="1:17" ht="15.6" x14ac:dyDescent="0.3">
      <c r="A361" s="2">
        <v>46194</v>
      </c>
      <c r="B361">
        <v>280</v>
      </c>
      <c r="G361" t="s">
        <v>1338</v>
      </c>
      <c r="H361" t="s">
        <v>1395</v>
      </c>
      <c r="I361" t="s">
        <v>1396</v>
      </c>
      <c r="J361" t="s">
        <v>1397</v>
      </c>
      <c r="K361" t="s">
        <v>150</v>
      </c>
      <c r="Q361" s="3" t="s">
        <v>1398</v>
      </c>
    </row>
    <row r="362" spans="1:17" ht="15.6" x14ac:dyDescent="0.3">
      <c r="A362" s="2">
        <v>46194</v>
      </c>
      <c r="B362">
        <v>279</v>
      </c>
      <c r="G362" t="s">
        <v>1338</v>
      </c>
      <c r="H362" t="s">
        <v>1399</v>
      </c>
      <c r="I362" t="s">
        <v>1396</v>
      </c>
      <c r="J362" t="s">
        <v>1397</v>
      </c>
      <c r="K362" t="s">
        <v>150</v>
      </c>
      <c r="Q362" s="3" t="s">
        <v>1400</v>
      </c>
    </row>
    <row r="363" spans="1:17" ht="15.6" x14ac:dyDescent="0.3">
      <c r="A363" s="2">
        <v>46194</v>
      </c>
      <c r="B363">
        <v>278</v>
      </c>
      <c r="G363" t="s">
        <v>1338</v>
      </c>
      <c r="H363" t="s">
        <v>1401</v>
      </c>
      <c r="I363" t="s">
        <v>1396</v>
      </c>
      <c r="J363" t="s">
        <v>1397</v>
      </c>
      <c r="K363" t="s">
        <v>150</v>
      </c>
      <c r="Q363" s="3" t="s">
        <v>1402</v>
      </c>
    </row>
    <row r="364" spans="1:17" ht="15.6" x14ac:dyDescent="0.3">
      <c r="A364" s="2">
        <v>46194</v>
      </c>
      <c r="B364">
        <v>277</v>
      </c>
      <c r="G364" t="s">
        <v>1338</v>
      </c>
      <c r="H364" t="s">
        <v>1403</v>
      </c>
      <c r="I364" t="s">
        <v>1396</v>
      </c>
      <c r="J364" t="s">
        <v>1397</v>
      </c>
      <c r="K364" t="s">
        <v>150</v>
      </c>
      <c r="Q364" s="3" t="s">
        <v>1404</v>
      </c>
    </row>
    <row r="365" spans="1:17" ht="15.6" x14ac:dyDescent="0.3">
      <c r="A365" s="2">
        <v>46194</v>
      </c>
      <c r="B365">
        <v>276</v>
      </c>
      <c r="G365" t="s">
        <v>1338</v>
      </c>
      <c r="H365" t="s">
        <v>1405</v>
      </c>
      <c r="I365" t="s">
        <v>1396</v>
      </c>
      <c r="J365" t="s">
        <v>1397</v>
      </c>
      <c r="K365" t="s">
        <v>150</v>
      </c>
      <c r="Q365" s="3" t="s">
        <v>1406</v>
      </c>
    </row>
    <row r="366" spans="1:17" ht="15.6" x14ac:dyDescent="0.3">
      <c r="A366" s="2">
        <v>46194</v>
      </c>
      <c r="B366">
        <v>275</v>
      </c>
      <c r="G366" t="s">
        <v>1338</v>
      </c>
      <c r="H366" t="s">
        <v>1407</v>
      </c>
      <c r="I366" t="s">
        <v>1396</v>
      </c>
      <c r="J366" t="s">
        <v>1397</v>
      </c>
      <c r="K366" t="s">
        <v>150</v>
      </c>
      <c r="Q366" s="3" t="s">
        <v>1408</v>
      </c>
    </row>
    <row r="367" spans="1:17" ht="15.6" x14ac:dyDescent="0.3">
      <c r="A367" s="2">
        <v>46194</v>
      </c>
      <c r="B367">
        <v>274</v>
      </c>
      <c r="G367" t="s">
        <v>1338</v>
      </c>
      <c r="H367" t="s">
        <v>1409</v>
      </c>
      <c r="I367" t="s">
        <v>1396</v>
      </c>
      <c r="J367" t="s">
        <v>1397</v>
      </c>
      <c r="K367" t="s">
        <v>150</v>
      </c>
      <c r="Q367" s="3" t="s">
        <v>1410</v>
      </c>
    </row>
    <row r="368" spans="1:17" ht="15.6" x14ac:dyDescent="0.3">
      <c r="A368" s="2">
        <v>46194</v>
      </c>
      <c r="B368">
        <v>273</v>
      </c>
      <c r="G368" t="s">
        <v>1338</v>
      </c>
      <c r="H368" t="s">
        <v>1411</v>
      </c>
      <c r="I368" t="s">
        <v>1396</v>
      </c>
      <c r="J368" t="s">
        <v>1397</v>
      </c>
      <c r="K368" t="s">
        <v>150</v>
      </c>
      <c r="Q368" s="3" t="s">
        <v>1412</v>
      </c>
    </row>
    <row r="369" spans="1:17" ht="15.6" x14ac:dyDescent="0.3">
      <c r="A369" s="2">
        <v>46194</v>
      </c>
      <c r="B369">
        <v>272</v>
      </c>
      <c r="G369" t="s">
        <v>1338</v>
      </c>
      <c r="H369" t="s">
        <v>1413</v>
      </c>
      <c r="I369" t="s">
        <v>1396</v>
      </c>
      <c r="J369" t="s">
        <v>1397</v>
      </c>
      <c r="K369" t="s">
        <v>150</v>
      </c>
      <c r="Q369" s="3" t="s">
        <v>1414</v>
      </c>
    </row>
    <row r="370" spans="1:17" ht="15.6" x14ac:dyDescent="0.3">
      <c r="A370" s="2">
        <v>46194</v>
      </c>
      <c r="B370">
        <v>271</v>
      </c>
      <c r="G370" t="s">
        <v>1338</v>
      </c>
      <c r="H370" t="s">
        <v>1415</v>
      </c>
      <c r="I370" t="s">
        <v>1396</v>
      </c>
      <c r="J370" t="s">
        <v>1397</v>
      </c>
      <c r="K370" t="s">
        <v>150</v>
      </c>
      <c r="Q370" s="3" t="s">
        <v>1416</v>
      </c>
    </row>
    <row r="371" spans="1:17" ht="15.6" x14ac:dyDescent="0.3">
      <c r="A371" s="2">
        <v>46194</v>
      </c>
      <c r="B371">
        <v>270</v>
      </c>
      <c r="G371" t="s">
        <v>1338</v>
      </c>
      <c r="H371" t="s">
        <v>1417</v>
      </c>
      <c r="I371" t="s">
        <v>1396</v>
      </c>
      <c r="J371" t="s">
        <v>1397</v>
      </c>
      <c r="K371" t="s">
        <v>150</v>
      </c>
      <c r="Q371" s="3" t="s">
        <v>1418</v>
      </c>
    </row>
    <row r="372" spans="1:17" ht="15.6" x14ac:dyDescent="0.3">
      <c r="A372" s="2">
        <v>46194</v>
      </c>
      <c r="B372">
        <v>269</v>
      </c>
      <c r="G372" t="s">
        <v>1338</v>
      </c>
      <c r="H372" t="s">
        <v>1419</v>
      </c>
      <c r="I372" t="s">
        <v>1396</v>
      </c>
      <c r="J372" t="s">
        <v>1397</v>
      </c>
      <c r="K372" t="s">
        <v>150</v>
      </c>
      <c r="Q372" s="3" t="s">
        <v>1420</v>
      </c>
    </row>
    <row r="373" spans="1:17" ht="15.6" x14ac:dyDescent="0.3">
      <c r="A373" s="2">
        <v>46194</v>
      </c>
      <c r="B373">
        <v>268</v>
      </c>
      <c r="G373" t="s">
        <v>1338</v>
      </c>
      <c r="H373" t="s">
        <v>1421</v>
      </c>
      <c r="I373" t="s">
        <v>1396</v>
      </c>
      <c r="J373" t="s">
        <v>1397</v>
      </c>
      <c r="K373" t="s">
        <v>150</v>
      </c>
      <c r="Q373" s="3" t="s">
        <v>1422</v>
      </c>
    </row>
    <row r="374" spans="1:17" ht="15.6" x14ac:dyDescent="0.3">
      <c r="A374" s="2">
        <v>46194</v>
      </c>
      <c r="B374">
        <v>267</v>
      </c>
      <c r="G374" t="s">
        <v>1338</v>
      </c>
      <c r="H374" t="s">
        <v>1423</v>
      </c>
      <c r="I374" t="s">
        <v>1396</v>
      </c>
      <c r="J374" t="s">
        <v>1397</v>
      </c>
      <c r="K374" t="s">
        <v>150</v>
      </c>
      <c r="Q374" s="3" t="s">
        <v>1424</v>
      </c>
    </row>
    <row r="375" spans="1:17" ht="15.6" x14ac:dyDescent="0.3">
      <c r="A375" s="2">
        <v>46194</v>
      </c>
      <c r="B375">
        <v>266</v>
      </c>
      <c r="G375" t="s">
        <v>1338</v>
      </c>
      <c r="H375" t="s">
        <v>1425</v>
      </c>
      <c r="I375" t="s">
        <v>1396</v>
      </c>
      <c r="J375" t="s">
        <v>1397</v>
      </c>
      <c r="K375" t="s">
        <v>150</v>
      </c>
      <c r="Q375" s="3" t="s">
        <v>1426</v>
      </c>
    </row>
    <row r="376" spans="1:17" ht="15.6" x14ac:dyDescent="0.3">
      <c r="A376" s="2">
        <v>46194</v>
      </c>
      <c r="B376">
        <v>265</v>
      </c>
      <c r="G376" t="s">
        <v>1338</v>
      </c>
      <c r="H376" t="s">
        <v>1427</v>
      </c>
      <c r="I376" t="s">
        <v>1396</v>
      </c>
      <c r="J376" t="s">
        <v>1397</v>
      </c>
      <c r="K376" t="s">
        <v>150</v>
      </c>
      <c r="Q376" s="3" t="s">
        <v>1428</v>
      </c>
    </row>
    <row r="377" spans="1:17" ht="15.6" x14ac:dyDescent="0.3">
      <c r="A377" s="2">
        <v>46194</v>
      </c>
      <c r="B377">
        <v>264</v>
      </c>
      <c r="G377" t="s">
        <v>1338</v>
      </c>
      <c r="H377" t="s">
        <v>1429</v>
      </c>
      <c r="I377" t="s">
        <v>1396</v>
      </c>
      <c r="J377" t="s">
        <v>1397</v>
      </c>
      <c r="K377" t="s">
        <v>150</v>
      </c>
      <c r="Q377" s="3" t="s">
        <v>1430</v>
      </c>
    </row>
    <row r="378" spans="1:17" ht="15.6" x14ac:dyDescent="0.3">
      <c r="A378" s="2">
        <v>46194</v>
      </c>
      <c r="B378">
        <v>263</v>
      </c>
      <c r="G378" t="s">
        <v>1338</v>
      </c>
      <c r="H378" t="s">
        <v>1431</v>
      </c>
      <c r="I378" t="s">
        <v>1396</v>
      </c>
      <c r="J378" t="s">
        <v>1397</v>
      </c>
      <c r="K378" t="s">
        <v>150</v>
      </c>
      <c r="Q378" s="3" t="s">
        <v>1432</v>
      </c>
    </row>
    <row r="379" spans="1:17" ht="15.6" x14ac:dyDescent="0.3">
      <c r="A379" s="2">
        <v>46194</v>
      </c>
      <c r="B379">
        <v>262</v>
      </c>
      <c r="G379" t="s">
        <v>1338</v>
      </c>
      <c r="H379" t="s">
        <v>1433</v>
      </c>
      <c r="I379" t="s">
        <v>1396</v>
      </c>
      <c r="J379" t="s">
        <v>1397</v>
      </c>
      <c r="K379" t="s">
        <v>150</v>
      </c>
      <c r="Q379" s="3" t="s">
        <v>1434</v>
      </c>
    </row>
    <row r="380" spans="1:17" ht="15.6" x14ac:dyDescent="0.3">
      <c r="A380" s="2">
        <v>46194</v>
      </c>
      <c r="B380">
        <v>261</v>
      </c>
      <c r="G380" t="s">
        <v>1338</v>
      </c>
      <c r="H380" t="s">
        <v>1435</v>
      </c>
      <c r="I380" t="s">
        <v>1396</v>
      </c>
      <c r="J380" t="s">
        <v>1397</v>
      </c>
      <c r="K380" t="s">
        <v>150</v>
      </c>
      <c r="Q380" s="3" t="s">
        <v>1436</v>
      </c>
    </row>
    <row r="381" spans="1:17" ht="15.6" x14ac:dyDescent="0.3">
      <c r="A381" s="2">
        <v>46194</v>
      </c>
      <c r="B381">
        <v>260</v>
      </c>
      <c r="G381" t="s">
        <v>1338</v>
      </c>
      <c r="H381" t="s">
        <v>1437</v>
      </c>
      <c r="I381" t="s">
        <v>1396</v>
      </c>
      <c r="J381" t="s">
        <v>1397</v>
      </c>
      <c r="K381" t="s">
        <v>150</v>
      </c>
      <c r="Q381" s="3" t="s">
        <v>1438</v>
      </c>
    </row>
    <row r="382" spans="1:17" ht="15.6" x14ac:dyDescent="0.3">
      <c r="A382" s="2">
        <v>46194</v>
      </c>
      <c r="B382">
        <v>259</v>
      </c>
      <c r="G382" t="s">
        <v>1338</v>
      </c>
      <c r="H382" t="s">
        <v>1439</v>
      </c>
      <c r="I382" t="s">
        <v>1396</v>
      </c>
      <c r="J382" t="s">
        <v>1397</v>
      </c>
      <c r="K382" t="s">
        <v>150</v>
      </c>
      <c r="Q382" s="3" t="s">
        <v>1440</v>
      </c>
    </row>
    <row r="383" spans="1:17" ht="15.6" x14ac:dyDescent="0.3">
      <c r="A383" s="2">
        <v>46194</v>
      </c>
      <c r="B383">
        <v>258</v>
      </c>
      <c r="G383" t="s">
        <v>1338</v>
      </c>
      <c r="H383" t="s">
        <v>1441</v>
      </c>
      <c r="I383" t="s">
        <v>1396</v>
      </c>
      <c r="J383" t="s">
        <v>1397</v>
      </c>
      <c r="K383" t="s">
        <v>150</v>
      </c>
      <c r="Q383" s="3" t="s">
        <v>1442</v>
      </c>
    </row>
    <row r="384" spans="1:17" ht="15.6" x14ac:dyDescent="0.3">
      <c r="A384" s="2">
        <v>46194</v>
      </c>
      <c r="B384">
        <v>257</v>
      </c>
      <c r="G384" t="s">
        <v>1338</v>
      </c>
      <c r="H384" t="s">
        <v>1443</v>
      </c>
      <c r="I384" t="s">
        <v>1396</v>
      </c>
      <c r="J384" t="s">
        <v>1397</v>
      </c>
      <c r="K384" t="s">
        <v>150</v>
      </c>
      <c r="Q384" s="3" t="s">
        <v>1444</v>
      </c>
    </row>
    <row r="385" spans="1:17" ht="15.6" x14ac:dyDescent="0.3">
      <c r="A385" s="2">
        <v>46194</v>
      </c>
      <c r="B385">
        <v>256</v>
      </c>
      <c r="G385" t="s">
        <v>1338</v>
      </c>
      <c r="H385" t="s">
        <v>1445</v>
      </c>
      <c r="I385" t="s">
        <v>1396</v>
      </c>
      <c r="J385" t="s">
        <v>1397</v>
      </c>
      <c r="K385" t="s">
        <v>150</v>
      </c>
      <c r="Q385" s="3" t="s">
        <v>1446</v>
      </c>
    </row>
    <row r="386" spans="1:17" ht="15.6" x14ac:dyDescent="0.3">
      <c r="A386" s="2">
        <v>46194</v>
      </c>
      <c r="B386">
        <v>255</v>
      </c>
      <c r="G386" t="s">
        <v>1338</v>
      </c>
      <c r="H386" t="s">
        <v>1447</v>
      </c>
      <c r="I386" t="s">
        <v>1396</v>
      </c>
      <c r="J386" t="s">
        <v>1397</v>
      </c>
      <c r="K386" t="s">
        <v>150</v>
      </c>
      <c r="Q386" s="3" t="s">
        <v>1448</v>
      </c>
    </row>
    <row r="387" spans="1:17" ht="15.6" x14ac:dyDescent="0.3">
      <c r="A387" s="2">
        <v>46194</v>
      </c>
      <c r="B387">
        <v>254</v>
      </c>
      <c r="G387" t="s">
        <v>1338</v>
      </c>
      <c r="H387" t="s">
        <v>1449</v>
      </c>
      <c r="I387" t="s">
        <v>1396</v>
      </c>
      <c r="J387" t="s">
        <v>1397</v>
      </c>
      <c r="K387" t="s">
        <v>150</v>
      </c>
      <c r="Q387" s="3" t="s">
        <v>1450</v>
      </c>
    </row>
    <row r="388" spans="1:17" ht="15.6" x14ac:dyDescent="0.3">
      <c r="A388" s="2">
        <v>46194</v>
      </c>
      <c r="B388">
        <v>253</v>
      </c>
      <c r="G388" t="s">
        <v>1338</v>
      </c>
      <c r="H388" t="s">
        <v>1451</v>
      </c>
      <c r="I388" t="s">
        <v>1396</v>
      </c>
      <c r="J388" t="s">
        <v>1397</v>
      </c>
      <c r="K388" t="s">
        <v>150</v>
      </c>
      <c r="Q388" s="3" t="s">
        <v>1452</v>
      </c>
    </row>
    <row r="389" spans="1:17" ht="15.6" x14ac:dyDescent="0.3">
      <c r="A389" s="2">
        <v>46194</v>
      </c>
      <c r="B389">
        <v>252</v>
      </c>
      <c r="G389" t="s">
        <v>1338</v>
      </c>
      <c r="H389" t="s">
        <v>1453</v>
      </c>
      <c r="I389" t="s">
        <v>1396</v>
      </c>
      <c r="J389" t="s">
        <v>1397</v>
      </c>
      <c r="K389" t="s">
        <v>150</v>
      </c>
      <c r="Q389" s="3" t="s">
        <v>1454</v>
      </c>
    </row>
    <row r="390" spans="1:17" ht="15.6" x14ac:dyDescent="0.3">
      <c r="A390" s="2">
        <v>46194</v>
      </c>
      <c r="B390">
        <v>251</v>
      </c>
      <c r="G390" t="s">
        <v>1338</v>
      </c>
      <c r="H390" t="s">
        <v>1455</v>
      </c>
      <c r="I390" t="s">
        <v>1396</v>
      </c>
      <c r="J390" t="s">
        <v>1397</v>
      </c>
      <c r="K390" t="s">
        <v>150</v>
      </c>
      <c r="Q390" s="3" t="s">
        <v>1456</v>
      </c>
    </row>
    <row r="391" spans="1:17" ht="15.6" x14ac:dyDescent="0.3">
      <c r="A391" s="2">
        <v>46194</v>
      </c>
      <c r="B391">
        <v>250</v>
      </c>
      <c r="G391" t="s">
        <v>1338</v>
      </c>
      <c r="H391" t="s">
        <v>1457</v>
      </c>
      <c r="I391" t="s">
        <v>1396</v>
      </c>
      <c r="J391" t="s">
        <v>1397</v>
      </c>
      <c r="K391" t="s">
        <v>150</v>
      </c>
      <c r="Q391" s="3" t="s">
        <v>1458</v>
      </c>
    </row>
    <row r="392" spans="1:17" ht="15.6" x14ac:dyDescent="0.3">
      <c r="A392" s="2">
        <v>46194</v>
      </c>
      <c r="B392">
        <v>249</v>
      </c>
      <c r="G392" t="s">
        <v>1338</v>
      </c>
      <c r="H392" t="s">
        <v>1459</v>
      </c>
      <c r="I392" t="s">
        <v>1396</v>
      </c>
      <c r="J392" t="s">
        <v>1397</v>
      </c>
      <c r="K392" t="s">
        <v>150</v>
      </c>
      <c r="Q392" s="3" t="s">
        <v>1460</v>
      </c>
    </row>
    <row r="393" spans="1:17" ht="15.6" x14ac:dyDescent="0.3">
      <c r="A393" s="2">
        <v>46194</v>
      </c>
      <c r="B393">
        <v>248</v>
      </c>
      <c r="G393" t="s">
        <v>1338</v>
      </c>
      <c r="H393" t="s">
        <v>1461</v>
      </c>
      <c r="I393" t="s">
        <v>1396</v>
      </c>
      <c r="J393" t="s">
        <v>1397</v>
      </c>
      <c r="K393" t="s">
        <v>150</v>
      </c>
      <c r="Q393" s="3" t="s">
        <v>1462</v>
      </c>
    </row>
    <row r="394" spans="1:17" ht="15.6" x14ac:dyDescent="0.3">
      <c r="A394" s="2">
        <v>46194</v>
      </c>
      <c r="B394">
        <v>247</v>
      </c>
      <c r="G394" t="s">
        <v>1338</v>
      </c>
      <c r="H394" t="s">
        <v>1463</v>
      </c>
      <c r="I394" t="s">
        <v>1396</v>
      </c>
      <c r="J394" t="s">
        <v>1397</v>
      </c>
      <c r="K394" t="s">
        <v>150</v>
      </c>
      <c r="Q394" s="3" t="s">
        <v>1464</v>
      </c>
    </row>
    <row r="395" spans="1:17" ht="15.6" x14ac:dyDescent="0.3">
      <c r="A395" s="2">
        <v>46194</v>
      </c>
      <c r="B395">
        <v>246</v>
      </c>
      <c r="G395" t="s">
        <v>1338</v>
      </c>
      <c r="H395" t="s">
        <v>1465</v>
      </c>
      <c r="I395" t="s">
        <v>1396</v>
      </c>
      <c r="J395" t="s">
        <v>1397</v>
      </c>
      <c r="K395" t="s">
        <v>150</v>
      </c>
      <c r="Q395" s="3" t="s">
        <v>1466</v>
      </c>
    </row>
    <row r="396" spans="1:17" ht="15.6" x14ac:dyDescent="0.3">
      <c r="A396" s="2">
        <v>46194</v>
      </c>
      <c r="B396">
        <v>245</v>
      </c>
      <c r="G396" t="s">
        <v>1338</v>
      </c>
      <c r="H396" t="s">
        <v>1467</v>
      </c>
      <c r="I396" t="s">
        <v>1396</v>
      </c>
      <c r="J396" t="s">
        <v>1397</v>
      </c>
      <c r="K396" t="s">
        <v>150</v>
      </c>
      <c r="Q396" s="3" t="s">
        <v>1468</v>
      </c>
    </row>
    <row r="397" spans="1:17" ht="15.6" x14ac:dyDescent="0.3">
      <c r="A397" s="2">
        <v>46194</v>
      </c>
      <c r="B397">
        <v>244</v>
      </c>
      <c r="G397" t="s">
        <v>1338</v>
      </c>
      <c r="H397" t="s">
        <v>1469</v>
      </c>
      <c r="I397" t="s">
        <v>1396</v>
      </c>
      <c r="J397" t="s">
        <v>1397</v>
      </c>
      <c r="K397" t="s">
        <v>150</v>
      </c>
      <c r="Q397" s="3" t="s">
        <v>1470</v>
      </c>
    </row>
    <row r="398" spans="1:17" ht="15.6" x14ac:dyDescent="0.3">
      <c r="A398" s="2">
        <v>46194</v>
      </c>
      <c r="B398">
        <v>243</v>
      </c>
      <c r="G398" t="s">
        <v>1338</v>
      </c>
      <c r="H398" t="s">
        <v>1471</v>
      </c>
      <c r="I398" t="s">
        <v>1396</v>
      </c>
      <c r="J398" t="s">
        <v>1397</v>
      </c>
      <c r="K398" t="s">
        <v>150</v>
      </c>
      <c r="Q398" s="3" t="s">
        <v>1472</v>
      </c>
    </row>
    <row r="399" spans="1:17" ht="15.6" x14ac:dyDescent="0.3">
      <c r="A399" s="2">
        <v>46194</v>
      </c>
      <c r="B399">
        <v>242</v>
      </c>
      <c r="G399" t="s">
        <v>1338</v>
      </c>
      <c r="H399" t="s">
        <v>1473</v>
      </c>
      <c r="I399" t="s">
        <v>1396</v>
      </c>
      <c r="J399" t="s">
        <v>1397</v>
      </c>
      <c r="K399" t="s">
        <v>150</v>
      </c>
      <c r="Q399" s="3" t="s">
        <v>1474</v>
      </c>
    </row>
    <row r="400" spans="1:17" ht="15.6" x14ac:dyDescent="0.3">
      <c r="A400" s="2">
        <v>46194</v>
      </c>
      <c r="B400">
        <v>241</v>
      </c>
      <c r="G400" t="s">
        <v>1338</v>
      </c>
      <c r="H400" t="s">
        <v>1475</v>
      </c>
      <c r="I400" t="s">
        <v>1396</v>
      </c>
      <c r="J400" t="s">
        <v>1397</v>
      </c>
      <c r="K400" t="s">
        <v>150</v>
      </c>
      <c r="Q400" s="3" t="s">
        <v>1476</v>
      </c>
    </row>
    <row r="401" spans="1:17" ht="15.6" x14ac:dyDescent="0.3">
      <c r="A401" s="2">
        <v>46194</v>
      </c>
      <c r="B401">
        <v>240</v>
      </c>
      <c r="G401" t="s">
        <v>1338</v>
      </c>
      <c r="H401" t="s">
        <v>1477</v>
      </c>
      <c r="I401" t="s">
        <v>1396</v>
      </c>
      <c r="J401" t="s">
        <v>1397</v>
      </c>
      <c r="K401" t="s">
        <v>150</v>
      </c>
      <c r="Q401" s="3" t="s">
        <v>1478</v>
      </c>
    </row>
    <row r="402" spans="1:17" ht="15.6" x14ac:dyDescent="0.3">
      <c r="A402" s="2">
        <v>46194</v>
      </c>
      <c r="B402">
        <v>239</v>
      </c>
      <c r="G402" t="s">
        <v>1338</v>
      </c>
      <c r="H402" t="s">
        <v>1479</v>
      </c>
      <c r="I402" t="s">
        <v>1396</v>
      </c>
      <c r="J402" t="s">
        <v>1397</v>
      </c>
      <c r="K402" t="s">
        <v>150</v>
      </c>
      <c r="Q402" s="3" t="s">
        <v>1480</v>
      </c>
    </row>
    <row r="403" spans="1:17" ht="15.6" x14ac:dyDescent="0.3">
      <c r="A403" s="2">
        <v>46194</v>
      </c>
      <c r="B403">
        <v>238</v>
      </c>
      <c r="G403" t="s">
        <v>1338</v>
      </c>
      <c r="H403" t="s">
        <v>1481</v>
      </c>
      <c r="I403" t="s">
        <v>1396</v>
      </c>
      <c r="J403" t="s">
        <v>1397</v>
      </c>
      <c r="K403" t="s">
        <v>150</v>
      </c>
      <c r="Q403" s="3" t="s">
        <v>1482</v>
      </c>
    </row>
    <row r="404" spans="1:17" ht="15.6" x14ac:dyDescent="0.3">
      <c r="A404" s="2">
        <v>46194</v>
      </c>
      <c r="B404">
        <v>237</v>
      </c>
      <c r="G404" t="s">
        <v>1338</v>
      </c>
      <c r="H404" t="s">
        <v>1483</v>
      </c>
      <c r="I404" t="s">
        <v>1396</v>
      </c>
      <c r="J404" t="s">
        <v>1397</v>
      </c>
      <c r="K404" t="s">
        <v>150</v>
      </c>
      <c r="Q404" s="3" t="s">
        <v>1484</v>
      </c>
    </row>
    <row r="405" spans="1:17" ht="15.6" x14ac:dyDescent="0.3">
      <c r="A405" s="2">
        <v>46194</v>
      </c>
      <c r="B405">
        <v>236</v>
      </c>
      <c r="G405" t="s">
        <v>1338</v>
      </c>
      <c r="H405" t="s">
        <v>1485</v>
      </c>
      <c r="I405" t="s">
        <v>1396</v>
      </c>
      <c r="J405" t="s">
        <v>1397</v>
      </c>
      <c r="K405" t="s">
        <v>150</v>
      </c>
      <c r="Q405" s="3" t="s">
        <v>1486</v>
      </c>
    </row>
    <row r="406" spans="1:17" ht="15.6" x14ac:dyDescent="0.3">
      <c r="A406" s="2">
        <v>46194</v>
      </c>
      <c r="B406">
        <v>235</v>
      </c>
      <c r="G406" t="s">
        <v>1338</v>
      </c>
      <c r="H406" t="s">
        <v>1487</v>
      </c>
      <c r="I406" t="s">
        <v>1396</v>
      </c>
      <c r="J406" t="s">
        <v>1397</v>
      </c>
      <c r="K406" t="s">
        <v>150</v>
      </c>
      <c r="Q406" s="3" t="s">
        <v>1488</v>
      </c>
    </row>
    <row r="407" spans="1:17" ht="15.6" x14ac:dyDescent="0.3">
      <c r="A407" s="2">
        <v>46194</v>
      </c>
      <c r="B407">
        <v>234</v>
      </c>
      <c r="G407" t="s">
        <v>1338</v>
      </c>
      <c r="H407" t="s">
        <v>1489</v>
      </c>
      <c r="I407" t="s">
        <v>1396</v>
      </c>
      <c r="J407" t="s">
        <v>1397</v>
      </c>
      <c r="K407" t="s">
        <v>150</v>
      </c>
      <c r="Q407" s="3" t="s">
        <v>1490</v>
      </c>
    </row>
    <row r="408" spans="1:17" ht="15.6" x14ac:dyDescent="0.3">
      <c r="A408" s="2">
        <v>46194</v>
      </c>
      <c r="B408">
        <v>233</v>
      </c>
      <c r="G408" t="s">
        <v>1338</v>
      </c>
      <c r="H408" t="s">
        <v>1491</v>
      </c>
      <c r="I408" t="s">
        <v>1396</v>
      </c>
      <c r="J408" t="s">
        <v>1397</v>
      </c>
      <c r="K408" t="s">
        <v>150</v>
      </c>
      <c r="Q408" s="3" t="s">
        <v>1492</v>
      </c>
    </row>
    <row r="409" spans="1:17" ht="15.6" x14ac:dyDescent="0.3">
      <c r="A409" s="2">
        <v>46194</v>
      </c>
      <c r="B409">
        <v>232</v>
      </c>
      <c r="G409" t="s">
        <v>1338</v>
      </c>
      <c r="H409" t="s">
        <v>1493</v>
      </c>
      <c r="I409" t="s">
        <v>1396</v>
      </c>
      <c r="J409" t="s">
        <v>1397</v>
      </c>
      <c r="K409" t="s">
        <v>150</v>
      </c>
      <c r="Q409" s="3" t="s">
        <v>1494</v>
      </c>
    </row>
    <row r="410" spans="1:17" ht="15.6" x14ac:dyDescent="0.3">
      <c r="A410" s="2">
        <v>46194</v>
      </c>
      <c r="B410">
        <v>231</v>
      </c>
      <c r="G410" t="s">
        <v>1338</v>
      </c>
      <c r="H410" t="s">
        <v>1495</v>
      </c>
      <c r="I410" t="s">
        <v>1396</v>
      </c>
      <c r="J410" t="s">
        <v>1397</v>
      </c>
      <c r="K410" t="s">
        <v>150</v>
      </c>
      <c r="Q410" s="3" t="s">
        <v>1496</v>
      </c>
    </row>
    <row r="411" spans="1:17" ht="15.6" x14ac:dyDescent="0.3">
      <c r="A411" s="2">
        <v>46194</v>
      </c>
      <c r="B411">
        <v>230</v>
      </c>
      <c r="G411" t="s">
        <v>1338</v>
      </c>
      <c r="H411" t="s">
        <v>1497</v>
      </c>
      <c r="I411" t="s">
        <v>1396</v>
      </c>
      <c r="J411" t="s">
        <v>1397</v>
      </c>
      <c r="K411" t="s">
        <v>150</v>
      </c>
      <c r="Q411" s="3" t="s">
        <v>1498</v>
      </c>
    </row>
    <row r="412" spans="1:17" ht="15.6" x14ac:dyDescent="0.3">
      <c r="A412" s="2">
        <v>46194</v>
      </c>
      <c r="B412">
        <v>229</v>
      </c>
      <c r="G412" t="s">
        <v>1338</v>
      </c>
      <c r="H412" t="s">
        <v>1499</v>
      </c>
      <c r="I412" t="s">
        <v>1396</v>
      </c>
      <c r="J412" t="s">
        <v>1397</v>
      </c>
      <c r="K412" t="s">
        <v>150</v>
      </c>
      <c r="Q412" s="3" t="s">
        <v>1500</v>
      </c>
    </row>
    <row r="413" spans="1:17" ht="15.6" x14ac:dyDescent="0.3">
      <c r="A413" s="2">
        <v>46194</v>
      </c>
      <c r="B413">
        <v>228</v>
      </c>
      <c r="G413" t="s">
        <v>1338</v>
      </c>
      <c r="H413" t="s">
        <v>1501</v>
      </c>
      <c r="I413" t="s">
        <v>1396</v>
      </c>
      <c r="J413" t="s">
        <v>1397</v>
      </c>
      <c r="K413" t="s">
        <v>150</v>
      </c>
      <c r="Q413" s="3" t="s">
        <v>1502</v>
      </c>
    </row>
    <row r="414" spans="1:17" ht="15.6" x14ac:dyDescent="0.3">
      <c r="A414" s="2">
        <v>46194</v>
      </c>
      <c r="B414">
        <v>227</v>
      </c>
      <c r="G414" t="s">
        <v>1338</v>
      </c>
      <c r="H414" t="s">
        <v>1503</v>
      </c>
      <c r="I414" t="s">
        <v>1396</v>
      </c>
      <c r="J414" t="s">
        <v>1397</v>
      </c>
      <c r="K414" t="s">
        <v>150</v>
      </c>
      <c r="Q414" s="3" t="s">
        <v>1504</v>
      </c>
    </row>
    <row r="415" spans="1:17" ht="15.6" x14ac:dyDescent="0.3">
      <c r="A415" s="2">
        <v>46194</v>
      </c>
      <c r="B415">
        <v>226</v>
      </c>
      <c r="G415" t="s">
        <v>1338</v>
      </c>
      <c r="H415" t="s">
        <v>1505</v>
      </c>
      <c r="I415" t="s">
        <v>1396</v>
      </c>
      <c r="J415" t="s">
        <v>1397</v>
      </c>
      <c r="K415" t="s">
        <v>150</v>
      </c>
      <c r="Q415" s="3" t="s">
        <v>1506</v>
      </c>
    </row>
    <row r="416" spans="1:17" ht="15.6" x14ac:dyDescent="0.3">
      <c r="A416" s="2">
        <v>46194</v>
      </c>
      <c r="B416">
        <v>225</v>
      </c>
      <c r="G416" t="s">
        <v>1338</v>
      </c>
      <c r="H416" t="s">
        <v>1507</v>
      </c>
      <c r="I416" t="s">
        <v>1396</v>
      </c>
      <c r="J416" t="s">
        <v>1397</v>
      </c>
      <c r="K416" t="s">
        <v>150</v>
      </c>
      <c r="Q416" s="3" t="s">
        <v>1508</v>
      </c>
    </row>
    <row r="417" spans="1:17" ht="15.6" x14ac:dyDescent="0.3">
      <c r="A417" s="2">
        <v>46194</v>
      </c>
      <c r="B417">
        <v>224</v>
      </c>
      <c r="G417" t="s">
        <v>1338</v>
      </c>
      <c r="H417" t="s">
        <v>1509</v>
      </c>
      <c r="I417" t="s">
        <v>1396</v>
      </c>
      <c r="J417" t="s">
        <v>1397</v>
      </c>
      <c r="K417" t="s">
        <v>150</v>
      </c>
      <c r="Q417" s="3" t="s">
        <v>1510</v>
      </c>
    </row>
    <row r="418" spans="1:17" ht="15.6" x14ac:dyDescent="0.3">
      <c r="A418" s="2">
        <v>46194</v>
      </c>
      <c r="B418">
        <v>223</v>
      </c>
      <c r="G418" t="s">
        <v>1338</v>
      </c>
      <c r="H418" t="s">
        <v>1511</v>
      </c>
      <c r="I418" t="s">
        <v>1396</v>
      </c>
      <c r="J418" t="s">
        <v>1397</v>
      </c>
      <c r="K418" t="s">
        <v>150</v>
      </c>
      <c r="Q418" s="3" t="s">
        <v>1512</v>
      </c>
    </row>
    <row r="419" spans="1:17" ht="15.6" x14ac:dyDescent="0.3">
      <c r="A419" s="2">
        <v>46194</v>
      </c>
      <c r="B419">
        <v>222</v>
      </c>
      <c r="G419" t="s">
        <v>1338</v>
      </c>
      <c r="H419" t="s">
        <v>1513</v>
      </c>
      <c r="I419" t="s">
        <v>1396</v>
      </c>
      <c r="J419" t="s">
        <v>1397</v>
      </c>
      <c r="K419" t="s">
        <v>150</v>
      </c>
      <c r="Q419" s="3" t="s">
        <v>1514</v>
      </c>
    </row>
    <row r="420" spans="1:17" ht="15.6" x14ac:dyDescent="0.3">
      <c r="A420" s="2">
        <v>46194</v>
      </c>
      <c r="B420">
        <v>221</v>
      </c>
      <c r="G420" t="s">
        <v>1338</v>
      </c>
      <c r="H420" t="s">
        <v>1515</v>
      </c>
      <c r="I420" t="s">
        <v>1396</v>
      </c>
      <c r="J420" t="s">
        <v>1397</v>
      </c>
      <c r="K420" t="s">
        <v>150</v>
      </c>
      <c r="Q420" s="3" t="s">
        <v>1516</v>
      </c>
    </row>
    <row r="421" spans="1:17" ht="15.6" x14ac:dyDescent="0.3">
      <c r="A421" s="2">
        <v>46194</v>
      </c>
      <c r="B421">
        <v>220</v>
      </c>
      <c r="G421" t="s">
        <v>1338</v>
      </c>
      <c r="H421" t="s">
        <v>1517</v>
      </c>
      <c r="I421" t="s">
        <v>1396</v>
      </c>
      <c r="J421" t="s">
        <v>1397</v>
      </c>
      <c r="K421" t="s">
        <v>150</v>
      </c>
      <c r="Q421" s="3" t="s">
        <v>1518</v>
      </c>
    </row>
    <row r="422" spans="1:17" ht="15.6" x14ac:dyDescent="0.3">
      <c r="A422" s="2">
        <v>46194</v>
      </c>
      <c r="B422">
        <v>219</v>
      </c>
      <c r="G422" t="s">
        <v>1338</v>
      </c>
      <c r="H422" t="s">
        <v>1519</v>
      </c>
      <c r="I422" t="s">
        <v>1396</v>
      </c>
      <c r="J422" t="s">
        <v>1397</v>
      </c>
      <c r="K422" t="s">
        <v>150</v>
      </c>
      <c r="Q422" s="3" t="s">
        <v>1520</v>
      </c>
    </row>
    <row r="423" spans="1:17" ht="15.6" x14ac:dyDescent="0.3">
      <c r="A423" s="2">
        <v>46194</v>
      </c>
      <c r="B423">
        <v>218</v>
      </c>
      <c r="G423" t="s">
        <v>1338</v>
      </c>
      <c r="H423" t="s">
        <v>1521</v>
      </c>
      <c r="I423" t="s">
        <v>1396</v>
      </c>
      <c r="J423" t="s">
        <v>1397</v>
      </c>
      <c r="K423" t="s">
        <v>150</v>
      </c>
      <c r="Q423" s="3" t="s">
        <v>1522</v>
      </c>
    </row>
    <row r="424" spans="1:17" ht="15.6" x14ac:dyDescent="0.3">
      <c r="A424" s="2">
        <v>46194</v>
      </c>
      <c r="B424">
        <v>217</v>
      </c>
      <c r="G424" t="s">
        <v>1338</v>
      </c>
      <c r="H424" t="s">
        <v>1523</v>
      </c>
      <c r="I424" t="s">
        <v>1396</v>
      </c>
      <c r="J424" t="s">
        <v>1397</v>
      </c>
      <c r="K424" t="s">
        <v>150</v>
      </c>
      <c r="Q424" s="3" t="s">
        <v>1524</v>
      </c>
    </row>
    <row r="425" spans="1:17" ht="15.6" x14ac:dyDescent="0.3">
      <c r="A425" s="2">
        <v>46194</v>
      </c>
      <c r="B425">
        <v>216</v>
      </c>
      <c r="G425" t="s">
        <v>1338</v>
      </c>
      <c r="H425" t="s">
        <v>1525</v>
      </c>
      <c r="I425" t="s">
        <v>1396</v>
      </c>
      <c r="J425" t="s">
        <v>1397</v>
      </c>
      <c r="K425" t="s">
        <v>150</v>
      </c>
      <c r="Q425" s="3" t="s">
        <v>1526</v>
      </c>
    </row>
    <row r="426" spans="1:17" ht="15.6" x14ac:dyDescent="0.3">
      <c r="A426" s="2">
        <v>46194</v>
      </c>
      <c r="B426">
        <v>215</v>
      </c>
      <c r="G426" t="s">
        <v>1338</v>
      </c>
      <c r="H426" t="s">
        <v>1527</v>
      </c>
      <c r="I426" t="s">
        <v>1396</v>
      </c>
      <c r="J426" t="s">
        <v>1397</v>
      </c>
      <c r="K426" t="s">
        <v>150</v>
      </c>
      <c r="Q426" s="3" t="s">
        <v>1528</v>
      </c>
    </row>
    <row r="427" spans="1:17" ht="15.6" x14ac:dyDescent="0.3">
      <c r="A427" s="2">
        <v>46194</v>
      </c>
      <c r="B427">
        <v>214</v>
      </c>
      <c r="G427" t="s">
        <v>1338</v>
      </c>
      <c r="H427" t="s">
        <v>1529</v>
      </c>
      <c r="I427" t="s">
        <v>1396</v>
      </c>
      <c r="J427" t="s">
        <v>1397</v>
      </c>
      <c r="K427" t="s">
        <v>150</v>
      </c>
      <c r="Q427" s="3" t="s">
        <v>1530</v>
      </c>
    </row>
    <row r="428" spans="1:17" ht="15.6" x14ac:dyDescent="0.3">
      <c r="A428" s="2">
        <v>46194</v>
      </c>
      <c r="B428">
        <v>213</v>
      </c>
      <c r="G428" t="s">
        <v>1338</v>
      </c>
      <c r="H428" t="s">
        <v>1531</v>
      </c>
      <c r="I428" t="s">
        <v>1396</v>
      </c>
      <c r="J428" t="s">
        <v>1397</v>
      </c>
      <c r="K428" t="s">
        <v>150</v>
      </c>
      <c r="Q428" s="3" t="s">
        <v>1532</v>
      </c>
    </row>
    <row r="429" spans="1:17" ht="15.6" x14ac:dyDescent="0.3">
      <c r="A429" s="2">
        <v>46194</v>
      </c>
      <c r="B429">
        <v>212</v>
      </c>
      <c r="G429" t="s">
        <v>1338</v>
      </c>
      <c r="H429" t="s">
        <v>1533</v>
      </c>
      <c r="I429" t="s">
        <v>1396</v>
      </c>
      <c r="J429" t="s">
        <v>1397</v>
      </c>
      <c r="K429" t="s">
        <v>150</v>
      </c>
      <c r="Q429" s="3" t="s">
        <v>1534</v>
      </c>
    </row>
    <row r="430" spans="1:17" ht="15.6" x14ac:dyDescent="0.3">
      <c r="A430" s="2">
        <v>46194</v>
      </c>
      <c r="B430">
        <v>211</v>
      </c>
      <c r="G430" t="s">
        <v>1338</v>
      </c>
      <c r="H430" t="s">
        <v>1535</v>
      </c>
      <c r="I430" t="s">
        <v>1396</v>
      </c>
      <c r="J430" t="s">
        <v>1397</v>
      </c>
      <c r="K430" t="s">
        <v>150</v>
      </c>
      <c r="Q430" s="3" t="s">
        <v>1536</v>
      </c>
    </row>
    <row r="431" spans="1:17" ht="15.6" x14ac:dyDescent="0.3">
      <c r="A431" s="2">
        <v>46194</v>
      </c>
      <c r="B431">
        <v>210</v>
      </c>
      <c r="G431" t="s">
        <v>1338</v>
      </c>
      <c r="H431" t="s">
        <v>1537</v>
      </c>
      <c r="I431" t="s">
        <v>1396</v>
      </c>
      <c r="J431" t="s">
        <v>1397</v>
      </c>
      <c r="K431" t="s">
        <v>150</v>
      </c>
      <c r="Q431" s="3" t="s">
        <v>1538</v>
      </c>
    </row>
    <row r="432" spans="1:17" ht="15.6" x14ac:dyDescent="0.3">
      <c r="A432" s="2">
        <v>46194</v>
      </c>
      <c r="B432">
        <v>209</v>
      </c>
      <c r="G432" t="s">
        <v>1338</v>
      </c>
      <c r="H432" t="s">
        <v>1539</v>
      </c>
      <c r="I432" t="s">
        <v>1396</v>
      </c>
      <c r="J432" t="s">
        <v>1397</v>
      </c>
      <c r="K432" t="s">
        <v>150</v>
      </c>
      <c r="Q432" s="3" t="s">
        <v>1540</v>
      </c>
    </row>
    <row r="433" spans="1:17" ht="15.6" x14ac:dyDescent="0.3">
      <c r="A433" s="2">
        <v>46194</v>
      </c>
      <c r="B433">
        <v>208</v>
      </c>
      <c r="G433" t="s">
        <v>1338</v>
      </c>
      <c r="H433" t="s">
        <v>1541</v>
      </c>
      <c r="I433" t="s">
        <v>1396</v>
      </c>
      <c r="J433" t="s">
        <v>1397</v>
      </c>
      <c r="K433" t="s">
        <v>150</v>
      </c>
      <c r="Q433" s="3" t="s">
        <v>1542</v>
      </c>
    </row>
    <row r="434" spans="1:17" ht="15.6" x14ac:dyDescent="0.3">
      <c r="A434" s="2">
        <v>46194</v>
      </c>
      <c r="B434">
        <v>207</v>
      </c>
      <c r="G434" t="s">
        <v>1338</v>
      </c>
      <c r="H434" t="s">
        <v>1543</v>
      </c>
      <c r="I434" t="s">
        <v>1544</v>
      </c>
      <c r="J434" t="s">
        <v>1545</v>
      </c>
      <c r="K434" t="s">
        <v>150</v>
      </c>
      <c r="Q434" s="3" t="s">
        <v>1546</v>
      </c>
    </row>
    <row r="435" spans="1:17" ht="15.6" x14ac:dyDescent="0.3">
      <c r="A435" s="2">
        <v>46194</v>
      </c>
      <c r="B435">
        <v>206</v>
      </c>
      <c r="E435" s="2">
        <v>45985</v>
      </c>
      <c r="G435" t="s">
        <v>1338</v>
      </c>
      <c r="H435" t="s">
        <v>1744</v>
      </c>
      <c r="I435" t="s">
        <v>1544</v>
      </c>
      <c r="J435" t="s">
        <v>1545</v>
      </c>
      <c r="K435" t="s">
        <v>150</v>
      </c>
      <c r="Q435" s="3" t="s">
        <v>1745</v>
      </c>
    </row>
    <row r="436" spans="1:17" ht="15.6" x14ac:dyDescent="0.3">
      <c r="A436" s="2">
        <v>46194</v>
      </c>
      <c r="B436">
        <v>205</v>
      </c>
      <c r="G436" t="s">
        <v>1338</v>
      </c>
      <c r="H436" t="s">
        <v>1547</v>
      </c>
      <c r="I436" t="s">
        <v>1544</v>
      </c>
      <c r="J436" t="s">
        <v>1545</v>
      </c>
      <c r="K436" t="s">
        <v>150</v>
      </c>
      <c r="Q436" s="3" t="s">
        <v>1548</v>
      </c>
    </row>
    <row r="437" spans="1:17" ht="15.6" x14ac:dyDescent="0.3">
      <c r="A437" s="2">
        <v>46194</v>
      </c>
      <c r="B437">
        <v>204</v>
      </c>
      <c r="C437" t="s">
        <v>1746</v>
      </c>
      <c r="D437" s="2">
        <v>46170</v>
      </c>
      <c r="E437" s="2">
        <v>46183</v>
      </c>
      <c r="G437" t="s">
        <v>1338</v>
      </c>
      <c r="H437" t="s">
        <v>1747</v>
      </c>
      <c r="I437" t="s">
        <v>1748</v>
      </c>
      <c r="J437" t="s">
        <v>1749</v>
      </c>
      <c r="K437" t="s">
        <v>150</v>
      </c>
      <c r="Q437" s="3" t="s">
        <v>1750</v>
      </c>
    </row>
    <row r="438" spans="1:17" ht="15.6" x14ac:dyDescent="0.3">
      <c r="A438" s="2">
        <v>46194</v>
      </c>
      <c r="B438">
        <v>203</v>
      </c>
      <c r="C438" t="s">
        <v>1751</v>
      </c>
      <c r="D438" s="2">
        <v>46169</v>
      </c>
      <c r="E438" s="2">
        <v>46176</v>
      </c>
      <c r="G438" t="s">
        <v>1338</v>
      </c>
      <c r="H438" t="s">
        <v>1752</v>
      </c>
      <c r="I438" t="s">
        <v>1748</v>
      </c>
      <c r="J438" t="s">
        <v>1749</v>
      </c>
      <c r="K438" t="s">
        <v>150</v>
      </c>
      <c r="Q438" s="3" t="s">
        <v>1753</v>
      </c>
    </row>
    <row r="439" spans="1:17" ht="15.6" x14ac:dyDescent="0.3">
      <c r="A439" s="2">
        <v>46194</v>
      </c>
      <c r="B439">
        <v>202</v>
      </c>
      <c r="C439" t="s">
        <v>1754</v>
      </c>
      <c r="D439" s="2">
        <v>46162</v>
      </c>
      <c r="E439" s="2">
        <v>46176</v>
      </c>
      <c r="G439" t="s">
        <v>1338</v>
      </c>
      <c r="H439" t="s">
        <v>1755</v>
      </c>
      <c r="I439" t="s">
        <v>1748</v>
      </c>
      <c r="J439" t="s">
        <v>1749</v>
      </c>
      <c r="K439" t="s">
        <v>150</v>
      </c>
      <c r="Q439" s="3" t="s">
        <v>1756</v>
      </c>
    </row>
    <row r="440" spans="1:17" ht="15.6" x14ac:dyDescent="0.3">
      <c r="A440" s="2">
        <v>46194</v>
      </c>
      <c r="B440">
        <v>201</v>
      </c>
      <c r="C440" t="s">
        <v>1757</v>
      </c>
      <c r="D440" s="2">
        <v>46142</v>
      </c>
      <c r="E440" s="2">
        <v>46150</v>
      </c>
      <c r="G440" t="s">
        <v>1338</v>
      </c>
      <c r="H440" t="s">
        <v>1758</v>
      </c>
      <c r="I440" t="s">
        <v>1748</v>
      </c>
      <c r="J440" t="s">
        <v>1749</v>
      </c>
      <c r="K440" t="s">
        <v>150</v>
      </c>
      <c r="Q440" s="3" t="s">
        <v>1759</v>
      </c>
    </row>
    <row r="441" spans="1:17" ht="15.6" x14ac:dyDescent="0.3">
      <c r="A441" s="2">
        <v>46194</v>
      </c>
      <c r="B441">
        <v>200</v>
      </c>
      <c r="C441" t="s">
        <v>1760</v>
      </c>
      <c r="D441" s="2">
        <v>46140</v>
      </c>
      <c r="E441" s="2">
        <v>46154</v>
      </c>
      <c r="G441" t="s">
        <v>1338</v>
      </c>
      <c r="H441" t="s">
        <v>1761</v>
      </c>
      <c r="I441" t="s">
        <v>1748</v>
      </c>
      <c r="J441" t="s">
        <v>1749</v>
      </c>
      <c r="K441" t="s">
        <v>150</v>
      </c>
      <c r="Q441" s="3" t="s">
        <v>1762</v>
      </c>
    </row>
    <row r="442" spans="1:17" ht="15.6" x14ac:dyDescent="0.3">
      <c r="A442" s="2">
        <v>46194</v>
      </c>
      <c r="B442">
        <v>199</v>
      </c>
      <c r="C442" t="s">
        <v>1763</v>
      </c>
      <c r="D442" s="2">
        <v>46140</v>
      </c>
      <c r="E442" s="2">
        <v>46170</v>
      </c>
      <c r="G442" t="s">
        <v>1338</v>
      </c>
      <c r="H442" t="s">
        <v>1764</v>
      </c>
      <c r="I442" t="s">
        <v>1748</v>
      </c>
      <c r="J442" t="s">
        <v>1749</v>
      </c>
      <c r="K442" t="s">
        <v>150</v>
      </c>
      <c r="Q442" s="3" t="s">
        <v>1765</v>
      </c>
    </row>
    <row r="443" spans="1:17" ht="15.6" x14ac:dyDescent="0.3">
      <c r="A443" s="2">
        <v>46194</v>
      </c>
      <c r="B443">
        <v>198</v>
      </c>
      <c r="C443" t="s">
        <v>1766</v>
      </c>
      <c r="D443" s="2">
        <v>46122</v>
      </c>
      <c r="E443" s="2">
        <v>46154</v>
      </c>
      <c r="G443" t="s">
        <v>1338</v>
      </c>
      <c r="H443" t="s">
        <v>1767</v>
      </c>
      <c r="I443" t="s">
        <v>1748</v>
      </c>
      <c r="J443" t="s">
        <v>1749</v>
      </c>
      <c r="K443" t="s">
        <v>150</v>
      </c>
      <c r="Q443" s="3" t="s">
        <v>1768</v>
      </c>
    </row>
    <row r="444" spans="1:17" ht="15.6" x14ac:dyDescent="0.3">
      <c r="A444" s="2">
        <v>46194</v>
      </c>
      <c r="B444">
        <v>197</v>
      </c>
      <c r="C444" t="s">
        <v>1769</v>
      </c>
      <c r="D444" s="2">
        <v>46121</v>
      </c>
      <c r="E444" s="2">
        <v>46156</v>
      </c>
      <c r="G444" t="s">
        <v>1338</v>
      </c>
      <c r="H444" t="s">
        <v>1770</v>
      </c>
      <c r="I444" t="s">
        <v>1748</v>
      </c>
      <c r="J444" t="s">
        <v>1749</v>
      </c>
      <c r="K444" t="s">
        <v>150</v>
      </c>
      <c r="Q444" s="3" t="s">
        <v>1771</v>
      </c>
    </row>
    <row r="445" spans="1:17" ht="15.6" x14ac:dyDescent="0.3">
      <c r="A445" s="2">
        <v>46194</v>
      </c>
      <c r="B445">
        <v>196</v>
      </c>
      <c r="C445" t="s">
        <v>1772</v>
      </c>
      <c r="D445" s="2">
        <v>46121</v>
      </c>
      <c r="E445" s="2">
        <v>46156</v>
      </c>
      <c r="G445" t="s">
        <v>1338</v>
      </c>
      <c r="H445" t="s">
        <v>1773</v>
      </c>
      <c r="I445" t="s">
        <v>1748</v>
      </c>
      <c r="J445" t="s">
        <v>1749</v>
      </c>
      <c r="K445" t="s">
        <v>150</v>
      </c>
      <c r="Q445" s="3" t="s">
        <v>1774</v>
      </c>
    </row>
    <row r="446" spans="1:17" ht="15.6" x14ac:dyDescent="0.3">
      <c r="A446" s="2">
        <v>46194</v>
      </c>
      <c r="B446">
        <v>195</v>
      </c>
      <c r="C446" t="s">
        <v>1775</v>
      </c>
      <c r="D446" s="2">
        <v>46121</v>
      </c>
      <c r="E446" s="2">
        <v>46155</v>
      </c>
      <c r="G446" t="s">
        <v>1338</v>
      </c>
      <c r="H446" t="s">
        <v>1776</v>
      </c>
      <c r="I446" t="s">
        <v>1748</v>
      </c>
      <c r="J446" t="s">
        <v>1749</v>
      </c>
      <c r="K446" t="s">
        <v>150</v>
      </c>
      <c r="Q446" s="3" t="s">
        <v>1777</v>
      </c>
    </row>
    <row r="447" spans="1:17" ht="15.6" x14ac:dyDescent="0.3">
      <c r="A447" s="2">
        <v>46194</v>
      </c>
      <c r="B447">
        <v>194</v>
      </c>
      <c r="C447" t="s">
        <v>1778</v>
      </c>
      <c r="D447" s="2">
        <v>46121</v>
      </c>
      <c r="E447" s="2">
        <v>46155</v>
      </c>
      <c r="G447" t="s">
        <v>1338</v>
      </c>
      <c r="H447" t="s">
        <v>1779</v>
      </c>
      <c r="I447" t="s">
        <v>1748</v>
      </c>
      <c r="J447" t="s">
        <v>1749</v>
      </c>
      <c r="K447" t="s">
        <v>150</v>
      </c>
      <c r="Q447" s="3" t="s">
        <v>1780</v>
      </c>
    </row>
    <row r="448" spans="1:17" ht="15.6" x14ac:dyDescent="0.3">
      <c r="A448" s="2">
        <v>46194</v>
      </c>
      <c r="B448">
        <v>193</v>
      </c>
      <c r="C448" t="s">
        <v>1781</v>
      </c>
      <c r="D448" s="2">
        <v>46121</v>
      </c>
      <c r="E448" s="2">
        <v>46141</v>
      </c>
      <c r="G448" t="s">
        <v>1338</v>
      </c>
      <c r="H448" t="s">
        <v>1782</v>
      </c>
      <c r="I448" t="s">
        <v>1748</v>
      </c>
      <c r="J448" t="s">
        <v>1749</v>
      </c>
      <c r="K448" t="s">
        <v>150</v>
      </c>
      <c r="Q448" s="3" t="s">
        <v>1783</v>
      </c>
    </row>
    <row r="449" spans="1:17" ht="15.6" x14ac:dyDescent="0.3">
      <c r="A449" s="2">
        <v>46194</v>
      </c>
      <c r="B449">
        <v>192</v>
      </c>
      <c r="C449" t="s">
        <v>1784</v>
      </c>
      <c r="D449" s="2">
        <v>46121</v>
      </c>
      <c r="E449" s="2">
        <v>46157</v>
      </c>
      <c r="G449" t="s">
        <v>1338</v>
      </c>
      <c r="H449" t="s">
        <v>1785</v>
      </c>
      <c r="I449" t="s">
        <v>1748</v>
      </c>
      <c r="J449" t="s">
        <v>1749</v>
      </c>
      <c r="K449" t="s">
        <v>150</v>
      </c>
      <c r="Q449" s="3" t="s">
        <v>1786</v>
      </c>
    </row>
    <row r="450" spans="1:17" ht="15.6" x14ac:dyDescent="0.3">
      <c r="A450" s="2">
        <v>46194</v>
      </c>
      <c r="B450">
        <v>191</v>
      </c>
      <c r="C450" t="s">
        <v>1787</v>
      </c>
      <c r="D450" s="2">
        <v>46121</v>
      </c>
      <c r="E450" s="2">
        <v>46155</v>
      </c>
      <c r="G450" t="s">
        <v>1338</v>
      </c>
      <c r="H450" t="s">
        <v>1788</v>
      </c>
      <c r="I450" t="s">
        <v>1748</v>
      </c>
      <c r="J450" t="s">
        <v>1749</v>
      </c>
      <c r="K450" t="s">
        <v>150</v>
      </c>
      <c r="Q450" s="3" t="s">
        <v>1789</v>
      </c>
    </row>
    <row r="451" spans="1:17" ht="15.6" x14ac:dyDescent="0.3">
      <c r="A451" s="2">
        <v>46194</v>
      </c>
      <c r="B451">
        <v>190</v>
      </c>
      <c r="C451" t="s">
        <v>1790</v>
      </c>
      <c r="D451" s="2">
        <v>46121</v>
      </c>
      <c r="E451" s="2">
        <v>46157</v>
      </c>
      <c r="G451" t="s">
        <v>1338</v>
      </c>
      <c r="H451" t="s">
        <v>1791</v>
      </c>
      <c r="I451" t="s">
        <v>1748</v>
      </c>
      <c r="J451" t="s">
        <v>1749</v>
      </c>
      <c r="K451" t="s">
        <v>150</v>
      </c>
      <c r="Q451" s="3" t="s">
        <v>1792</v>
      </c>
    </row>
    <row r="452" spans="1:17" ht="15.6" x14ac:dyDescent="0.3">
      <c r="A452" s="2">
        <v>46194</v>
      </c>
      <c r="B452">
        <v>189</v>
      </c>
      <c r="C452" t="s">
        <v>1793</v>
      </c>
      <c r="D452" s="2">
        <v>46121</v>
      </c>
      <c r="E452" s="2">
        <v>46161</v>
      </c>
      <c r="G452" t="s">
        <v>1338</v>
      </c>
      <c r="H452" t="s">
        <v>1794</v>
      </c>
      <c r="I452" t="s">
        <v>1748</v>
      </c>
      <c r="J452" t="s">
        <v>1749</v>
      </c>
      <c r="K452" t="s">
        <v>150</v>
      </c>
      <c r="Q452" s="3" t="s">
        <v>1795</v>
      </c>
    </row>
    <row r="453" spans="1:17" ht="15.6" x14ac:dyDescent="0.3">
      <c r="A453" s="2">
        <v>46194</v>
      </c>
      <c r="B453">
        <v>188</v>
      </c>
      <c r="C453" t="s">
        <v>1796</v>
      </c>
      <c r="D453" s="2">
        <v>46121</v>
      </c>
      <c r="E453" s="2">
        <v>46161</v>
      </c>
      <c r="G453" t="s">
        <v>1338</v>
      </c>
      <c r="H453" t="s">
        <v>1797</v>
      </c>
      <c r="I453" t="s">
        <v>1748</v>
      </c>
      <c r="J453" t="s">
        <v>1749</v>
      </c>
      <c r="K453" t="s">
        <v>150</v>
      </c>
      <c r="Q453" s="3" t="s">
        <v>1798</v>
      </c>
    </row>
    <row r="454" spans="1:17" ht="15.6" x14ac:dyDescent="0.3">
      <c r="A454" s="2">
        <v>46194</v>
      </c>
      <c r="B454">
        <v>187</v>
      </c>
      <c r="C454" t="s">
        <v>1799</v>
      </c>
      <c r="D454" s="2">
        <v>46121</v>
      </c>
      <c r="E454" s="2">
        <v>46161</v>
      </c>
      <c r="G454" t="s">
        <v>1338</v>
      </c>
      <c r="H454" t="s">
        <v>1800</v>
      </c>
      <c r="I454" t="s">
        <v>1748</v>
      </c>
      <c r="J454" t="s">
        <v>1749</v>
      </c>
      <c r="K454" t="s">
        <v>150</v>
      </c>
      <c r="Q454" s="3" t="s">
        <v>1801</v>
      </c>
    </row>
    <row r="455" spans="1:17" ht="15.6" x14ac:dyDescent="0.3">
      <c r="A455" s="2">
        <v>46194</v>
      </c>
      <c r="B455">
        <v>186</v>
      </c>
      <c r="C455" t="s">
        <v>1802</v>
      </c>
      <c r="D455" s="2">
        <v>46121</v>
      </c>
      <c r="E455" s="2">
        <v>46160</v>
      </c>
      <c r="G455" t="s">
        <v>1338</v>
      </c>
      <c r="H455" t="s">
        <v>1803</v>
      </c>
      <c r="I455" t="s">
        <v>1748</v>
      </c>
      <c r="J455" t="s">
        <v>1749</v>
      </c>
      <c r="K455" t="s">
        <v>150</v>
      </c>
      <c r="Q455" s="3" t="s">
        <v>1804</v>
      </c>
    </row>
    <row r="456" spans="1:17" ht="15.6" x14ac:dyDescent="0.3">
      <c r="A456" s="2">
        <v>46194</v>
      </c>
      <c r="B456">
        <v>185</v>
      </c>
      <c r="C456" t="s">
        <v>1805</v>
      </c>
      <c r="D456" s="2">
        <v>46121</v>
      </c>
      <c r="E456" s="2">
        <v>46160</v>
      </c>
      <c r="G456" t="s">
        <v>1338</v>
      </c>
      <c r="H456" t="s">
        <v>1806</v>
      </c>
      <c r="I456" t="s">
        <v>1748</v>
      </c>
      <c r="J456" t="s">
        <v>1749</v>
      </c>
      <c r="K456" t="s">
        <v>150</v>
      </c>
      <c r="Q456" s="3" t="s">
        <v>1807</v>
      </c>
    </row>
    <row r="457" spans="1:17" ht="15.6" x14ac:dyDescent="0.3">
      <c r="A457" s="2">
        <v>46194</v>
      </c>
      <c r="B457">
        <v>184</v>
      </c>
      <c r="C457" t="s">
        <v>1808</v>
      </c>
      <c r="D457" s="2">
        <v>46121</v>
      </c>
      <c r="E457" s="2">
        <v>46162</v>
      </c>
      <c r="G457" t="s">
        <v>1338</v>
      </c>
      <c r="H457" t="s">
        <v>1809</v>
      </c>
      <c r="I457" t="s">
        <v>1748</v>
      </c>
      <c r="J457" t="s">
        <v>1749</v>
      </c>
      <c r="K457" t="s">
        <v>150</v>
      </c>
      <c r="Q457" s="3" t="s">
        <v>1810</v>
      </c>
    </row>
    <row r="458" spans="1:17" ht="15.6" x14ac:dyDescent="0.3">
      <c r="A458" s="2">
        <v>46194</v>
      </c>
      <c r="B458">
        <v>183</v>
      </c>
      <c r="C458" t="s">
        <v>1811</v>
      </c>
      <c r="D458" s="2">
        <v>46121</v>
      </c>
      <c r="E458" s="2">
        <v>46160</v>
      </c>
      <c r="G458" t="s">
        <v>1338</v>
      </c>
      <c r="H458" t="s">
        <v>1812</v>
      </c>
      <c r="I458" t="s">
        <v>1748</v>
      </c>
      <c r="J458" t="s">
        <v>1749</v>
      </c>
      <c r="K458" t="s">
        <v>150</v>
      </c>
      <c r="Q458" s="3" t="s">
        <v>1813</v>
      </c>
    </row>
    <row r="459" spans="1:17" ht="15.6" x14ac:dyDescent="0.3">
      <c r="A459" s="2">
        <v>46194</v>
      </c>
      <c r="B459">
        <v>182</v>
      </c>
      <c r="C459" t="s">
        <v>1814</v>
      </c>
      <c r="D459" s="2">
        <v>46121</v>
      </c>
      <c r="E459" s="2">
        <v>46162</v>
      </c>
      <c r="G459" t="s">
        <v>1338</v>
      </c>
      <c r="H459" t="s">
        <v>1815</v>
      </c>
      <c r="I459" t="s">
        <v>1748</v>
      </c>
      <c r="J459" t="s">
        <v>1749</v>
      </c>
      <c r="K459" t="s">
        <v>150</v>
      </c>
      <c r="Q459" s="3" t="s">
        <v>1816</v>
      </c>
    </row>
    <row r="460" spans="1:17" ht="15.6" x14ac:dyDescent="0.3">
      <c r="A460" s="2">
        <v>46194</v>
      </c>
      <c r="B460">
        <v>181</v>
      </c>
      <c r="C460" t="s">
        <v>1817</v>
      </c>
      <c r="D460" s="2">
        <v>46121</v>
      </c>
      <c r="E460" s="2">
        <v>46160</v>
      </c>
      <c r="G460" t="s">
        <v>1338</v>
      </c>
      <c r="H460" t="s">
        <v>1818</v>
      </c>
      <c r="I460" t="s">
        <v>1748</v>
      </c>
      <c r="J460" t="s">
        <v>1749</v>
      </c>
      <c r="K460" t="s">
        <v>150</v>
      </c>
      <c r="Q460" s="3" t="s">
        <v>1819</v>
      </c>
    </row>
    <row r="461" spans="1:17" ht="15.6" x14ac:dyDescent="0.3">
      <c r="A461" s="2">
        <v>46194</v>
      </c>
      <c r="B461">
        <v>180</v>
      </c>
      <c r="C461" t="s">
        <v>1820</v>
      </c>
      <c r="D461" s="2">
        <v>46092</v>
      </c>
      <c r="E461" s="2">
        <v>46107</v>
      </c>
      <c r="G461" t="s">
        <v>1338</v>
      </c>
      <c r="H461" t="s">
        <v>1821</v>
      </c>
      <c r="I461" t="s">
        <v>1748</v>
      </c>
      <c r="J461" t="s">
        <v>1749</v>
      </c>
      <c r="K461" t="s">
        <v>150</v>
      </c>
      <c r="Q461" s="3" t="s">
        <v>1822</v>
      </c>
    </row>
    <row r="462" spans="1:17" ht="15.6" x14ac:dyDescent="0.3">
      <c r="A462" s="2">
        <v>46194</v>
      </c>
      <c r="B462">
        <v>179</v>
      </c>
      <c r="C462" t="s">
        <v>1823</v>
      </c>
      <c r="D462" s="2">
        <v>46090</v>
      </c>
      <c r="E462" s="2">
        <v>46097</v>
      </c>
      <c r="G462" t="s">
        <v>1338</v>
      </c>
      <c r="H462" t="s">
        <v>1824</v>
      </c>
      <c r="I462" t="s">
        <v>1748</v>
      </c>
      <c r="J462" t="s">
        <v>1749</v>
      </c>
      <c r="K462" t="s">
        <v>150</v>
      </c>
      <c r="Q462" s="3" t="s">
        <v>1825</v>
      </c>
    </row>
    <row r="463" spans="1:17" ht="15.6" x14ac:dyDescent="0.3">
      <c r="A463" s="2">
        <v>46194</v>
      </c>
      <c r="B463">
        <v>178</v>
      </c>
      <c r="C463" t="s">
        <v>1826</v>
      </c>
      <c r="D463" s="2">
        <v>46090</v>
      </c>
      <c r="E463" s="2">
        <v>46097</v>
      </c>
      <c r="G463" t="s">
        <v>1338</v>
      </c>
      <c r="H463" t="s">
        <v>1827</v>
      </c>
      <c r="I463" t="s">
        <v>1748</v>
      </c>
      <c r="J463" t="s">
        <v>1749</v>
      </c>
      <c r="K463" t="s">
        <v>150</v>
      </c>
      <c r="Q463" s="3" t="s">
        <v>1828</v>
      </c>
    </row>
    <row r="464" spans="1:17" ht="15.6" x14ac:dyDescent="0.3">
      <c r="A464" s="2">
        <v>46194</v>
      </c>
      <c r="B464">
        <v>177</v>
      </c>
      <c r="C464" t="s">
        <v>1829</v>
      </c>
      <c r="D464" s="2">
        <v>46087</v>
      </c>
      <c r="E464" s="2">
        <v>46119</v>
      </c>
      <c r="G464" t="s">
        <v>1338</v>
      </c>
      <c r="H464" t="s">
        <v>1830</v>
      </c>
      <c r="I464" t="s">
        <v>1748</v>
      </c>
      <c r="J464" t="s">
        <v>1749</v>
      </c>
      <c r="K464" t="s">
        <v>150</v>
      </c>
      <c r="Q464" s="3" t="s">
        <v>1831</v>
      </c>
    </row>
    <row r="465" spans="1:17" ht="15.6" x14ac:dyDescent="0.3">
      <c r="A465" s="2">
        <v>46194</v>
      </c>
      <c r="B465">
        <v>176</v>
      </c>
      <c r="C465" t="s">
        <v>1832</v>
      </c>
      <c r="D465" s="2">
        <v>46087</v>
      </c>
      <c r="E465" s="2">
        <v>46121</v>
      </c>
      <c r="G465" t="s">
        <v>1338</v>
      </c>
      <c r="H465" t="s">
        <v>1833</v>
      </c>
      <c r="I465" t="s">
        <v>1748</v>
      </c>
      <c r="J465" t="s">
        <v>1749</v>
      </c>
      <c r="K465" t="s">
        <v>150</v>
      </c>
      <c r="Q465" s="3" t="s">
        <v>1834</v>
      </c>
    </row>
    <row r="466" spans="1:17" ht="15.6" x14ac:dyDescent="0.3">
      <c r="A466" s="2">
        <v>46194</v>
      </c>
      <c r="B466">
        <v>175</v>
      </c>
      <c r="C466" t="s">
        <v>1835</v>
      </c>
      <c r="D466" s="2">
        <v>46087</v>
      </c>
      <c r="E466" s="2">
        <v>46121</v>
      </c>
      <c r="G466" t="s">
        <v>1338</v>
      </c>
      <c r="H466" t="s">
        <v>1836</v>
      </c>
      <c r="I466" t="s">
        <v>1748</v>
      </c>
      <c r="J466" t="s">
        <v>1749</v>
      </c>
      <c r="K466" t="s">
        <v>150</v>
      </c>
      <c r="Q466" s="3" t="s">
        <v>1837</v>
      </c>
    </row>
    <row r="467" spans="1:17" ht="15.6" x14ac:dyDescent="0.3">
      <c r="A467" s="2">
        <v>46194</v>
      </c>
      <c r="B467">
        <v>174</v>
      </c>
      <c r="C467" t="s">
        <v>1838</v>
      </c>
      <c r="D467" s="2">
        <v>46087</v>
      </c>
      <c r="E467" s="2">
        <v>46120</v>
      </c>
      <c r="G467" t="s">
        <v>1338</v>
      </c>
      <c r="H467" t="s">
        <v>1839</v>
      </c>
      <c r="I467" t="s">
        <v>1748</v>
      </c>
      <c r="J467" t="s">
        <v>1749</v>
      </c>
      <c r="K467" t="s">
        <v>150</v>
      </c>
      <c r="Q467" s="3" t="s">
        <v>1840</v>
      </c>
    </row>
    <row r="468" spans="1:17" ht="15.6" x14ac:dyDescent="0.3">
      <c r="A468" s="2">
        <v>46194</v>
      </c>
      <c r="B468">
        <v>173</v>
      </c>
      <c r="C468" t="s">
        <v>1841</v>
      </c>
      <c r="D468" s="2">
        <v>46087</v>
      </c>
      <c r="E468" s="2">
        <v>46120</v>
      </c>
      <c r="G468" t="s">
        <v>1338</v>
      </c>
      <c r="H468" t="s">
        <v>1842</v>
      </c>
      <c r="I468" t="s">
        <v>1748</v>
      </c>
      <c r="J468" t="s">
        <v>1749</v>
      </c>
      <c r="K468" t="s">
        <v>150</v>
      </c>
      <c r="Q468" s="3" t="s">
        <v>1843</v>
      </c>
    </row>
    <row r="469" spans="1:17" ht="15.6" x14ac:dyDescent="0.3">
      <c r="A469" s="2">
        <v>46194</v>
      </c>
      <c r="B469">
        <v>172</v>
      </c>
      <c r="C469" t="s">
        <v>1844</v>
      </c>
      <c r="D469" s="2">
        <v>46087</v>
      </c>
      <c r="E469" s="2">
        <v>46119</v>
      </c>
      <c r="G469" t="s">
        <v>1338</v>
      </c>
      <c r="H469" t="s">
        <v>1845</v>
      </c>
      <c r="I469" t="s">
        <v>1748</v>
      </c>
      <c r="J469" t="s">
        <v>1749</v>
      </c>
      <c r="K469" t="s">
        <v>150</v>
      </c>
      <c r="Q469" s="3" t="s">
        <v>1846</v>
      </c>
    </row>
    <row r="470" spans="1:17" ht="15.6" x14ac:dyDescent="0.3">
      <c r="A470" s="2">
        <v>46194</v>
      </c>
      <c r="B470">
        <v>171</v>
      </c>
      <c r="C470" t="s">
        <v>1847</v>
      </c>
      <c r="D470" s="2">
        <v>46087</v>
      </c>
      <c r="E470" s="2">
        <v>46120</v>
      </c>
      <c r="G470" t="s">
        <v>1338</v>
      </c>
      <c r="H470" t="s">
        <v>1848</v>
      </c>
      <c r="I470" t="s">
        <v>1748</v>
      </c>
      <c r="J470" t="s">
        <v>1749</v>
      </c>
      <c r="K470" t="s">
        <v>150</v>
      </c>
      <c r="Q470" s="3" t="s">
        <v>1849</v>
      </c>
    </row>
    <row r="471" spans="1:17" ht="15.6" x14ac:dyDescent="0.3">
      <c r="A471" s="2">
        <v>46194</v>
      </c>
      <c r="B471">
        <v>170</v>
      </c>
      <c r="C471" t="s">
        <v>1850</v>
      </c>
      <c r="D471" s="2">
        <v>46087</v>
      </c>
      <c r="E471" s="2">
        <v>46122</v>
      </c>
      <c r="G471" t="s">
        <v>1338</v>
      </c>
      <c r="H471" t="s">
        <v>1851</v>
      </c>
      <c r="I471" t="s">
        <v>1748</v>
      </c>
      <c r="J471" t="s">
        <v>1749</v>
      </c>
      <c r="K471" t="s">
        <v>150</v>
      </c>
      <c r="Q471" s="3" t="s">
        <v>1852</v>
      </c>
    </row>
    <row r="472" spans="1:17" ht="15.6" x14ac:dyDescent="0.3">
      <c r="A472" s="2">
        <v>46194</v>
      </c>
      <c r="B472">
        <v>169</v>
      </c>
      <c r="C472" t="s">
        <v>1853</v>
      </c>
      <c r="D472" s="2">
        <v>46087</v>
      </c>
      <c r="E472" s="2">
        <v>46122</v>
      </c>
      <c r="G472" t="s">
        <v>1338</v>
      </c>
      <c r="H472" t="s">
        <v>1854</v>
      </c>
      <c r="I472" t="s">
        <v>1748</v>
      </c>
      <c r="J472" t="s">
        <v>1749</v>
      </c>
      <c r="K472" t="s">
        <v>150</v>
      </c>
      <c r="Q472" s="3" t="s">
        <v>1855</v>
      </c>
    </row>
    <row r="473" spans="1:17" ht="15.6" x14ac:dyDescent="0.3">
      <c r="A473" s="2">
        <v>46194</v>
      </c>
      <c r="B473">
        <v>168</v>
      </c>
      <c r="C473" t="s">
        <v>1856</v>
      </c>
      <c r="D473" s="2">
        <v>46087</v>
      </c>
      <c r="E473" s="2">
        <v>46119</v>
      </c>
      <c r="G473" t="s">
        <v>1338</v>
      </c>
      <c r="H473" t="s">
        <v>1857</v>
      </c>
      <c r="I473" t="s">
        <v>1748</v>
      </c>
      <c r="J473" t="s">
        <v>1749</v>
      </c>
      <c r="K473" t="s">
        <v>150</v>
      </c>
      <c r="Q473" s="3" t="s">
        <v>1858</v>
      </c>
    </row>
    <row r="474" spans="1:17" ht="15.6" x14ac:dyDescent="0.3">
      <c r="A474" s="2">
        <v>46194</v>
      </c>
      <c r="B474">
        <v>167</v>
      </c>
      <c r="C474" t="s">
        <v>1859</v>
      </c>
      <c r="D474" s="2">
        <v>46086</v>
      </c>
      <c r="E474" s="2">
        <v>46094</v>
      </c>
      <c r="G474" t="s">
        <v>1338</v>
      </c>
      <c r="H474" t="s">
        <v>1860</v>
      </c>
      <c r="I474" t="s">
        <v>1748</v>
      </c>
      <c r="J474" t="s">
        <v>1749</v>
      </c>
      <c r="K474" t="s">
        <v>150</v>
      </c>
      <c r="Q474" s="3" t="s">
        <v>1861</v>
      </c>
    </row>
    <row r="475" spans="1:17" ht="15.6" x14ac:dyDescent="0.3">
      <c r="A475" s="2">
        <v>46194</v>
      </c>
      <c r="B475">
        <v>166</v>
      </c>
      <c r="C475" t="s">
        <v>1862</v>
      </c>
      <c r="D475" s="2">
        <v>46078</v>
      </c>
      <c r="E475" s="2">
        <v>46098</v>
      </c>
      <c r="G475" t="s">
        <v>1338</v>
      </c>
      <c r="H475" t="s">
        <v>1863</v>
      </c>
      <c r="I475" t="s">
        <v>1748</v>
      </c>
      <c r="J475" t="s">
        <v>1749</v>
      </c>
      <c r="K475" t="s">
        <v>150</v>
      </c>
      <c r="Q475" s="3" t="s">
        <v>1864</v>
      </c>
    </row>
    <row r="476" spans="1:17" ht="15.6" x14ac:dyDescent="0.3">
      <c r="A476" s="2">
        <v>46194</v>
      </c>
      <c r="B476">
        <v>165</v>
      </c>
      <c r="C476" t="s">
        <v>1865</v>
      </c>
      <c r="D476" s="2">
        <v>46065</v>
      </c>
      <c r="E476" s="2">
        <v>46097</v>
      </c>
      <c r="G476" t="s">
        <v>1338</v>
      </c>
      <c r="H476" t="s">
        <v>1866</v>
      </c>
      <c r="I476" t="s">
        <v>1748</v>
      </c>
      <c r="J476" t="s">
        <v>1749</v>
      </c>
      <c r="K476" t="s">
        <v>150</v>
      </c>
      <c r="Q476" s="3" t="s">
        <v>1867</v>
      </c>
    </row>
    <row r="477" spans="1:17" ht="15.6" x14ac:dyDescent="0.3">
      <c r="A477" s="2">
        <v>46194</v>
      </c>
      <c r="B477">
        <v>164</v>
      </c>
      <c r="C477" t="s">
        <v>1868</v>
      </c>
      <c r="D477" s="2">
        <v>46059</v>
      </c>
      <c r="E477" s="2">
        <v>46091</v>
      </c>
      <c r="G477" t="s">
        <v>1338</v>
      </c>
      <c r="H477" t="s">
        <v>1869</v>
      </c>
      <c r="I477" t="s">
        <v>1748</v>
      </c>
      <c r="J477" t="s">
        <v>1749</v>
      </c>
      <c r="K477" t="s">
        <v>150</v>
      </c>
      <c r="Q477" s="3" t="s">
        <v>1870</v>
      </c>
    </row>
    <row r="478" spans="1:17" ht="15.6" x14ac:dyDescent="0.3">
      <c r="A478" s="2">
        <v>46194</v>
      </c>
      <c r="B478">
        <v>163</v>
      </c>
      <c r="C478" t="s">
        <v>1871</v>
      </c>
      <c r="D478" s="2">
        <v>46058</v>
      </c>
      <c r="E478" s="2">
        <v>46065</v>
      </c>
      <c r="G478" t="s">
        <v>1338</v>
      </c>
      <c r="H478" t="s">
        <v>1872</v>
      </c>
      <c r="I478" t="s">
        <v>1748</v>
      </c>
      <c r="J478" t="s">
        <v>1749</v>
      </c>
      <c r="K478" t="s">
        <v>150</v>
      </c>
      <c r="Q478" s="3" t="s">
        <v>1873</v>
      </c>
    </row>
    <row r="479" spans="1:17" ht="15.6" x14ac:dyDescent="0.3">
      <c r="A479" s="2">
        <v>46194</v>
      </c>
      <c r="B479">
        <v>162</v>
      </c>
      <c r="C479" t="s">
        <v>1874</v>
      </c>
      <c r="D479" s="2">
        <v>46058</v>
      </c>
      <c r="E479" s="2">
        <v>46066</v>
      </c>
      <c r="G479" t="s">
        <v>1338</v>
      </c>
      <c r="H479" t="s">
        <v>1875</v>
      </c>
      <c r="I479" t="s">
        <v>1748</v>
      </c>
      <c r="J479" t="s">
        <v>1749</v>
      </c>
      <c r="K479" t="s">
        <v>150</v>
      </c>
      <c r="Q479" s="3" t="s">
        <v>1876</v>
      </c>
    </row>
    <row r="480" spans="1:17" ht="15.6" x14ac:dyDescent="0.3">
      <c r="A480" s="2">
        <v>46194</v>
      </c>
      <c r="B480">
        <v>161</v>
      </c>
      <c r="C480" t="s">
        <v>1877</v>
      </c>
      <c r="D480" s="2">
        <v>46058</v>
      </c>
      <c r="E480" s="2">
        <v>46066</v>
      </c>
      <c r="G480" t="s">
        <v>1338</v>
      </c>
      <c r="H480" t="s">
        <v>1878</v>
      </c>
      <c r="I480" t="s">
        <v>1748</v>
      </c>
      <c r="J480" t="s">
        <v>1749</v>
      </c>
      <c r="K480" t="s">
        <v>150</v>
      </c>
      <c r="Q480" s="3" t="s">
        <v>1879</v>
      </c>
    </row>
    <row r="481" spans="1:17" ht="15.6" x14ac:dyDescent="0.3">
      <c r="A481" s="2">
        <v>46194</v>
      </c>
      <c r="B481">
        <v>160</v>
      </c>
      <c r="C481" t="s">
        <v>1880</v>
      </c>
      <c r="D481" s="2">
        <v>46055</v>
      </c>
      <c r="E481" s="2">
        <v>46087</v>
      </c>
      <c r="G481" t="s">
        <v>1338</v>
      </c>
      <c r="H481" t="s">
        <v>1881</v>
      </c>
      <c r="I481" t="s">
        <v>1748</v>
      </c>
      <c r="J481" t="s">
        <v>1749</v>
      </c>
      <c r="K481" t="s">
        <v>150</v>
      </c>
      <c r="Q481" s="3" t="s">
        <v>1882</v>
      </c>
    </row>
    <row r="482" spans="1:17" ht="15.6" x14ac:dyDescent="0.3">
      <c r="A482" s="2">
        <v>46194</v>
      </c>
      <c r="B482">
        <v>159</v>
      </c>
      <c r="C482" t="s">
        <v>1883</v>
      </c>
      <c r="D482" s="2">
        <v>46055</v>
      </c>
      <c r="E482" s="2">
        <v>46087</v>
      </c>
      <c r="G482" t="s">
        <v>1338</v>
      </c>
      <c r="H482" t="s">
        <v>1884</v>
      </c>
      <c r="I482" t="s">
        <v>1748</v>
      </c>
      <c r="J482" t="s">
        <v>1749</v>
      </c>
      <c r="K482" t="s">
        <v>150</v>
      </c>
      <c r="Q482" s="3" t="s">
        <v>1885</v>
      </c>
    </row>
    <row r="483" spans="1:17" ht="15.6" x14ac:dyDescent="0.3">
      <c r="A483" s="2">
        <v>46194</v>
      </c>
      <c r="B483">
        <v>158</v>
      </c>
      <c r="C483" t="s">
        <v>1886</v>
      </c>
      <c r="D483" s="2">
        <v>46055</v>
      </c>
      <c r="E483" s="2">
        <v>46086</v>
      </c>
      <c r="G483" t="s">
        <v>1338</v>
      </c>
      <c r="H483" t="s">
        <v>1887</v>
      </c>
      <c r="I483" t="s">
        <v>1748</v>
      </c>
      <c r="J483" t="s">
        <v>1749</v>
      </c>
      <c r="K483" t="s">
        <v>150</v>
      </c>
      <c r="Q483" s="3" t="s">
        <v>1888</v>
      </c>
    </row>
    <row r="484" spans="1:17" ht="15.6" x14ac:dyDescent="0.3">
      <c r="A484" s="2">
        <v>46194</v>
      </c>
      <c r="B484">
        <v>157</v>
      </c>
      <c r="C484" t="s">
        <v>1889</v>
      </c>
      <c r="D484" s="2">
        <v>46055</v>
      </c>
      <c r="E484" s="2">
        <v>46084</v>
      </c>
      <c r="G484" t="s">
        <v>1338</v>
      </c>
      <c r="H484" t="s">
        <v>1890</v>
      </c>
      <c r="I484" t="s">
        <v>1748</v>
      </c>
      <c r="J484" t="s">
        <v>1749</v>
      </c>
      <c r="K484" t="s">
        <v>150</v>
      </c>
      <c r="Q484" s="3" t="s">
        <v>1891</v>
      </c>
    </row>
    <row r="485" spans="1:17" ht="15.6" x14ac:dyDescent="0.3">
      <c r="A485" s="2">
        <v>46194</v>
      </c>
      <c r="B485">
        <v>156</v>
      </c>
      <c r="C485" t="s">
        <v>1892</v>
      </c>
      <c r="D485" s="2">
        <v>46050</v>
      </c>
      <c r="E485" s="2">
        <v>46057</v>
      </c>
      <c r="G485" t="s">
        <v>1338</v>
      </c>
      <c r="H485" t="s">
        <v>1893</v>
      </c>
      <c r="I485" t="s">
        <v>1748</v>
      </c>
      <c r="J485" t="s">
        <v>1749</v>
      </c>
      <c r="K485" t="s">
        <v>150</v>
      </c>
      <c r="Q485" s="3" t="s">
        <v>1894</v>
      </c>
    </row>
    <row r="486" spans="1:17" ht="15.6" x14ac:dyDescent="0.3">
      <c r="A486" s="2">
        <v>46194</v>
      </c>
      <c r="B486">
        <v>155</v>
      </c>
      <c r="C486" t="s">
        <v>1895</v>
      </c>
      <c r="D486" s="2">
        <v>46050</v>
      </c>
      <c r="E486" s="2">
        <v>46057</v>
      </c>
      <c r="G486" t="s">
        <v>1338</v>
      </c>
      <c r="H486" t="s">
        <v>1896</v>
      </c>
      <c r="I486" t="s">
        <v>1748</v>
      </c>
      <c r="J486" t="s">
        <v>1749</v>
      </c>
      <c r="K486" t="s">
        <v>150</v>
      </c>
      <c r="Q486" s="3" t="s">
        <v>1897</v>
      </c>
    </row>
    <row r="487" spans="1:17" ht="15.6" x14ac:dyDescent="0.3">
      <c r="A487" s="2">
        <v>46194</v>
      </c>
      <c r="B487">
        <v>154</v>
      </c>
      <c r="G487" t="s">
        <v>1338</v>
      </c>
      <c r="H487" t="s">
        <v>1549</v>
      </c>
      <c r="I487" t="s">
        <v>1550</v>
      </c>
      <c r="J487" t="s">
        <v>1551</v>
      </c>
      <c r="K487" t="s">
        <v>150</v>
      </c>
      <c r="Q487" s="3" t="s">
        <v>1552</v>
      </c>
    </row>
    <row r="488" spans="1:17" ht="15.6" x14ac:dyDescent="0.3">
      <c r="A488" s="2">
        <v>46194</v>
      </c>
      <c r="B488">
        <v>153</v>
      </c>
      <c r="C488" t="s">
        <v>1553</v>
      </c>
      <c r="G488" t="s">
        <v>1338</v>
      </c>
      <c r="H488" t="s">
        <v>1554</v>
      </c>
      <c r="I488" t="s">
        <v>1550</v>
      </c>
      <c r="J488" t="s">
        <v>1551</v>
      </c>
      <c r="K488" t="s">
        <v>150</v>
      </c>
      <c r="Q488" s="3" t="s">
        <v>1555</v>
      </c>
    </row>
    <row r="489" spans="1:17" ht="15.6" x14ac:dyDescent="0.3">
      <c r="A489" s="2">
        <v>46194</v>
      </c>
      <c r="B489">
        <v>152</v>
      </c>
      <c r="G489" t="s">
        <v>1338</v>
      </c>
      <c r="H489" t="s">
        <v>1556</v>
      </c>
      <c r="I489" t="s">
        <v>1550</v>
      </c>
      <c r="J489" t="s">
        <v>1551</v>
      </c>
      <c r="K489" t="s">
        <v>150</v>
      </c>
      <c r="Q489" s="3" t="s">
        <v>1557</v>
      </c>
    </row>
    <row r="490" spans="1:17" ht="15.6" x14ac:dyDescent="0.3">
      <c r="A490" s="2">
        <v>46194</v>
      </c>
      <c r="B490">
        <v>151</v>
      </c>
      <c r="G490" t="s">
        <v>1338</v>
      </c>
      <c r="H490" t="s">
        <v>1558</v>
      </c>
      <c r="I490" t="s">
        <v>1550</v>
      </c>
      <c r="J490" t="s">
        <v>1551</v>
      </c>
      <c r="K490" t="s">
        <v>150</v>
      </c>
      <c r="Q490" s="3" t="s">
        <v>1559</v>
      </c>
    </row>
    <row r="491" spans="1:17" ht="15.6" x14ac:dyDescent="0.3">
      <c r="A491" s="2">
        <v>46194</v>
      </c>
      <c r="B491">
        <v>150</v>
      </c>
      <c r="G491" t="s">
        <v>1338</v>
      </c>
      <c r="H491" t="s">
        <v>1560</v>
      </c>
      <c r="I491" t="s">
        <v>1550</v>
      </c>
      <c r="J491" t="s">
        <v>1551</v>
      </c>
      <c r="K491" t="s">
        <v>150</v>
      </c>
      <c r="Q491" s="3" t="s">
        <v>1561</v>
      </c>
    </row>
    <row r="492" spans="1:17" ht="15.6" x14ac:dyDescent="0.3">
      <c r="A492" s="2">
        <v>46194</v>
      </c>
      <c r="B492">
        <v>149</v>
      </c>
      <c r="G492" t="s">
        <v>1338</v>
      </c>
      <c r="H492" t="s">
        <v>1562</v>
      </c>
      <c r="I492" t="s">
        <v>1550</v>
      </c>
      <c r="J492" t="s">
        <v>1551</v>
      </c>
      <c r="K492" t="s">
        <v>150</v>
      </c>
      <c r="Q492" s="3" t="s">
        <v>1563</v>
      </c>
    </row>
    <row r="493" spans="1:17" ht="15.6" x14ac:dyDescent="0.3">
      <c r="A493" s="2">
        <v>46194</v>
      </c>
      <c r="B493">
        <v>148</v>
      </c>
      <c r="G493" t="s">
        <v>1338</v>
      </c>
      <c r="H493" t="s">
        <v>1564</v>
      </c>
      <c r="I493" t="s">
        <v>1550</v>
      </c>
      <c r="J493" t="s">
        <v>1551</v>
      </c>
      <c r="K493" t="s">
        <v>150</v>
      </c>
      <c r="Q493" s="3" t="s">
        <v>1565</v>
      </c>
    </row>
    <row r="494" spans="1:17" ht="15.6" x14ac:dyDescent="0.3">
      <c r="A494" s="2">
        <v>46194</v>
      </c>
      <c r="B494">
        <v>147</v>
      </c>
      <c r="G494" t="s">
        <v>1338</v>
      </c>
      <c r="H494" t="s">
        <v>1566</v>
      </c>
      <c r="I494" t="s">
        <v>1550</v>
      </c>
      <c r="J494" t="s">
        <v>1551</v>
      </c>
      <c r="K494" t="s">
        <v>150</v>
      </c>
      <c r="Q494" s="3" t="s">
        <v>1567</v>
      </c>
    </row>
    <row r="495" spans="1:17" ht="15.6" x14ac:dyDescent="0.3">
      <c r="A495" s="2">
        <v>46194</v>
      </c>
      <c r="B495">
        <v>146</v>
      </c>
      <c r="G495" t="s">
        <v>1338</v>
      </c>
      <c r="H495" t="s">
        <v>1568</v>
      </c>
      <c r="I495" t="s">
        <v>1550</v>
      </c>
      <c r="J495" t="s">
        <v>1551</v>
      </c>
      <c r="K495" t="s">
        <v>150</v>
      </c>
      <c r="Q495" s="3" t="s">
        <v>1569</v>
      </c>
    </row>
    <row r="496" spans="1:17" ht="15.6" x14ac:dyDescent="0.3">
      <c r="A496" s="2">
        <v>46194</v>
      </c>
      <c r="B496">
        <v>145</v>
      </c>
      <c r="C496" t="s">
        <v>1570</v>
      </c>
      <c r="G496" t="s">
        <v>1338</v>
      </c>
      <c r="H496" t="s">
        <v>1571</v>
      </c>
      <c r="I496" t="s">
        <v>1550</v>
      </c>
      <c r="J496" t="s">
        <v>1551</v>
      </c>
      <c r="K496" t="s">
        <v>150</v>
      </c>
      <c r="Q496" s="3" t="s">
        <v>1572</v>
      </c>
    </row>
    <row r="497" spans="1:17" ht="15.6" x14ac:dyDescent="0.3">
      <c r="A497" s="2">
        <v>46194</v>
      </c>
      <c r="B497">
        <v>144</v>
      </c>
      <c r="C497" t="s">
        <v>1573</v>
      </c>
      <c r="G497" t="s">
        <v>1338</v>
      </c>
      <c r="H497" t="s">
        <v>1574</v>
      </c>
      <c r="I497" t="s">
        <v>1550</v>
      </c>
      <c r="J497" t="s">
        <v>1551</v>
      </c>
      <c r="K497" t="s">
        <v>150</v>
      </c>
      <c r="Q497" s="3" t="s">
        <v>1575</v>
      </c>
    </row>
    <row r="498" spans="1:17" ht="15.6" x14ac:dyDescent="0.3">
      <c r="A498" s="2">
        <v>46194</v>
      </c>
      <c r="B498">
        <v>143</v>
      </c>
      <c r="C498" t="s">
        <v>1576</v>
      </c>
      <c r="G498" t="s">
        <v>1338</v>
      </c>
      <c r="H498" t="s">
        <v>1577</v>
      </c>
      <c r="I498" t="s">
        <v>1550</v>
      </c>
      <c r="J498" t="s">
        <v>1551</v>
      </c>
      <c r="K498" t="s">
        <v>150</v>
      </c>
      <c r="Q498" s="3" t="s">
        <v>1578</v>
      </c>
    </row>
    <row r="499" spans="1:17" ht="15.6" x14ac:dyDescent="0.3">
      <c r="A499" s="2">
        <v>46194</v>
      </c>
      <c r="B499">
        <v>142</v>
      </c>
      <c r="C499" t="s">
        <v>1579</v>
      </c>
      <c r="G499" t="s">
        <v>1338</v>
      </c>
      <c r="H499" t="s">
        <v>1580</v>
      </c>
      <c r="I499" t="s">
        <v>1550</v>
      </c>
      <c r="J499" t="s">
        <v>1551</v>
      </c>
      <c r="K499" t="s">
        <v>150</v>
      </c>
      <c r="Q499" s="3" t="s">
        <v>1581</v>
      </c>
    </row>
    <row r="500" spans="1:17" ht="15.6" x14ac:dyDescent="0.3">
      <c r="A500" s="2">
        <v>46194</v>
      </c>
      <c r="B500">
        <v>141</v>
      </c>
      <c r="G500" t="s">
        <v>1338</v>
      </c>
      <c r="H500" t="s">
        <v>1582</v>
      </c>
      <c r="I500" t="s">
        <v>1550</v>
      </c>
      <c r="J500" t="s">
        <v>1551</v>
      </c>
      <c r="K500" t="s">
        <v>150</v>
      </c>
      <c r="Q500" s="3" t="s">
        <v>1583</v>
      </c>
    </row>
    <row r="501" spans="1:17" ht="15.6" x14ac:dyDescent="0.3">
      <c r="A501" s="2">
        <v>46194</v>
      </c>
      <c r="B501">
        <v>140</v>
      </c>
      <c r="G501" t="s">
        <v>1338</v>
      </c>
      <c r="H501" t="s">
        <v>1584</v>
      </c>
      <c r="I501" t="s">
        <v>1550</v>
      </c>
      <c r="J501" t="s">
        <v>1551</v>
      </c>
      <c r="K501" t="s">
        <v>150</v>
      </c>
      <c r="Q501" s="3" t="s">
        <v>1585</v>
      </c>
    </row>
    <row r="502" spans="1:17" ht="15.6" x14ac:dyDescent="0.3">
      <c r="A502" s="2">
        <v>46194</v>
      </c>
      <c r="B502">
        <v>139</v>
      </c>
      <c r="C502" t="s">
        <v>1586</v>
      </c>
      <c r="G502" t="s">
        <v>1338</v>
      </c>
      <c r="H502" t="s">
        <v>1587</v>
      </c>
      <c r="I502" t="s">
        <v>1550</v>
      </c>
      <c r="J502" t="s">
        <v>1551</v>
      </c>
      <c r="K502" t="s">
        <v>150</v>
      </c>
      <c r="Q502" s="3" t="s">
        <v>1588</v>
      </c>
    </row>
    <row r="503" spans="1:17" ht="15.6" x14ac:dyDescent="0.3">
      <c r="A503" s="2">
        <v>46194</v>
      </c>
      <c r="B503">
        <v>138</v>
      </c>
      <c r="C503" t="s">
        <v>1589</v>
      </c>
      <c r="G503" t="s">
        <v>1338</v>
      </c>
      <c r="H503" t="s">
        <v>1590</v>
      </c>
      <c r="I503" t="s">
        <v>1550</v>
      </c>
      <c r="J503" t="s">
        <v>1551</v>
      </c>
      <c r="K503" t="s">
        <v>150</v>
      </c>
      <c r="Q503" s="3" t="s">
        <v>1591</v>
      </c>
    </row>
    <row r="504" spans="1:17" ht="15.6" x14ac:dyDescent="0.3">
      <c r="A504" s="2">
        <v>46194</v>
      </c>
      <c r="B504">
        <v>137</v>
      </c>
      <c r="C504" t="s">
        <v>1592</v>
      </c>
      <c r="G504" t="s">
        <v>1338</v>
      </c>
      <c r="H504" t="s">
        <v>1593</v>
      </c>
      <c r="I504" t="s">
        <v>1550</v>
      </c>
      <c r="J504" t="s">
        <v>1551</v>
      </c>
      <c r="K504" t="s">
        <v>150</v>
      </c>
      <c r="Q504" s="3" t="s">
        <v>1594</v>
      </c>
    </row>
    <row r="505" spans="1:17" ht="15.6" x14ac:dyDescent="0.3">
      <c r="A505" s="2">
        <v>46194</v>
      </c>
      <c r="B505">
        <v>136</v>
      </c>
      <c r="G505" t="s">
        <v>252</v>
      </c>
      <c r="H505" t="s">
        <v>1595</v>
      </c>
      <c r="I505" t="s">
        <v>1596</v>
      </c>
      <c r="J505" t="s">
        <v>1597</v>
      </c>
      <c r="K505" t="s">
        <v>184</v>
      </c>
      <c r="Q505" s="3" t="s">
        <v>1598</v>
      </c>
    </row>
    <row r="506" spans="1:17" x14ac:dyDescent="0.3">
      <c r="A506" s="2">
        <v>46194</v>
      </c>
      <c r="B506">
        <v>135</v>
      </c>
      <c r="C506" t="s">
        <v>1599</v>
      </c>
      <c r="G506" t="s">
        <v>1338</v>
      </c>
      <c r="H506" t="s">
        <v>1600</v>
      </c>
      <c r="I506" t="s">
        <v>1601</v>
      </c>
      <c r="J506" t="s">
        <v>1602</v>
      </c>
      <c r="K506" t="s">
        <v>150</v>
      </c>
    </row>
    <row r="507" spans="1:17" x14ac:dyDescent="0.3">
      <c r="A507" s="2">
        <v>46194</v>
      </c>
      <c r="B507">
        <v>134</v>
      </c>
      <c r="C507" t="s">
        <v>1603</v>
      </c>
      <c r="G507" t="s">
        <v>1338</v>
      </c>
      <c r="H507" t="s">
        <v>1604</v>
      </c>
      <c r="I507" t="s">
        <v>1601</v>
      </c>
      <c r="J507" t="s">
        <v>1602</v>
      </c>
      <c r="K507" t="s">
        <v>150</v>
      </c>
    </row>
    <row r="508" spans="1:17" x14ac:dyDescent="0.3">
      <c r="A508" s="2">
        <v>46194</v>
      </c>
      <c r="B508">
        <v>133</v>
      </c>
      <c r="C508" t="s">
        <v>1605</v>
      </c>
      <c r="G508" t="s">
        <v>1606</v>
      </c>
      <c r="H508" t="s">
        <v>1607</v>
      </c>
      <c r="I508" t="s">
        <v>1601</v>
      </c>
      <c r="J508" t="s">
        <v>1602</v>
      </c>
      <c r="K508" t="s">
        <v>150</v>
      </c>
    </row>
    <row r="509" spans="1:17" x14ac:dyDescent="0.3">
      <c r="A509" s="2">
        <v>46194</v>
      </c>
      <c r="B509">
        <v>132</v>
      </c>
      <c r="C509" t="s">
        <v>1608</v>
      </c>
      <c r="G509" t="s">
        <v>1338</v>
      </c>
      <c r="H509" t="s">
        <v>1609</v>
      </c>
      <c r="I509" t="s">
        <v>1601</v>
      </c>
      <c r="J509" t="s">
        <v>1602</v>
      </c>
      <c r="K509" t="s">
        <v>150</v>
      </c>
    </row>
    <row r="510" spans="1:17" x14ac:dyDescent="0.3">
      <c r="A510" s="2">
        <v>46194</v>
      </c>
      <c r="B510">
        <v>131</v>
      </c>
      <c r="C510" t="s">
        <v>1610</v>
      </c>
      <c r="G510" t="s">
        <v>1606</v>
      </c>
      <c r="H510" t="s">
        <v>1611</v>
      </c>
      <c r="I510" t="s">
        <v>1601</v>
      </c>
      <c r="J510" t="s">
        <v>1602</v>
      </c>
      <c r="K510" t="s">
        <v>150</v>
      </c>
    </row>
    <row r="511" spans="1:17" x14ac:dyDescent="0.3">
      <c r="A511" s="2">
        <v>46194</v>
      </c>
      <c r="B511">
        <v>130</v>
      </c>
      <c r="C511" t="s">
        <v>1612</v>
      </c>
      <c r="G511" t="s">
        <v>1338</v>
      </c>
      <c r="H511" t="s">
        <v>1613</v>
      </c>
      <c r="I511" t="s">
        <v>1601</v>
      </c>
      <c r="J511" t="s">
        <v>1602</v>
      </c>
      <c r="K511" t="s">
        <v>150</v>
      </c>
    </row>
    <row r="512" spans="1:17" x14ac:dyDescent="0.3">
      <c r="A512" s="2">
        <v>46194</v>
      </c>
      <c r="B512">
        <v>129</v>
      </c>
      <c r="C512" t="s">
        <v>1614</v>
      </c>
      <c r="G512" t="s">
        <v>1338</v>
      </c>
      <c r="H512" t="s">
        <v>1615</v>
      </c>
      <c r="I512" t="s">
        <v>1601</v>
      </c>
      <c r="J512" t="s">
        <v>1602</v>
      </c>
      <c r="K512" t="s">
        <v>150</v>
      </c>
    </row>
    <row r="513" spans="1:17" x14ac:dyDescent="0.3">
      <c r="A513" s="2">
        <v>46194</v>
      </c>
      <c r="B513">
        <v>128</v>
      </c>
      <c r="C513" t="s">
        <v>1616</v>
      </c>
      <c r="G513" t="s">
        <v>1338</v>
      </c>
      <c r="H513" t="s">
        <v>1617</v>
      </c>
      <c r="I513" t="s">
        <v>1601</v>
      </c>
      <c r="J513" t="s">
        <v>1602</v>
      </c>
      <c r="K513" t="s">
        <v>150</v>
      </c>
    </row>
    <row r="514" spans="1:17" x14ac:dyDescent="0.3">
      <c r="A514" s="2">
        <v>46194</v>
      </c>
      <c r="B514">
        <v>127</v>
      </c>
      <c r="C514" t="s">
        <v>1618</v>
      </c>
      <c r="G514" t="s">
        <v>1338</v>
      </c>
      <c r="H514" t="s">
        <v>1619</v>
      </c>
      <c r="I514" t="s">
        <v>1601</v>
      </c>
      <c r="J514" t="s">
        <v>1602</v>
      </c>
      <c r="K514" t="s">
        <v>150</v>
      </c>
    </row>
    <row r="515" spans="1:17" x14ac:dyDescent="0.3">
      <c r="A515" s="2">
        <v>46194</v>
      </c>
      <c r="B515">
        <v>126</v>
      </c>
      <c r="C515" t="s">
        <v>1620</v>
      </c>
      <c r="G515" t="s">
        <v>1338</v>
      </c>
      <c r="H515" t="s">
        <v>1621</v>
      </c>
      <c r="I515" t="s">
        <v>1601</v>
      </c>
      <c r="J515" t="s">
        <v>1602</v>
      </c>
      <c r="K515" t="s">
        <v>150</v>
      </c>
    </row>
    <row r="516" spans="1:17" x14ac:dyDescent="0.3">
      <c r="A516" s="2">
        <v>46194</v>
      </c>
      <c r="B516">
        <v>125</v>
      </c>
      <c r="C516" t="s">
        <v>1622</v>
      </c>
      <c r="G516" t="s">
        <v>1338</v>
      </c>
      <c r="H516" t="s">
        <v>1623</v>
      </c>
      <c r="I516" t="s">
        <v>1601</v>
      </c>
      <c r="J516" t="s">
        <v>1602</v>
      </c>
      <c r="K516" t="s">
        <v>150</v>
      </c>
    </row>
    <row r="517" spans="1:17" x14ac:dyDescent="0.3">
      <c r="A517" s="2">
        <v>46194</v>
      </c>
      <c r="B517">
        <v>124</v>
      </c>
      <c r="C517" t="s">
        <v>1624</v>
      </c>
      <c r="G517" t="s">
        <v>1338</v>
      </c>
      <c r="H517" t="s">
        <v>1625</v>
      </c>
      <c r="I517" t="s">
        <v>1601</v>
      </c>
      <c r="J517" t="s">
        <v>1602</v>
      </c>
      <c r="K517" t="s">
        <v>150</v>
      </c>
    </row>
    <row r="518" spans="1:17" x14ac:dyDescent="0.3">
      <c r="A518" s="2">
        <v>46194</v>
      </c>
      <c r="B518">
        <v>123</v>
      </c>
      <c r="C518" t="s">
        <v>1626</v>
      </c>
      <c r="G518" t="s">
        <v>1338</v>
      </c>
      <c r="H518" t="s">
        <v>1627</v>
      </c>
      <c r="I518" t="s">
        <v>1601</v>
      </c>
      <c r="J518" t="s">
        <v>1602</v>
      </c>
      <c r="K518" t="s">
        <v>150</v>
      </c>
    </row>
    <row r="519" spans="1:17" x14ac:dyDescent="0.3">
      <c r="A519" s="2">
        <v>46194</v>
      </c>
      <c r="B519">
        <v>122</v>
      </c>
      <c r="C519" t="s">
        <v>1628</v>
      </c>
      <c r="G519" t="s">
        <v>1338</v>
      </c>
      <c r="H519" t="s">
        <v>1629</v>
      </c>
      <c r="I519" t="s">
        <v>1601</v>
      </c>
      <c r="J519" t="s">
        <v>1602</v>
      </c>
      <c r="K519" t="s">
        <v>150</v>
      </c>
    </row>
    <row r="520" spans="1:17" x14ac:dyDescent="0.3">
      <c r="A520" s="2">
        <v>46194</v>
      </c>
      <c r="B520">
        <v>121</v>
      </c>
      <c r="C520" t="s">
        <v>1630</v>
      </c>
      <c r="G520" t="s">
        <v>1338</v>
      </c>
      <c r="H520" t="s">
        <v>1631</v>
      </c>
      <c r="I520" t="s">
        <v>1601</v>
      </c>
      <c r="J520" t="s">
        <v>1602</v>
      </c>
      <c r="K520" t="s">
        <v>150</v>
      </c>
    </row>
    <row r="521" spans="1:17" x14ac:dyDescent="0.3">
      <c r="A521" s="2">
        <v>46194</v>
      </c>
      <c r="B521">
        <v>120</v>
      </c>
      <c r="C521" t="s">
        <v>1632</v>
      </c>
      <c r="G521" t="s">
        <v>1338</v>
      </c>
      <c r="H521" t="s">
        <v>1633</v>
      </c>
      <c r="I521" t="s">
        <v>1601</v>
      </c>
      <c r="J521" t="s">
        <v>1602</v>
      </c>
      <c r="K521" t="s">
        <v>150</v>
      </c>
    </row>
    <row r="522" spans="1:17" x14ac:dyDescent="0.3">
      <c r="A522" s="2">
        <v>46194</v>
      </c>
      <c r="B522">
        <v>119</v>
      </c>
      <c r="C522" t="s">
        <v>1634</v>
      </c>
      <c r="G522" t="s">
        <v>1338</v>
      </c>
      <c r="H522" t="s">
        <v>1635</v>
      </c>
      <c r="I522" t="s">
        <v>1601</v>
      </c>
      <c r="J522" t="s">
        <v>1602</v>
      </c>
      <c r="K522" t="s">
        <v>150</v>
      </c>
    </row>
    <row r="523" spans="1:17" x14ac:dyDescent="0.3">
      <c r="A523" s="2">
        <v>46194</v>
      </c>
      <c r="B523">
        <v>118</v>
      </c>
      <c r="C523" t="s">
        <v>1636</v>
      </c>
      <c r="G523" t="s">
        <v>1338</v>
      </c>
      <c r="H523" t="s">
        <v>1637</v>
      </c>
      <c r="I523" t="s">
        <v>1601</v>
      </c>
      <c r="J523" t="s">
        <v>1602</v>
      </c>
      <c r="K523" t="s">
        <v>150</v>
      </c>
    </row>
    <row r="524" spans="1:17" x14ac:dyDescent="0.3">
      <c r="A524" s="2">
        <v>46194</v>
      </c>
      <c r="B524">
        <v>117</v>
      </c>
      <c r="C524" t="s">
        <v>1638</v>
      </c>
      <c r="G524" t="s">
        <v>1338</v>
      </c>
      <c r="H524" t="s">
        <v>1639</v>
      </c>
      <c r="I524" t="s">
        <v>1601</v>
      </c>
      <c r="J524" t="s">
        <v>1602</v>
      </c>
      <c r="K524" t="s">
        <v>150</v>
      </c>
    </row>
    <row r="525" spans="1:17" ht="15.6" x14ac:dyDescent="0.3">
      <c r="A525" s="2">
        <v>46194</v>
      </c>
      <c r="B525">
        <v>116</v>
      </c>
      <c r="C525" t="s">
        <v>1640</v>
      </c>
      <c r="E525" s="2">
        <v>46205</v>
      </c>
      <c r="F525" t="s">
        <v>307</v>
      </c>
      <c r="G525" t="s">
        <v>147</v>
      </c>
      <c r="H525" t="s">
        <v>1641</v>
      </c>
      <c r="I525" t="s">
        <v>1642</v>
      </c>
      <c r="J525" t="s">
        <v>1643</v>
      </c>
      <c r="K525" t="s">
        <v>207</v>
      </c>
      <c r="Q525" s="3" t="s">
        <v>1644</v>
      </c>
    </row>
    <row r="526" spans="1:17" ht="15.6" x14ac:dyDescent="0.3">
      <c r="A526" s="2">
        <v>46194</v>
      </c>
      <c r="B526">
        <v>115</v>
      </c>
      <c r="C526" t="s">
        <v>1645</v>
      </c>
      <c r="E526" s="2">
        <v>46205</v>
      </c>
      <c r="F526" t="s">
        <v>307</v>
      </c>
      <c r="G526" t="s">
        <v>147</v>
      </c>
      <c r="H526" t="s">
        <v>1646</v>
      </c>
      <c r="I526" t="s">
        <v>1642</v>
      </c>
      <c r="J526" t="s">
        <v>1643</v>
      </c>
      <c r="K526" t="s">
        <v>207</v>
      </c>
      <c r="Q526" s="3" t="s">
        <v>1647</v>
      </c>
    </row>
    <row r="527" spans="1:17" ht="15.6" x14ac:dyDescent="0.3">
      <c r="A527" s="2">
        <v>46194</v>
      </c>
      <c r="B527">
        <v>114</v>
      </c>
      <c r="C527" t="s">
        <v>1648</v>
      </c>
      <c r="E527" s="2">
        <v>46202</v>
      </c>
      <c r="F527" t="s">
        <v>307</v>
      </c>
      <c r="G527" t="s">
        <v>147</v>
      </c>
      <c r="H527" t="s">
        <v>1649</v>
      </c>
      <c r="I527" t="s">
        <v>1642</v>
      </c>
      <c r="J527" t="s">
        <v>1643</v>
      </c>
      <c r="K527" t="s">
        <v>207</v>
      </c>
      <c r="Q527" s="3" t="s">
        <v>1650</v>
      </c>
    </row>
    <row r="528" spans="1:17" x14ac:dyDescent="0.3">
      <c r="A528" s="2">
        <v>46194</v>
      </c>
      <c r="B528">
        <v>113</v>
      </c>
      <c r="C528" t="s">
        <v>568</v>
      </c>
      <c r="D528" s="2">
        <v>46192</v>
      </c>
      <c r="E528" s="2">
        <v>46227</v>
      </c>
      <c r="F528" t="s">
        <v>1898</v>
      </c>
      <c r="G528" t="s">
        <v>1338</v>
      </c>
      <c r="H528" t="s">
        <v>569</v>
      </c>
      <c r="I528" t="s">
        <v>1899</v>
      </c>
      <c r="J528" t="s">
        <v>1900</v>
      </c>
      <c r="K528" t="s">
        <v>184</v>
      </c>
      <c r="P528" t="s">
        <v>1901</v>
      </c>
      <c r="Q528" t="s">
        <v>1902</v>
      </c>
    </row>
    <row r="529" spans="1:17" x14ac:dyDescent="0.3">
      <c r="A529" s="2">
        <v>46194</v>
      </c>
      <c r="B529">
        <v>112</v>
      </c>
      <c r="C529" t="s">
        <v>607</v>
      </c>
      <c r="D529" s="2">
        <v>46192</v>
      </c>
      <c r="E529" s="2">
        <v>46225</v>
      </c>
      <c r="F529" t="s">
        <v>1898</v>
      </c>
      <c r="G529" t="s">
        <v>1338</v>
      </c>
      <c r="H529" t="s">
        <v>608</v>
      </c>
      <c r="I529" t="s">
        <v>1899</v>
      </c>
      <c r="J529" t="s">
        <v>1900</v>
      </c>
      <c r="K529" t="s">
        <v>184</v>
      </c>
      <c r="P529" t="s">
        <v>1903</v>
      </c>
      <c r="Q529" t="s">
        <v>1902</v>
      </c>
    </row>
    <row r="530" spans="1:17" x14ac:dyDescent="0.3">
      <c r="A530" s="2">
        <v>46194</v>
      </c>
      <c r="B530">
        <v>111</v>
      </c>
      <c r="C530" t="s">
        <v>564</v>
      </c>
      <c r="D530" s="2">
        <v>46192</v>
      </c>
      <c r="E530" s="2">
        <v>46231</v>
      </c>
      <c r="F530" t="s">
        <v>1898</v>
      </c>
      <c r="G530" t="s">
        <v>1338</v>
      </c>
      <c r="H530" t="s">
        <v>1904</v>
      </c>
      <c r="I530" t="s">
        <v>1899</v>
      </c>
      <c r="J530" t="s">
        <v>1900</v>
      </c>
      <c r="K530" t="s">
        <v>184</v>
      </c>
      <c r="P530" t="s">
        <v>1905</v>
      </c>
      <c r="Q530" t="s">
        <v>1902</v>
      </c>
    </row>
    <row r="531" spans="1:17" x14ac:dyDescent="0.3">
      <c r="A531" s="2">
        <v>46194</v>
      </c>
      <c r="B531">
        <v>110</v>
      </c>
      <c r="C531" t="s">
        <v>559</v>
      </c>
      <c r="D531" s="2">
        <v>46192</v>
      </c>
      <c r="E531" s="2">
        <v>46233</v>
      </c>
      <c r="F531" t="s">
        <v>1898</v>
      </c>
      <c r="G531" t="s">
        <v>1338</v>
      </c>
      <c r="H531" t="s">
        <v>1906</v>
      </c>
      <c r="I531" t="s">
        <v>1899</v>
      </c>
      <c r="J531" t="s">
        <v>1900</v>
      </c>
      <c r="K531" t="s">
        <v>184</v>
      </c>
      <c r="P531" t="s">
        <v>1907</v>
      </c>
      <c r="Q531" t="s">
        <v>1902</v>
      </c>
    </row>
    <row r="532" spans="1:17" ht="15.6" x14ac:dyDescent="0.3">
      <c r="A532" s="2">
        <v>46194</v>
      </c>
      <c r="B532">
        <v>109</v>
      </c>
      <c r="C532" t="s">
        <v>1908</v>
      </c>
      <c r="E532" s="2">
        <v>46079</v>
      </c>
      <c r="F532" t="s">
        <v>1909</v>
      </c>
      <c r="G532" t="s">
        <v>1338</v>
      </c>
      <c r="H532" t="s">
        <v>1910</v>
      </c>
      <c r="I532" t="s">
        <v>1911</v>
      </c>
      <c r="J532" t="s">
        <v>1912</v>
      </c>
      <c r="K532" t="s">
        <v>207</v>
      </c>
      <c r="N532" t="s">
        <v>31</v>
      </c>
      <c r="O532" t="s">
        <v>29</v>
      </c>
      <c r="Q532" s="3" t="s">
        <v>1913</v>
      </c>
    </row>
    <row r="533" spans="1:17" ht="15.6" x14ac:dyDescent="0.3">
      <c r="A533" s="2">
        <v>46194</v>
      </c>
      <c r="B533">
        <v>108</v>
      </c>
      <c r="C533" t="s">
        <v>1914</v>
      </c>
      <c r="E533" s="2">
        <v>46042</v>
      </c>
      <c r="F533" t="s">
        <v>1915</v>
      </c>
      <c r="G533" t="s">
        <v>1338</v>
      </c>
      <c r="H533" t="s">
        <v>1916</v>
      </c>
      <c r="I533" t="s">
        <v>1911</v>
      </c>
      <c r="J533" t="s">
        <v>1912</v>
      </c>
      <c r="K533" t="s">
        <v>207</v>
      </c>
      <c r="N533" t="s">
        <v>31</v>
      </c>
      <c r="O533" t="s">
        <v>29</v>
      </c>
      <c r="Q533" s="3" t="s">
        <v>1917</v>
      </c>
    </row>
    <row r="534" spans="1:17" ht="15.6" x14ac:dyDescent="0.3">
      <c r="A534" s="2">
        <v>46194</v>
      </c>
      <c r="B534">
        <v>107</v>
      </c>
      <c r="C534" t="s">
        <v>1918</v>
      </c>
      <c r="E534" s="2">
        <v>46003</v>
      </c>
      <c r="F534" t="s">
        <v>1915</v>
      </c>
      <c r="G534" t="s">
        <v>1338</v>
      </c>
      <c r="H534" t="s">
        <v>1919</v>
      </c>
      <c r="I534" t="s">
        <v>1911</v>
      </c>
      <c r="J534" t="s">
        <v>1912</v>
      </c>
      <c r="K534" t="s">
        <v>207</v>
      </c>
      <c r="N534" t="s">
        <v>31</v>
      </c>
      <c r="O534" t="s">
        <v>29</v>
      </c>
      <c r="Q534" s="3" t="s">
        <v>1920</v>
      </c>
    </row>
    <row r="535" spans="1:17" ht="15.6" x14ac:dyDescent="0.3">
      <c r="A535" s="2">
        <v>46194</v>
      </c>
      <c r="B535">
        <v>106</v>
      </c>
      <c r="C535" t="s">
        <v>1921</v>
      </c>
      <c r="E535" s="2">
        <v>45929</v>
      </c>
      <c r="F535" t="s">
        <v>1909</v>
      </c>
      <c r="G535" t="s">
        <v>1338</v>
      </c>
      <c r="H535" t="s">
        <v>1922</v>
      </c>
      <c r="I535" t="s">
        <v>1911</v>
      </c>
      <c r="J535" t="s">
        <v>1912</v>
      </c>
      <c r="K535" t="s">
        <v>207</v>
      </c>
      <c r="Q535" s="3" t="s">
        <v>1923</v>
      </c>
    </row>
    <row r="536" spans="1:17" ht="15.6" x14ac:dyDescent="0.3">
      <c r="A536" s="2">
        <v>46194</v>
      </c>
      <c r="B536">
        <v>105</v>
      </c>
      <c r="C536" t="s">
        <v>1924</v>
      </c>
      <c r="E536" s="2">
        <v>45685</v>
      </c>
      <c r="F536" t="s">
        <v>1909</v>
      </c>
      <c r="G536" t="s">
        <v>1338</v>
      </c>
      <c r="H536" t="s">
        <v>1925</v>
      </c>
      <c r="I536" t="s">
        <v>1911</v>
      </c>
      <c r="J536" t="s">
        <v>1912</v>
      </c>
      <c r="K536" t="s">
        <v>207</v>
      </c>
      <c r="N536" t="s">
        <v>31</v>
      </c>
      <c r="O536" t="s">
        <v>29</v>
      </c>
      <c r="Q536" s="3" t="s">
        <v>1926</v>
      </c>
    </row>
    <row r="537" spans="1:17" ht="15.6" x14ac:dyDescent="0.3">
      <c r="A537" s="2">
        <v>46194</v>
      </c>
      <c r="B537">
        <v>104</v>
      </c>
      <c r="C537" t="s">
        <v>1927</v>
      </c>
      <c r="E537" s="2">
        <v>45687</v>
      </c>
      <c r="F537" t="s">
        <v>1909</v>
      </c>
      <c r="G537" t="s">
        <v>1338</v>
      </c>
      <c r="H537" t="s">
        <v>1928</v>
      </c>
      <c r="I537" t="s">
        <v>1911</v>
      </c>
      <c r="J537" t="s">
        <v>1912</v>
      </c>
      <c r="K537" t="s">
        <v>207</v>
      </c>
      <c r="Q537" s="3" t="s">
        <v>1929</v>
      </c>
    </row>
    <row r="538" spans="1:17" ht="15.6" x14ac:dyDescent="0.3">
      <c r="A538" s="2">
        <v>46194</v>
      </c>
      <c r="B538">
        <v>103</v>
      </c>
      <c r="C538" t="s">
        <v>1930</v>
      </c>
      <c r="E538" s="2">
        <v>45671</v>
      </c>
      <c r="F538" t="s">
        <v>1909</v>
      </c>
      <c r="G538" t="s">
        <v>1338</v>
      </c>
      <c r="H538" t="s">
        <v>1931</v>
      </c>
      <c r="I538" t="s">
        <v>1911</v>
      </c>
      <c r="J538" t="s">
        <v>1912</v>
      </c>
      <c r="K538" t="s">
        <v>207</v>
      </c>
      <c r="Q538" s="3" t="s">
        <v>1932</v>
      </c>
    </row>
    <row r="539" spans="1:17" ht="15.6" x14ac:dyDescent="0.3">
      <c r="A539" s="2">
        <v>46194</v>
      </c>
      <c r="B539">
        <v>102</v>
      </c>
      <c r="C539" t="s">
        <v>1933</v>
      </c>
      <c r="E539" s="2">
        <v>45674</v>
      </c>
      <c r="F539" t="s">
        <v>1909</v>
      </c>
      <c r="G539" t="s">
        <v>1338</v>
      </c>
      <c r="H539" t="s">
        <v>1934</v>
      </c>
      <c r="I539" t="s">
        <v>1911</v>
      </c>
      <c r="J539" t="s">
        <v>1912</v>
      </c>
      <c r="K539" t="s">
        <v>207</v>
      </c>
      <c r="N539" t="s">
        <v>31</v>
      </c>
      <c r="O539" t="s">
        <v>29</v>
      </c>
      <c r="Q539" s="3" t="s">
        <v>1935</v>
      </c>
    </row>
    <row r="540" spans="1:17" ht="15.6" x14ac:dyDescent="0.3">
      <c r="A540" s="2">
        <v>46194</v>
      </c>
      <c r="B540">
        <v>101</v>
      </c>
      <c r="C540" t="s">
        <v>1936</v>
      </c>
      <c r="E540" s="2">
        <v>45628</v>
      </c>
      <c r="F540" t="s">
        <v>1909</v>
      </c>
      <c r="G540" t="s">
        <v>1338</v>
      </c>
      <c r="H540" t="s">
        <v>1937</v>
      </c>
      <c r="I540" t="s">
        <v>1911</v>
      </c>
      <c r="J540" t="s">
        <v>1912</v>
      </c>
      <c r="K540" t="s">
        <v>207</v>
      </c>
      <c r="Q540" s="3" t="s">
        <v>1938</v>
      </c>
    </row>
    <row r="541" spans="1:17" ht="15.6" x14ac:dyDescent="0.3">
      <c r="A541" s="2">
        <v>46194</v>
      </c>
      <c r="B541">
        <v>100</v>
      </c>
      <c r="C541" t="s">
        <v>1939</v>
      </c>
      <c r="E541" s="2">
        <v>45625</v>
      </c>
      <c r="F541" t="s">
        <v>1909</v>
      </c>
      <c r="G541" t="s">
        <v>1338</v>
      </c>
      <c r="H541" t="s">
        <v>1931</v>
      </c>
      <c r="I541" t="s">
        <v>1911</v>
      </c>
      <c r="J541" t="s">
        <v>1912</v>
      </c>
      <c r="K541" t="s">
        <v>207</v>
      </c>
      <c r="N541" t="s">
        <v>31</v>
      </c>
      <c r="O541" t="s">
        <v>29</v>
      </c>
      <c r="Q541" s="3" t="s">
        <v>1940</v>
      </c>
    </row>
    <row r="542" spans="1:17" ht="15.6" x14ac:dyDescent="0.3">
      <c r="A542" s="2">
        <v>46194</v>
      </c>
      <c r="B542">
        <v>99</v>
      </c>
      <c r="C542" t="s">
        <v>1941</v>
      </c>
      <c r="E542" s="2">
        <v>45608</v>
      </c>
      <c r="F542" t="s">
        <v>1909</v>
      </c>
      <c r="G542" t="s">
        <v>1338</v>
      </c>
      <c r="H542" t="s">
        <v>1942</v>
      </c>
      <c r="I542" t="s">
        <v>1911</v>
      </c>
      <c r="J542" t="s">
        <v>1912</v>
      </c>
      <c r="K542" t="s">
        <v>207</v>
      </c>
      <c r="N542" t="s">
        <v>31</v>
      </c>
      <c r="O542" t="s">
        <v>29</v>
      </c>
      <c r="Q542" s="3" t="s">
        <v>1943</v>
      </c>
    </row>
    <row r="543" spans="1:17" ht="15.6" x14ac:dyDescent="0.3">
      <c r="A543" s="2">
        <v>46194</v>
      </c>
      <c r="B543">
        <v>98</v>
      </c>
      <c r="C543" t="s">
        <v>1944</v>
      </c>
      <c r="E543" s="2">
        <v>45534</v>
      </c>
      <c r="F543" t="s">
        <v>1909</v>
      </c>
      <c r="G543" t="s">
        <v>1338</v>
      </c>
      <c r="H543" t="s">
        <v>1945</v>
      </c>
      <c r="I543" t="s">
        <v>1911</v>
      </c>
      <c r="J543" t="s">
        <v>1912</v>
      </c>
      <c r="K543" t="s">
        <v>207</v>
      </c>
      <c r="N543" t="s">
        <v>31</v>
      </c>
      <c r="O543" t="s">
        <v>29</v>
      </c>
      <c r="Q543" s="3" t="s">
        <v>1946</v>
      </c>
    </row>
    <row r="544" spans="1:17" ht="15.6" x14ac:dyDescent="0.3">
      <c r="A544" s="2">
        <v>46194</v>
      </c>
      <c r="B544">
        <v>97</v>
      </c>
      <c r="C544" t="s">
        <v>1947</v>
      </c>
      <c r="E544" s="2">
        <v>45581</v>
      </c>
      <c r="F544" t="s">
        <v>1909</v>
      </c>
      <c r="G544" t="s">
        <v>1338</v>
      </c>
      <c r="H544" t="s">
        <v>1948</v>
      </c>
      <c r="I544" t="s">
        <v>1911</v>
      </c>
      <c r="J544" t="s">
        <v>1912</v>
      </c>
      <c r="K544" t="s">
        <v>207</v>
      </c>
      <c r="Q544" s="3" t="s">
        <v>1949</v>
      </c>
    </row>
    <row r="545" spans="1:17" ht="15.6" x14ac:dyDescent="0.3">
      <c r="A545" s="2">
        <v>46194</v>
      </c>
      <c r="B545">
        <v>96</v>
      </c>
      <c r="C545" t="s">
        <v>1950</v>
      </c>
      <c r="E545" s="2">
        <v>45532</v>
      </c>
      <c r="F545" t="s">
        <v>1951</v>
      </c>
      <c r="G545" t="s">
        <v>1338</v>
      </c>
      <c r="H545" t="s">
        <v>1952</v>
      </c>
      <c r="I545" t="s">
        <v>1911</v>
      </c>
      <c r="J545" t="s">
        <v>1912</v>
      </c>
      <c r="K545" t="s">
        <v>207</v>
      </c>
      <c r="N545" t="s">
        <v>31</v>
      </c>
      <c r="O545" t="s">
        <v>29</v>
      </c>
      <c r="Q545" s="3" t="s">
        <v>1953</v>
      </c>
    </row>
    <row r="546" spans="1:17" ht="15.6" x14ac:dyDescent="0.3">
      <c r="A546" s="2">
        <v>46194</v>
      </c>
      <c r="B546">
        <v>95</v>
      </c>
      <c r="C546" t="s">
        <v>1954</v>
      </c>
      <c r="E546" s="2">
        <v>45442</v>
      </c>
      <c r="F546" t="s">
        <v>1909</v>
      </c>
      <c r="G546" t="s">
        <v>1338</v>
      </c>
      <c r="H546" t="s">
        <v>1955</v>
      </c>
      <c r="I546" t="s">
        <v>1911</v>
      </c>
      <c r="J546" t="s">
        <v>1912</v>
      </c>
      <c r="K546" t="s">
        <v>207</v>
      </c>
      <c r="N546" t="s">
        <v>31</v>
      </c>
      <c r="O546" t="s">
        <v>29</v>
      </c>
      <c r="Q546" s="3" t="s">
        <v>1956</v>
      </c>
    </row>
    <row r="547" spans="1:17" ht="15.6" x14ac:dyDescent="0.3">
      <c r="A547" s="2">
        <v>46194</v>
      </c>
      <c r="B547">
        <v>94</v>
      </c>
      <c r="C547" t="s">
        <v>1957</v>
      </c>
      <c r="E547" s="2">
        <v>45359</v>
      </c>
      <c r="F547" t="s">
        <v>1909</v>
      </c>
      <c r="G547" t="s">
        <v>1338</v>
      </c>
      <c r="H547" t="s">
        <v>1958</v>
      </c>
      <c r="I547" t="s">
        <v>1911</v>
      </c>
      <c r="J547" t="s">
        <v>1912</v>
      </c>
      <c r="K547" t="s">
        <v>207</v>
      </c>
      <c r="N547" t="s">
        <v>31</v>
      </c>
      <c r="O547" t="s">
        <v>29</v>
      </c>
      <c r="Q547" s="3" t="s">
        <v>1959</v>
      </c>
    </row>
    <row r="548" spans="1:17" ht="15.6" x14ac:dyDescent="0.3">
      <c r="A548" s="2">
        <v>46194</v>
      </c>
      <c r="B548">
        <v>93</v>
      </c>
      <c r="C548" t="s">
        <v>1960</v>
      </c>
      <c r="E548" s="2">
        <v>45356</v>
      </c>
      <c r="F548" t="s">
        <v>1909</v>
      </c>
      <c r="G548" t="s">
        <v>1338</v>
      </c>
      <c r="H548" t="s">
        <v>1961</v>
      </c>
      <c r="I548" t="s">
        <v>1911</v>
      </c>
      <c r="J548" t="s">
        <v>1912</v>
      </c>
      <c r="K548" t="s">
        <v>207</v>
      </c>
      <c r="N548" t="s">
        <v>31</v>
      </c>
      <c r="O548" t="s">
        <v>29</v>
      </c>
      <c r="Q548" s="3" t="s">
        <v>1962</v>
      </c>
    </row>
    <row r="549" spans="1:17" ht="15.6" x14ac:dyDescent="0.3">
      <c r="A549" s="2">
        <v>46194</v>
      </c>
      <c r="B549">
        <v>92</v>
      </c>
      <c r="C549" t="s">
        <v>1963</v>
      </c>
      <c r="E549" s="2">
        <v>45357</v>
      </c>
      <c r="F549" t="s">
        <v>1909</v>
      </c>
      <c r="G549" t="s">
        <v>1338</v>
      </c>
      <c r="H549" t="s">
        <v>1964</v>
      </c>
      <c r="I549" t="s">
        <v>1911</v>
      </c>
      <c r="J549" t="s">
        <v>1912</v>
      </c>
      <c r="K549" t="s">
        <v>207</v>
      </c>
      <c r="N549" t="s">
        <v>31</v>
      </c>
      <c r="O549" t="s">
        <v>29</v>
      </c>
      <c r="Q549" s="3" t="s">
        <v>1965</v>
      </c>
    </row>
    <row r="550" spans="1:17" ht="15.6" x14ac:dyDescent="0.3">
      <c r="A550" s="2">
        <v>46194</v>
      </c>
      <c r="B550">
        <v>91</v>
      </c>
      <c r="C550" t="s">
        <v>1966</v>
      </c>
      <c r="E550" s="2">
        <v>45274</v>
      </c>
      <c r="F550" t="s">
        <v>1909</v>
      </c>
      <c r="G550" t="s">
        <v>1338</v>
      </c>
      <c r="H550" t="s">
        <v>1967</v>
      </c>
      <c r="I550" t="s">
        <v>1911</v>
      </c>
      <c r="J550" t="s">
        <v>1912</v>
      </c>
      <c r="K550" t="s">
        <v>207</v>
      </c>
      <c r="N550" t="s">
        <v>31</v>
      </c>
      <c r="O550" t="s">
        <v>29</v>
      </c>
      <c r="Q550" s="3" t="s">
        <v>1968</v>
      </c>
    </row>
    <row r="551" spans="1:17" ht="15.6" x14ac:dyDescent="0.3">
      <c r="A551" s="2">
        <v>46194</v>
      </c>
      <c r="B551">
        <v>90</v>
      </c>
      <c r="C551" t="s">
        <v>1969</v>
      </c>
      <c r="E551" s="2">
        <v>45273</v>
      </c>
      <c r="F551" t="s">
        <v>1909</v>
      </c>
      <c r="G551" t="s">
        <v>1338</v>
      </c>
      <c r="H551" t="s">
        <v>1970</v>
      </c>
      <c r="I551" t="s">
        <v>1911</v>
      </c>
      <c r="J551" t="s">
        <v>1912</v>
      </c>
      <c r="K551" t="s">
        <v>207</v>
      </c>
      <c r="N551" t="s">
        <v>31</v>
      </c>
      <c r="O551" t="s">
        <v>29</v>
      </c>
      <c r="Q551" s="3" t="s">
        <v>1971</v>
      </c>
    </row>
    <row r="552" spans="1:17" ht="15.6" x14ac:dyDescent="0.3">
      <c r="A552" s="2">
        <v>46194</v>
      </c>
      <c r="B552">
        <v>89</v>
      </c>
      <c r="C552" t="s">
        <v>1972</v>
      </c>
      <c r="E552" s="2">
        <v>45274</v>
      </c>
      <c r="F552" t="s">
        <v>1909</v>
      </c>
      <c r="G552" t="s">
        <v>1338</v>
      </c>
      <c r="H552" t="s">
        <v>1973</v>
      </c>
      <c r="I552" t="s">
        <v>1911</v>
      </c>
      <c r="J552" t="s">
        <v>1912</v>
      </c>
      <c r="K552" t="s">
        <v>207</v>
      </c>
      <c r="N552" t="s">
        <v>31</v>
      </c>
      <c r="O552" t="s">
        <v>29</v>
      </c>
      <c r="Q552" s="3" t="s">
        <v>1974</v>
      </c>
    </row>
    <row r="553" spans="1:17" ht="15.6" x14ac:dyDescent="0.3">
      <c r="A553" s="2">
        <v>46194</v>
      </c>
      <c r="B553">
        <v>88</v>
      </c>
      <c r="C553" t="s">
        <v>1975</v>
      </c>
      <c r="E553" s="2">
        <v>45222</v>
      </c>
      <c r="F553" t="s">
        <v>1909</v>
      </c>
      <c r="G553" t="s">
        <v>1338</v>
      </c>
      <c r="H553" t="s">
        <v>1976</v>
      </c>
      <c r="I553" t="s">
        <v>1911</v>
      </c>
      <c r="J553" t="s">
        <v>1912</v>
      </c>
      <c r="K553" t="s">
        <v>207</v>
      </c>
      <c r="N553" t="s">
        <v>31</v>
      </c>
      <c r="O553" t="s">
        <v>29</v>
      </c>
      <c r="Q553" s="3" t="s">
        <v>1977</v>
      </c>
    </row>
    <row r="554" spans="1:17" ht="15.6" x14ac:dyDescent="0.3">
      <c r="A554" s="2">
        <v>46194</v>
      </c>
      <c r="B554">
        <v>87</v>
      </c>
      <c r="C554" t="s">
        <v>1978</v>
      </c>
      <c r="E554" s="2">
        <v>45079</v>
      </c>
      <c r="F554" t="s">
        <v>1909</v>
      </c>
      <c r="G554" t="s">
        <v>1338</v>
      </c>
      <c r="H554" t="s">
        <v>1979</v>
      </c>
      <c r="I554" t="s">
        <v>1911</v>
      </c>
      <c r="J554" t="s">
        <v>1912</v>
      </c>
      <c r="K554" t="s">
        <v>207</v>
      </c>
      <c r="N554" t="s">
        <v>31</v>
      </c>
      <c r="O554" t="s">
        <v>29</v>
      </c>
      <c r="Q554" s="3" t="s">
        <v>1980</v>
      </c>
    </row>
    <row r="555" spans="1:17" ht="15.6" x14ac:dyDescent="0.3">
      <c r="A555" s="2">
        <v>46194</v>
      </c>
      <c r="B555">
        <v>86</v>
      </c>
      <c r="C555" t="s">
        <v>1981</v>
      </c>
      <c r="E555" s="2">
        <v>44960</v>
      </c>
      <c r="F555" t="s">
        <v>1909</v>
      </c>
      <c r="G555" t="s">
        <v>1338</v>
      </c>
      <c r="H555" t="s">
        <v>1982</v>
      </c>
      <c r="I555" t="s">
        <v>1911</v>
      </c>
      <c r="J555" t="s">
        <v>1912</v>
      </c>
      <c r="K555" t="s">
        <v>207</v>
      </c>
      <c r="N555" t="s">
        <v>31</v>
      </c>
      <c r="O555" t="s">
        <v>29</v>
      </c>
      <c r="Q555" s="3" t="s">
        <v>1983</v>
      </c>
    </row>
    <row r="556" spans="1:17" ht="15.6" x14ac:dyDescent="0.3">
      <c r="A556" s="2">
        <v>46194</v>
      </c>
      <c r="B556">
        <v>85</v>
      </c>
      <c r="C556" t="s">
        <v>1984</v>
      </c>
      <c r="E556" s="2">
        <v>44909</v>
      </c>
      <c r="F556" t="s">
        <v>1909</v>
      </c>
      <c r="G556" t="s">
        <v>1338</v>
      </c>
      <c r="H556" t="s">
        <v>1985</v>
      </c>
      <c r="I556" t="s">
        <v>1911</v>
      </c>
      <c r="J556" t="s">
        <v>1912</v>
      </c>
      <c r="K556" t="s">
        <v>207</v>
      </c>
      <c r="Q556" s="3" t="s">
        <v>1986</v>
      </c>
    </row>
    <row r="557" spans="1:17" ht="15.6" x14ac:dyDescent="0.3">
      <c r="A557" s="2">
        <v>46194</v>
      </c>
      <c r="B557">
        <v>84</v>
      </c>
      <c r="C557" t="s">
        <v>1987</v>
      </c>
      <c r="E557" s="2">
        <v>44862</v>
      </c>
      <c r="F557" t="s">
        <v>1909</v>
      </c>
      <c r="G557" t="s">
        <v>1338</v>
      </c>
      <c r="H557" t="s">
        <v>1988</v>
      </c>
      <c r="I557" t="s">
        <v>1911</v>
      </c>
      <c r="J557" t="s">
        <v>1912</v>
      </c>
      <c r="K557" t="s">
        <v>207</v>
      </c>
      <c r="N557" t="s">
        <v>31</v>
      </c>
      <c r="O557" t="s">
        <v>29</v>
      </c>
      <c r="Q557" s="3" t="s">
        <v>1989</v>
      </c>
    </row>
    <row r="558" spans="1:17" ht="15.6" x14ac:dyDescent="0.3">
      <c r="A558" s="2">
        <v>46194</v>
      </c>
      <c r="B558">
        <v>83</v>
      </c>
      <c r="C558" t="s">
        <v>1990</v>
      </c>
      <c r="E558" s="2">
        <v>44837</v>
      </c>
      <c r="F558" t="s">
        <v>1909</v>
      </c>
      <c r="G558" t="s">
        <v>1338</v>
      </c>
      <c r="H558" t="s">
        <v>1991</v>
      </c>
      <c r="I558" t="s">
        <v>1911</v>
      </c>
      <c r="J558" t="s">
        <v>1912</v>
      </c>
      <c r="K558" t="s">
        <v>207</v>
      </c>
      <c r="Q558" s="3" t="s">
        <v>1992</v>
      </c>
    </row>
    <row r="559" spans="1:17" ht="15.6" x14ac:dyDescent="0.3">
      <c r="A559" s="2">
        <v>46194</v>
      </c>
      <c r="B559">
        <v>82</v>
      </c>
      <c r="C559" t="s">
        <v>1993</v>
      </c>
      <c r="E559" s="2">
        <v>44827</v>
      </c>
      <c r="F559" t="s">
        <v>1909</v>
      </c>
      <c r="G559" t="s">
        <v>1338</v>
      </c>
      <c r="H559" t="s">
        <v>1994</v>
      </c>
      <c r="I559" t="s">
        <v>1911</v>
      </c>
      <c r="J559" t="s">
        <v>1912</v>
      </c>
      <c r="K559" t="s">
        <v>207</v>
      </c>
      <c r="Q559" s="3" t="s">
        <v>1995</v>
      </c>
    </row>
    <row r="560" spans="1:17" ht="15.6" x14ac:dyDescent="0.3">
      <c r="A560" s="2">
        <v>46194</v>
      </c>
      <c r="B560">
        <v>81</v>
      </c>
      <c r="C560" t="s">
        <v>1996</v>
      </c>
      <c r="E560" s="2">
        <v>44827</v>
      </c>
      <c r="F560" t="s">
        <v>1909</v>
      </c>
      <c r="G560" t="s">
        <v>1338</v>
      </c>
      <c r="H560" t="s">
        <v>1997</v>
      </c>
      <c r="I560" t="s">
        <v>1911</v>
      </c>
      <c r="J560" t="s">
        <v>1912</v>
      </c>
      <c r="K560" t="s">
        <v>207</v>
      </c>
      <c r="Q560" s="3" t="s">
        <v>1998</v>
      </c>
    </row>
    <row r="561" spans="1:17" ht="15.6" x14ac:dyDescent="0.3">
      <c r="A561" s="2">
        <v>46194</v>
      </c>
      <c r="B561">
        <v>80</v>
      </c>
      <c r="C561" t="s">
        <v>1999</v>
      </c>
      <c r="E561" s="2">
        <v>44827</v>
      </c>
      <c r="F561" t="s">
        <v>1909</v>
      </c>
      <c r="G561" t="s">
        <v>1338</v>
      </c>
      <c r="H561" t="s">
        <v>2000</v>
      </c>
      <c r="I561" t="s">
        <v>1911</v>
      </c>
      <c r="J561" t="s">
        <v>1912</v>
      </c>
      <c r="K561" t="s">
        <v>207</v>
      </c>
      <c r="Q561" s="3" t="s">
        <v>2001</v>
      </c>
    </row>
    <row r="562" spans="1:17" ht="15.6" x14ac:dyDescent="0.3">
      <c r="A562" s="2">
        <v>46194</v>
      </c>
      <c r="B562">
        <v>79</v>
      </c>
      <c r="C562" t="s">
        <v>2002</v>
      </c>
      <c r="E562" s="2">
        <v>44757</v>
      </c>
      <c r="F562" t="s">
        <v>1909</v>
      </c>
      <c r="G562" t="s">
        <v>1338</v>
      </c>
      <c r="H562" t="s">
        <v>2003</v>
      </c>
      <c r="I562" t="s">
        <v>1911</v>
      </c>
      <c r="J562" t="s">
        <v>1912</v>
      </c>
      <c r="K562" t="s">
        <v>207</v>
      </c>
      <c r="N562" t="s">
        <v>31</v>
      </c>
      <c r="O562" t="s">
        <v>29</v>
      </c>
      <c r="Q562" s="3" t="s">
        <v>2004</v>
      </c>
    </row>
    <row r="563" spans="1:17" ht="15.6" x14ac:dyDescent="0.3">
      <c r="A563" s="2">
        <v>46194</v>
      </c>
      <c r="B563">
        <v>78</v>
      </c>
      <c r="C563" t="s">
        <v>2005</v>
      </c>
      <c r="E563" s="2">
        <v>44757</v>
      </c>
      <c r="F563" t="s">
        <v>1909</v>
      </c>
      <c r="G563" t="s">
        <v>1338</v>
      </c>
      <c r="H563" t="s">
        <v>2006</v>
      </c>
      <c r="I563" t="s">
        <v>1911</v>
      </c>
      <c r="J563" t="s">
        <v>1912</v>
      </c>
      <c r="K563" t="s">
        <v>207</v>
      </c>
      <c r="N563" t="s">
        <v>31</v>
      </c>
      <c r="O563" t="s">
        <v>29</v>
      </c>
      <c r="Q563" s="3" t="s">
        <v>2007</v>
      </c>
    </row>
    <row r="564" spans="1:17" ht="15.6" x14ac:dyDescent="0.3">
      <c r="A564" s="2">
        <v>46194</v>
      </c>
      <c r="B564">
        <v>77</v>
      </c>
      <c r="C564" t="s">
        <v>2008</v>
      </c>
      <c r="E564" s="2">
        <v>44757</v>
      </c>
      <c r="F564" t="s">
        <v>1909</v>
      </c>
      <c r="G564" t="s">
        <v>1338</v>
      </c>
      <c r="H564" t="s">
        <v>2009</v>
      </c>
      <c r="I564" t="s">
        <v>1911</v>
      </c>
      <c r="J564" t="s">
        <v>1912</v>
      </c>
      <c r="K564" t="s">
        <v>207</v>
      </c>
      <c r="N564" t="s">
        <v>31</v>
      </c>
      <c r="O564" t="s">
        <v>29</v>
      </c>
      <c r="Q564" s="3" t="s">
        <v>2010</v>
      </c>
    </row>
    <row r="565" spans="1:17" ht="15.6" x14ac:dyDescent="0.3">
      <c r="A565" s="2">
        <v>46194</v>
      </c>
      <c r="B565">
        <v>76</v>
      </c>
      <c r="C565" t="s">
        <v>2011</v>
      </c>
      <c r="E565" s="2">
        <v>44665</v>
      </c>
      <c r="F565" t="s">
        <v>2012</v>
      </c>
      <c r="G565" t="s">
        <v>1338</v>
      </c>
      <c r="H565" t="s">
        <v>2013</v>
      </c>
      <c r="I565" t="s">
        <v>1911</v>
      </c>
      <c r="J565" t="s">
        <v>1912</v>
      </c>
      <c r="K565" t="s">
        <v>207</v>
      </c>
      <c r="Q565" s="3" t="s">
        <v>2014</v>
      </c>
    </row>
    <row r="566" spans="1:17" ht="15.6" x14ac:dyDescent="0.3">
      <c r="A566" s="2">
        <v>46194</v>
      </c>
      <c r="B566">
        <v>75</v>
      </c>
      <c r="C566" t="s">
        <v>2015</v>
      </c>
      <c r="E566" s="2">
        <v>44623</v>
      </c>
      <c r="F566" t="s">
        <v>2012</v>
      </c>
      <c r="G566" t="s">
        <v>1338</v>
      </c>
      <c r="H566" t="s">
        <v>2016</v>
      </c>
      <c r="I566" t="s">
        <v>1911</v>
      </c>
      <c r="J566" t="s">
        <v>1912</v>
      </c>
      <c r="K566" t="s">
        <v>207</v>
      </c>
      <c r="Q566" s="3" t="s">
        <v>2017</v>
      </c>
    </row>
    <row r="567" spans="1:17" ht="15.6" x14ac:dyDescent="0.3">
      <c r="A567" s="2">
        <v>46194</v>
      </c>
      <c r="B567">
        <v>74</v>
      </c>
      <c r="C567" t="s">
        <v>2018</v>
      </c>
      <c r="E567" s="2">
        <v>44545</v>
      </c>
      <c r="F567" t="s">
        <v>1652</v>
      </c>
      <c r="G567" t="s">
        <v>1338</v>
      </c>
      <c r="H567" t="s">
        <v>2019</v>
      </c>
      <c r="I567" t="s">
        <v>1911</v>
      </c>
      <c r="J567" t="s">
        <v>1912</v>
      </c>
      <c r="K567" t="s">
        <v>207</v>
      </c>
      <c r="Q567" s="3" t="s">
        <v>2020</v>
      </c>
    </row>
    <row r="568" spans="1:17" ht="15.6" x14ac:dyDescent="0.3">
      <c r="A568" s="2">
        <v>46194</v>
      </c>
      <c r="B568">
        <v>73</v>
      </c>
      <c r="C568" t="s">
        <v>2021</v>
      </c>
      <c r="E568" s="2">
        <v>44425</v>
      </c>
      <c r="F568" t="s">
        <v>1652</v>
      </c>
      <c r="G568" t="s">
        <v>1338</v>
      </c>
      <c r="H568" t="s">
        <v>2022</v>
      </c>
      <c r="I568" t="s">
        <v>1911</v>
      </c>
      <c r="J568" t="s">
        <v>1912</v>
      </c>
      <c r="K568" t="s">
        <v>207</v>
      </c>
      <c r="N568" t="s">
        <v>31</v>
      </c>
      <c r="O568" t="s">
        <v>29</v>
      </c>
      <c r="Q568" s="3" t="s">
        <v>2023</v>
      </c>
    </row>
    <row r="569" spans="1:17" ht="15.6" x14ac:dyDescent="0.3">
      <c r="A569" s="2">
        <v>46194</v>
      </c>
      <c r="B569">
        <v>72</v>
      </c>
      <c r="C569" t="s">
        <v>2024</v>
      </c>
      <c r="E569" s="2">
        <v>44425</v>
      </c>
      <c r="F569" t="s">
        <v>1915</v>
      </c>
      <c r="G569" t="s">
        <v>1338</v>
      </c>
      <c r="H569" t="s">
        <v>2025</v>
      </c>
      <c r="I569" t="s">
        <v>1911</v>
      </c>
      <c r="J569" t="s">
        <v>1912</v>
      </c>
      <c r="K569" t="s">
        <v>207</v>
      </c>
      <c r="N569" t="s">
        <v>31</v>
      </c>
      <c r="O569" t="s">
        <v>29</v>
      </c>
      <c r="Q569" s="3" t="s">
        <v>2026</v>
      </c>
    </row>
    <row r="570" spans="1:17" ht="15.6" x14ac:dyDescent="0.3">
      <c r="A570" s="2">
        <v>46194</v>
      </c>
      <c r="B570">
        <v>71</v>
      </c>
      <c r="C570" t="s">
        <v>2027</v>
      </c>
      <c r="E570" s="2">
        <v>44302</v>
      </c>
      <c r="F570" t="s">
        <v>1652</v>
      </c>
      <c r="G570" t="s">
        <v>1338</v>
      </c>
      <c r="H570" t="s">
        <v>2028</v>
      </c>
      <c r="I570" t="s">
        <v>1911</v>
      </c>
      <c r="J570" t="s">
        <v>1912</v>
      </c>
      <c r="K570" t="s">
        <v>207</v>
      </c>
      <c r="N570" t="s">
        <v>31</v>
      </c>
      <c r="O570" t="s">
        <v>29</v>
      </c>
      <c r="Q570" s="3" t="s">
        <v>2029</v>
      </c>
    </row>
    <row r="571" spans="1:17" ht="15.6" x14ac:dyDescent="0.3">
      <c r="A571" s="2">
        <v>46194</v>
      </c>
      <c r="B571">
        <v>70</v>
      </c>
      <c r="C571" t="s">
        <v>2030</v>
      </c>
      <c r="E571" s="2">
        <v>44302</v>
      </c>
      <c r="F571" t="s">
        <v>1652</v>
      </c>
      <c r="G571" t="s">
        <v>1338</v>
      </c>
      <c r="H571" t="s">
        <v>2031</v>
      </c>
      <c r="I571" t="s">
        <v>1911</v>
      </c>
      <c r="J571" t="s">
        <v>1912</v>
      </c>
      <c r="K571" t="s">
        <v>207</v>
      </c>
      <c r="N571" t="s">
        <v>31</v>
      </c>
      <c r="O571" t="s">
        <v>29</v>
      </c>
      <c r="Q571" s="3" t="s">
        <v>2032</v>
      </c>
    </row>
    <row r="572" spans="1:17" ht="15.6" x14ac:dyDescent="0.3">
      <c r="A572" s="2">
        <v>46194</v>
      </c>
      <c r="B572">
        <v>69</v>
      </c>
      <c r="C572" t="s">
        <v>2033</v>
      </c>
      <c r="E572" s="2">
        <v>44239</v>
      </c>
      <c r="F572" t="s">
        <v>1915</v>
      </c>
      <c r="G572" t="s">
        <v>1338</v>
      </c>
      <c r="H572" t="s">
        <v>2034</v>
      </c>
      <c r="I572" t="s">
        <v>1911</v>
      </c>
      <c r="J572" t="s">
        <v>1912</v>
      </c>
      <c r="K572" t="s">
        <v>207</v>
      </c>
      <c r="Q572" s="3" t="s">
        <v>2035</v>
      </c>
    </row>
    <row r="573" spans="1:17" ht="15.6" x14ac:dyDescent="0.3">
      <c r="A573" s="2">
        <v>46194</v>
      </c>
      <c r="B573">
        <v>68</v>
      </c>
      <c r="C573" t="s">
        <v>2036</v>
      </c>
      <c r="E573" s="2">
        <v>44228</v>
      </c>
      <c r="F573" t="s">
        <v>123</v>
      </c>
      <c r="G573" t="s">
        <v>1338</v>
      </c>
      <c r="H573" t="s">
        <v>2037</v>
      </c>
      <c r="I573" t="s">
        <v>1911</v>
      </c>
      <c r="J573" t="s">
        <v>1912</v>
      </c>
      <c r="K573" t="s">
        <v>207</v>
      </c>
      <c r="Q573" s="3" t="s">
        <v>2038</v>
      </c>
    </row>
    <row r="574" spans="1:17" ht="15.6" x14ac:dyDescent="0.3">
      <c r="A574" s="2">
        <v>46194</v>
      </c>
      <c r="B574">
        <v>67</v>
      </c>
      <c r="C574" t="s">
        <v>2039</v>
      </c>
      <c r="E574" s="2">
        <v>44076</v>
      </c>
      <c r="F574" t="s">
        <v>2040</v>
      </c>
      <c r="G574" t="s">
        <v>1338</v>
      </c>
      <c r="H574" t="s">
        <v>2041</v>
      </c>
      <c r="I574" t="s">
        <v>1911</v>
      </c>
      <c r="J574" t="s">
        <v>1912</v>
      </c>
      <c r="K574" t="s">
        <v>207</v>
      </c>
      <c r="Q574" s="3" t="s">
        <v>2042</v>
      </c>
    </row>
    <row r="575" spans="1:17" ht="15.6" x14ac:dyDescent="0.3">
      <c r="A575" s="2">
        <v>46194</v>
      </c>
      <c r="B575">
        <v>66</v>
      </c>
      <c r="C575" t="s">
        <v>2043</v>
      </c>
      <c r="E575" s="2">
        <v>43396</v>
      </c>
      <c r="F575" t="s">
        <v>1909</v>
      </c>
      <c r="G575" t="s">
        <v>1338</v>
      </c>
      <c r="H575" t="s">
        <v>2044</v>
      </c>
      <c r="I575" t="s">
        <v>1911</v>
      </c>
      <c r="J575" t="s">
        <v>1912</v>
      </c>
      <c r="K575" t="s">
        <v>207</v>
      </c>
      <c r="Q575" s="3" t="s">
        <v>2045</v>
      </c>
    </row>
    <row r="576" spans="1:17" ht="15.6" x14ac:dyDescent="0.3">
      <c r="A576" s="2">
        <v>46194</v>
      </c>
      <c r="B576">
        <v>65</v>
      </c>
      <c r="C576" t="s">
        <v>2046</v>
      </c>
      <c r="E576" s="2">
        <v>43354</v>
      </c>
      <c r="F576" t="s">
        <v>1909</v>
      </c>
      <c r="G576" t="s">
        <v>1338</v>
      </c>
      <c r="H576" t="s">
        <v>2047</v>
      </c>
      <c r="I576" t="s">
        <v>1911</v>
      </c>
      <c r="J576" t="s">
        <v>1912</v>
      </c>
      <c r="K576" t="s">
        <v>207</v>
      </c>
      <c r="Q576" s="3" t="s">
        <v>2048</v>
      </c>
    </row>
    <row r="577" spans="1:17" ht="15.6" x14ac:dyDescent="0.3">
      <c r="A577" s="2">
        <v>46194</v>
      </c>
      <c r="B577">
        <v>64</v>
      </c>
      <c r="C577" t="s">
        <v>2043</v>
      </c>
      <c r="E577" s="2">
        <v>43333</v>
      </c>
      <c r="F577" t="s">
        <v>2049</v>
      </c>
      <c r="G577" t="s">
        <v>1338</v>
      </c>
      <c r="H577" t="s">
        <v>2050</v>
      </c>
      <c r="I577" t="s">
        <v>1911</v>
      </c>
      <c r="J577" t="s">
        <v>1912</v>
      </c>
      <c r="K577" t="s">
        <v>207</v>
      </c>
      <c r="Q577" s="3" t="s">
        <v>2051</v>
      </c>
    </row>
    <row r="578" spans="1:17" ht="15.6" x14ac:dyDescent="0.3">
      <c r="A578" s="2">
        <v>46194</v>
      </c>
      <c r="B578">
        <v>63</v>
      </c>
      <c r="C578" t="s">
        <v>2052</v>
      </c>
      <c r="E578" s="2">
        <v>43333</v>
      </c>
      <c r="F578" t="s">
        <v>2049</v>
      </c>
      <c r="G578" t="s">
        <v>1338</v>
      </c>
      <c r="H578" t="s">
        <v>2053</v>
      </c>
      <c r="I578" t="s">
        <v>1911</v>
      </c>
      <c r="J578" t="s">
        <v>1912</v>
      </c>
      <c r="K578" t="s">
        <v>207</v>
      </c>
      <c r="Q578" s="3" t="s">
        <v>2051</v>
      </c>
    </row>
    <row r="579" spans="1:17" ht="15.6" x14ac:dyDescent="0.3">
      <c r="A579" s="2">
        <v>46194</v>
      </c>
      <c r="B579">
        <v>62</v>
      </c>
      <c r="C579" t="s">
        <v>2054</v>
      </c>
      <c r="E579" s="2">
        <v>43280</v>
      </c>
      <c r="F579" t="s">
        <v>1909</v>
      </c>
      <c r="G579" t="s">
        <v>1338</v>
      </c>
      <c r="H579" t="s">
        <v>2055</v>
      </c>
      <c r="I579" t="s">
        <v>1911</v>
      </c>
      <c r="J579" t="s">
        <v>1912</v>
      </c>
      <c r="K579" t="s">
        <v>207</v>
      </c>
      <c r="Q579" s="3" t="s">
        <v>2056</v>
      </c>
    </row>
    <row r="580" spans="1:17" ht="15.6" x14ac:dyDescent="0.3">
      <c r="A580" s="2">
        <v>46194</v>
      </c>
      <c r="B580">
        <v>61</v>
      </c>
      <c r="C580" t="s">
        <v>2057</v>
      </c>
      <c r="E580" s="2">
        <v>43280</v>
      </c>
      <c r="F580" t="s">
        <v>1909</v>
      </c>
      <c r="G580" t="s">
        <v>1338</v>
      </c>
      <c r="H580" t="s">
        <v>2058</v>
      </c>
      <c r="I580" t="s">
        <v>1911</v>
      </c>
      <c r="J580" t="s">
        <v>1912</v>
      </c>
      <c r="K580" t="s">
        <v>207</v>
      </c>
      <c r="Q580" s="3" t="s">
        <v>2056</v>
      </c>
    </row>
    <row r="581" spans="1:17" ht="15.6" x14ac:dyDescent="0.3">
      <c r="A581" s="2">
        <v>46194</v>
      </c>
      <c r="B581">
        <v>60</v>
      </c>
      <c r="C581" t="s">
        <v>2059</v>
      </c>
      <c r="E581" s="2">
        <v>43199</v>
      </c>
      <c r="F581" t="s">
        <v>2060</v>
      </c>
      <c r="G581" t="s">
        <v>1338</v>
      </c>
      <c r="H581" t="s">
        <v>2061</v>
      </c>
      <c r="I581" t="s">
        <v>1911</v>
      </c>
      <c r="J581" t="s">
        <v>1912</v>
      </c>
      <c r="K581" t="s">
        <v>207</v>
      </c>
      <c r="N581" t="s">
        <v>31</v>
      </c>
      <c r="O581" t="s">
        <v>29</v>
      </c>
      <c r="Q581" s="3" t="s">
        <v>2062</v>
      </c>
    </row>
    <row r="582" spans="1:17" ht="15.6" x14ac:dyDescent="0.3">
      <c r="A582" s="2">
        <v>46194</v>
      </c>
      <c r="B582">
        <v>59</v>
      </c>
      <c r="C582" t="s">
        <v>2063</v>
      </c>
      <c r="E582" s="2">
        <v>43157</v>
      </c>
      <c r="F582" t="s">
        <v>1909</v>
      </c>
      <c r="G582" t="s">
        <v>1338</v>
      </c>
      <c r="H582" t="s">
        <v>2064</v>
      </c>
      <c r="I582" t="s">
        <v>1911</v>
      </c>
      <c r="J582" t="s">
        <v>1912</v>
      </c>
      <c r="K582" t="s">
        <v>207</v>
      </c>
      <c r="N582" t="s">
        <v>31</v>
      </c>
      <c r="O582" t="s">
        <v>29</v>
      </c>
      <c r="Q582" s="3" t="s">
        <v>2065</v>
      </c>
    </row>
    <row r="583" spans="1:17" ht="15.6" x14ac:dyDescent="0.3">
      <c r="A583" s="2">
        <v>46194</v>
      </c>
      <c r="B583">
        <v>58</v>
      </c>
      <c r="C583" t="s">
        <v>2066</v>
      </c>
      <c r="E583" s="2">
        <v>43157</v>
      </c>
      <c r="F583" t="s">
        <v>1909</v>
      </c>
      <c r="G583" t="s">
        <v>1338</v>
      </c>
      <c r="H583" t="s">
        <v>2067</v>
      </c>
      <c r="I583" t="s">
        <v>1911</v>
      </c>
      <c r="J583" t="s">
        <v>1912</v>
      </c>
      <c r="K583" t="s">
        <v>207</v>
      </c>
      <c r="N583" t="s">
        <v>31</v>
      </c>
      <c r="O583" t="s">
        <v>29</v>
      </c>
      <c r="Q583" s="3" t="s">
        <v>2068</v>
      </c>
    </row>
    <row r="584" spans="1:17" ht="15.6" x14ac:dyDescent="0.3">
      <c r="A584" s="2">
        <v>46194</v>
      </c>
      <c r="B584">
        <v>57</v>
      </c>
      <c r="C584" t="s">
        <v>2069</v>
      </c>
      <c r="E584" s="2">
        <v>43042</v>
      </c>
      <c r="F584" t="s">
        <v>1909</v>
      </c>
      <c r="G584" t="s">
        <v>1338</v>
      </c>
      <c r="H584" t="s">
        <v>2070</v>
      </c>
      <c r="I584" t="s">
        <v>1911</v>
      </c>
      <c r="J584" t="s">
        <v>1912</v>
      </c>
      <c r="K584" t="s">
        <v>207</v>
      </c>
      <c r="Q584" s="3" t="s">
        <v>2071</v>
      </c>
    </row>
    <row r="585" spans="1:17" ht="15.6" x14ac:dyDescent="0.3">
      <c r="A585" s="2">
        <v>46194</v>
      </c>
      <c r="B585">
        <v>56</v>
      </c>
      <c r="C585" t="s">
        <v>2072</v>
      </c>
      <c r="E585" s="2">
        <v>42772</v>
      </c>
      <c r="F585" t="s">
        <v>1909</v>
      </c>
      <c r="G585" t="s">
        <v>1338</v>
      </c>
      <c r="H585" t="s">
        <v>2073</v>
      </c>
      <c r="I585" t="s">
        <v>1911</v>
      </c>
      <c r="J585" t="s">
        <v>1912</v>
      </c>
      <c r="K585" t="s">
        <v>207</v>
      </c>
      <c r="Q585" s="3" t="s">
        <v>2074</v>
      </c>
    </row>
    <row r="586" spans="1:17" x14ac:dyDescent="0.3">
      <c r="A586" s="2">
        <v>46194</v>
      </c>
      <c r="B586">
        <v>55</v>
      </c>
      <c r="C586" t="s">
        <v>795</v>
      </c>
      <c r="E586" s="2">
        <v>46219</v>
      </c>
      <c r="F586" t="s">
        <v>1652</v>
      </c>
      <c r="G586" t="s">
        <v>1338</v>
      </c>
      <c r="H586" t="s">
        <v>796</v>
      </c>
      <c r="I586" t="s">
        <v>1654</v>
      </c>
      <c r="J586" t="s">
        <v>1655</v>
      </c>
      <c r="K586" t="s">
        <v>184</v>
      </c>
      <c r="N586" t="s">
        <v>31</v>
      </c>
      <c r="O586" t="s">
        <v>31</v>
      </c>
    </row>
    <row r="587" spans="1:17" x14ac:dyDescent="0.3">
      <c r="A587" s="2">
        <v>46194</v>
      </c>
      <c r="B587">
        <v>54</v>
      </c>
      <c r="C587" t="s">
        <v>1044</v>
      </c>
      <c r="E587" s="2">
        <v>46213</v>
      </c>
      <c r="F587" t="s">
        <v>1652</v>
      </c>
      <c r="G587" t="s">
        <v>1338</v>
      </c>
      <c r="H587" t="s">
        <v>1045</v>
      </c>
      <c r="I587" t="s">
        <v>1654</v>
      </c>
      <c r="J587" t="s">
        <v>1655</v>
      </c>
      <c r="K587" t="s">
        <v>184</v>
      </c>
      <c r="N587" t="s">
        <v>31</v>
      </c>
      <c r="O587" t="s">
        <v>31</v>
      </c>
    </row>
    <row r="588" spans="1:17" x14ac:dyDescent="0.3">
      <c r="A588" s="2">
        <v>46194</v>
      </c>
      <c r="B588">
        <v>53</v>
      </c>
      <c r="C588" t="s">
        <v>1651</v>
      </c>
      <c r="E588" s="2">
        <v>46210</v>
      </c>
      <c r="F588" t="s">
        <v>1652</v>
      </c>
      <c r="G588" t="s">
        <v>1338</v>
      </c>
      <c r="H588" t="s">
        <v>1653</v>
      </c>
      <c r="I588" t="s">
        <v>1654</v>
      </c>
      <c r="J588" t="s">
        <v>1655</v>
      </c>
      <c r="K588" t="s">
        <v>184</v>
      </c>
      <c r="N588" t="s">
        <v>31</v>
      </c>
      <c r="O588" t="s">
        <v>31</v>
      </c>
    </row>
    <row r="589" spans="1:17" x14ac:dyDescent="0.3">
      <c r="A589" s="2">
        <v>46194</v>
      </c>
      <c r="B589">
        <v>52</v>
      </c>
      <c r="C589" t="s">
        <v>1656</v>
      </c>
      <c r="E589" s="2">
        <v>46209</v>
      </c>
      <c r="F589" t="s">
        <v>1652</v>
      </c>
      <c r="G589" t="s">
        <v>1338</v>
      </c>
      <c r="H589" t="s">
        <v>1657</v>
      </c>
      <c r="I589" t="s">
        <v>1654</v>
      </c>
      <c r="J589" t="s">
        <v>1655</v>
      </c>
      <c r="K589" t="s">
        <v>184</v>
      </c>
      <c r="N589" t="s">
        <v>31</v>
      </c>
      <c r="O589" t="s">
        <v>31</v>
      </c>
    </row>
    <row r="590" spans="1:17" x14ac:dyDescent="0.3">
      <c r="A590" s="2">
        <v>46194</v>
      </c>
      <c r="B590">
        <v>51</v>
      </c>
      <c r="C590" t="s">
        <v>1658</v>
      </c>
      <c r="E590" s="2">
        <v>46199</v>
      </c>
      <c r="F590" t="s">
        <v>1652</v>
      </c>
      <c r="G590" t="s">
        <v>1338</v>
      </c>
      <c r="H590" t="s">
        <v>1659</v>
      </c>
      <c r="I590" t="s">
        <v>1654</v>
      </c>
      <c r="J590" t="s">
        <v>1655</v>
      </c>
      <c r="K590" t="s">
        <v>184</v>
      </c>
      <c r="N590" t="s">
        <v>31</v>
      </c>
    </row>
    <row r="591" spans="1:17" x14ac:dyDescent="0.3">
      <c r="A591" s="2">
        <v>46194</v>
      </c>
      <c r="B591">
        <v>50</v>
      </c>
      <c r="C591" t="s">
        <v>1660</v>
      </c>
      <c r="E591" s="2">
        <v>46199</v>
      </c>
      <c r="F591" t="s">
        <v>1652</v>
      </c>
      <c r="G591" t="s">
        <v>1338</v>
      </c>
      <c r="H591" t="s">
        <v>1661</v>
      </c>
      <c r="I591" t="s">
        <v>1654</v>
      </c>
      <c r="J591" t="s">
        <v>1655</v>
      </c>
      <c r="K591" t="s">
        <v>184</v>
      </c>
      <c r="N591" t="s">
        <v>31</v>
      </c>
    </row>
    <row r="592" spans="1:17" ht="15.6" x14ac:dyDescent="0.3">
      <c r="A592" s="2">
        <v>46194</v>
      </c>
      <c r="B592">
        <v>49</v>
      </c>
      <c r="G592" t="s">
        <v>1338</v>
      </c>
      <c r="H592" t="s">
        <v>1662</v>
      </c>
      <c r="I592" t="s">
        <v>1663</v>
      </c>
      <c r="J592" t="s">
        <v>1664</v>
      </c>
      <c r="K592" t="s">
        <v>150</v>
      </c>
      <c r="Q592" s="3" t="s">
        <v>1665</v>
      </c>
    </row>
    <row r="593" spans="1:17" ht="15.6" x14ac:dyDescent="0.3">
      <c r="A593" s="2">
        <v>46194</v>
      </c>
      <c r="B593">
        <v>48</v>
      </c>
      <c r="E593" s="2">
        <v>46197</v>
      </c>
      <c r="G593" t="s">
        <v>1338</v>
      </c>
      <c r="H593" t="s">
        <v>1666</v>
      </c>
      <c r="I593" t="s">
        <v>1667</v>
      </c>
      <c r="J593" t="s">
        <v>405</v>
      </c>
      <c r="K593" t="s">
        <v>150</v>
      </c>
      <c r="Q593" s="3" t="s">
        <v>1668</v>
      </c>
    </row>
    <row r="594" spans="1:17" ht="15.6" x14ac:dyDescent="0.3">
      <c r="A594" s="2">
        <v>46194</v>
      </c>
      <c r="B594">
        <v>47</v>
      </c>
      <c r="E594" s="2">
        <v>46197</v>
      </c>
      <c r="G594" t="s">
        <v>1338</v>
      </c>
      <c r="H594" t="s">
        <v>1669</v>
      </c>
      <c r="I594" t="s">
        <v>1667</v>
      </c>
      <c r="J594" t="s">
        <v>405</v>
      </c>
      <c r="K594" t="s">
        <v>150</v>
      </c>
      <c r="Q594" s="3" t="s">
        <v>1670</v>
      </c>
    </row>
    <row r="595" spans="1:17" ht="15.6" x14ac:dyDescent="0.3">
      <c r="A595" s="2">
        <v>46194</v>
      </c>
      <c r="B595">
        <v>46</v>
      </c>
      <c r="E595" s="2">
        <v>46197</v>
      </c>
      <c r="G595" t="s">
        <v>1338</v>
      </c>
      <c r="H595" t="s">
        <v>1671</v>
      </c>
      <c r="I595" t="s">
        <v>1667</v>
      </c>
      <c r="J595" t="s">
        <v>405</v>
      </c>
      <c r="K595" t="s">
        <v>150</v>
      </c>
      <c r="Q595" s="3" t="s">
        <v>1672</v>
      </c>
    </row>
    <row r="596" spans="1:17" ht="15.6" x14ac:dyDescent="0.3">
      <c r="A596" s="2">
        <v>46194</v>
      </c>
      <c r="B596">
        <v>45</v>
      </c>
      <c r="E596" s="2">
        <v>46197</v>
      </c>
      <c r="G596" t="s">
        <v>1338</v>
      </c>
      <c r="H596" t="s">
        <v>1673</v>
      </c>
      <c r="I596" t="s">
        <v>1667</v>
      </c>
      <c r="J596" t="s">
        <v>405</v>
      </c>
      <c r="K596" t="s">
        <v>150</v>
      </c>
      <c r="Q596" s="3" t="s">
        <v>1674</v>
      </c>
    </row>
    <row r="597" spans="1:17" ht="15.6" x14ac:dyDescent="0.3">
      <c r="A597" s="2">
        <v>46194</v>
      </c>
      <c r="B597">
        <v>44</v>
      </c>
      <c r="E597" s="2">
        <v>46199</v>
      </c>
      <c r="G597" t="s">
        <v>1338</v>
      </c>
      <c r="H597" t="s">
        <v>1675</v>
      </c>
      <c r="I597" t="s">
        <v>1667</v>
      </c>
      <c r="J597" t="s">
        <v>405</v>
      </c>
      <c r="K597" t="s">
        <v>150</v>
      </c>
      <c r="Q597" s="3" t="s">
        <v>1676</v>
      </c>
    </row>
    <row r="598" spans="1:17" ht="15.6" x14ac:dyDescent="0.3">
      <c r="A598" s="2">
        <v>46194</v>
      </c>
      <c r="B598">
        <v>43</v>
      </c>
      <c r="E598" s="2">
        <v>46199</v>
      </c>
      <c r="G598" t="s">
        <v>1338</v>
      </c>
      <c r="H598" t="s">
        <v>1677</v>
      </c>
      <c r="I598" t="s">
        <v>1667</v>
      </c>
      <c r="J598" t="s">
        <v>405</v>
      </c>
      <c r="K598" t="s">
        <v>150</v>
      </c>
      <c r="Q598" s="3" t="s">
        <v>1678</v>
      </c>
    </row>
    <row r="599" spans="1:17" ht="15.6" x14ac:dyDescent="0.3">
      <c r="A599" s="2">
        <v>46194</v>
      </c>
      <c r="B599">
        <v>42</v>
      </c>
      <c r="E599" s="2">
        <v>46199</v>
      </c>
      <c r="G599" t="s">
        <v>1338</v>
      </c>
      <c r="H599" t="s">
        <v>1679</v>
      </c>
      <c r="I599" t="s">
        <v>1667</v>
      </c>
      <c r="J599" t="s">
        <v>405</v>
      </c>
      <c r="K599" t="s">
        <v>150</v>
      </c>
      <c r="Q599" s="3" t="s">
        <v>1680</v>
      </c>
    </row>
    <row r="600" spans="1:17" ht="15.6" x14ac:dyDescent="0.3">
      <c r="A600" s="2">
        <v>46194</v>
      </c>
      <c r="B600">
        <v>41</v>
      </c>
      <c r="E600" s="2">
        <v>46203</v>
      </c>
      <c r="G600" t="s">
        <v>1338</v>
      </c>
      <c r="H600" t="s">
        <v>1681</v>
      </c>
      <c r="I600" t="s">
        <v>1667</v>
      </c>
      <c r="J600" t="s">
        <v>405</v>
      </c>
      <c r="K600" t="s">
        <v>150</v>
      </c>
      <c r="Q600" s="3" t="s">
        <v>1682</v>
      </c>
    </row>
    <row r="601" spans="1:17" ht="15.6" x14ac:dyDescent="0.3">
      <c r="A601" s="2">
        <v>46194</v>
      </c>
      <c r="B601">
        <v>40</v>
      </c>
      <c r="E601" s="2">
        <v>46203</v>
      </c>
      <c r="G601" t="s">
        <v>1338</v>
      </c>
      <c r="H601" t="s">
        <v>1683</v>
      </c>
      <c r="I601" t="s">
        <v>1667</v>
      </c>
      <c r="J601" t="s">
        <v>405</v>
      </c>
      <c r="K601" t="s">
        <v>150</v>
      </c>
      <c r="Q601" s="3" t="s">
        <v>1684</v>
      </c>
    </row>
    <row r="602" spans="1:17" ht="15.6" x14ac:dyDescent="0.3">
      <c r="A602" s="2">
        <v>46194</v>
      </c>
      <c r="B602">
        <v>39</v>
      </c>
      <c r="E602" s="2">
        <v>46203</v>
      </c>
      <c r="G602" t="s">
        <v>1338</v>
      </c>
      <c r="H602" t="s">
        <v>1685</v>
      </c>
      <c r="I602" t="s">
        <v>1667</v>
      </c>
      <c r="J602" t="s">
        <v>405</v>
      </c>
      <c r="K602" t="s">
        <v>150</v>
      </c>
      <c r="Q602" s="3" t="s">
        <v>1686</v>
      </c>
    </row>
    <row r="603" spans="1:17" ht="15.6" x14ac:dyDescent="0.3">
      <c r="A603" s="2">
        <v>46194</v>
      </c>
      <c r="B603">
        <v>38</v>
      </c>
      <c r="E603" s="2">
        <v>46211</v>
      </c>
      <c r="G603" t="s">
        <v>1338</v>
      </c>
      <c r="H603" t="s">
        <v>1687</v>
      </c>
      <c r="I603" t="s">
        <v>1667</v>
      </c>
      <c r="J603" t="s">
        <v>405</v>
      </c>
      <c r="K603" t="s">
        <v>150</v>
      </c>
      <c r="Q603" s="3" t="s">
        <v>1688</v>
      </c>
    </row>
    <row r="604" spans="1:17" ht="15.6" x14ac:dyDescent="0.3">
      <c r="A604" s="2">
        <v>46194</v>
      </c>
      <c r="B604">
        <v>37</v>
      </c>
      <c r="E604" s="2">
        <v>46211</v>
      </c>
      <c r="G604" t="s">
        <v>1338</v>
      </c>
      <c r="H604" t="s">
        <v>1689</v>
      </c>
      <c r="I604" t="s">
        <v>1667</v>
      </c>
      <c r="J604" t="s">
        <v>405</v>
      </c>
      <c r="K604" t="s">
        <v>150</v>
      </c>
      <c r="Q604" s="3" t="s">
        <v>1690</v>
      </c>
    </row>
    <row r="605" spans="1:17" ht="15.6" x14ac:dyDescent="0.3">
      <c r="A605" s="2">
        <v>46194</v>
      </c>
      <c r="B605">
        <v>36</v>
      </c>
      <c r="E605" s="2">
        <v>46211</v>
      </c>
      <c r="G605" t="s">
        <v>1338</v>
      </c>
      <c r="H605" t="s">
        <v>1691</v>
      </c>
      <c r="I605" t="s">
        <v>1667</v>
      </c>
      <c r="J605" t="s">
        <v>405</v>
      </c>
      <c r="K605" t="s">
        <v>150</v>
      </c>
      <c r="Q605" s="3" t="s">
        <v>1692</v>
      </c>
    </row>
    <row r="606" spans="1:17" ht="15.6" x14ac:dyDescent="0.3">
      <c r="A606" s="2">
        <v>46194</v>
      </c>
      <c r="B606">
        <v>35</v>
      </c>
      <c r="E606" s="2">
        <v>46201</v>
      </c>
      <c r="G606" t="s">
        <v>1338</v>
      </c>
      <c r="H606" t="s">
        <v>1693</v>
      </c>
      <c r="I606" t="s">
        <v>1667</v>
      </c>
      <c r="J606" t="s">
        <v>405</v>
      </c>
      <c r="K606" t="s">
        <v>150</v>
      </c>
      <c r="Q606" s="3" t="s">
        <v>1694</v>
      </c>
    </row>
    <row r="607" spans="1:17" ht="15.6" x14ac:dyDescent="0.3">
      <c r="A607" s="2">
        <v>46194</v>
      </c>
      <c r="B607">
        <v>34</v>
      </c>
      <c r="E607" s="2">
        <v>46201</v>
      </c>
      <c r="G607" t="s">
        <v>1338</v>
      </c>
      <c r="H607" t="s">
        <v>1695</v>
      </c>
      <c r="I607" t="s">
        <v>1667</v>
      </c>
      <c r="J607" t="s">
        <v>405</v>
      </c>
      <c r="K607" t="s">
        <v>150</v>
      </c>
      <c r="Q607" s="3" t="s">
        <v>1696</v>
      </c>
    </row>
    <row r="608" spans="1:17" ht="15.6" x14ac:dyDescent="0.3">
      <c r="A608" s="2">
        <v>46194</v>
      </c>
      <c r="B608">
        <v>33</v>
      </c>
      <c r="E608" s="2">
        <v>46201</v>
      </c>
      <c r="G608" t="s">
        <v>1338</v>
      </c>
      <c r="H608" t="s">
        <v>1697</v>
      </c>
      <c r="I608" t="s">
        <v>1667</v>
      </c>
      <c r="J608" t="s">
        <v>405</v>
      </c>
      <c r="K608" t="s">
        <v>150</v>
      </c>
      <c r="Q608" s="3" t="s">
        <v>1698</v>
      </c>
    </row>
    <row r="609" spans="1:17" ht="15.6" x14ac:dyDescent="0.3">
      <c r="A609" s="2">
        <v>46194</v>
      </c>
      <c r="B609">
        <v>32</v>
      </c>
      <c r="E609" s="2">
        <v>46200</v>
      </c>
      <c r="G609" t="s">
        <v>1338</v>
      </c>
      <c r="H609" t="s">
        <v>1699</v>
      </c>
      <c r="I609" t="s">
        <v>1667</v>
      </c>
      <c r="J609" t="s">
        <v>405</v>
      </c>
      <c r="K609" t="s">
        <v>150</v>
      </c>
      <c r="Q609" s="3" t="s">
        <v>1700</v>
      </c>
    </row>
    <row r="610" spans="1:17" ht="15.6" x14ac:dyDescent="0.3">
      <c r="A610" s="2">
        <v>46194</v>
      </c>
      <c r="B610">
        <v>31</v>
      </c>
      <c r="E610" s="2">
        <v>46197</v>
      </c>
      <c r="G610" t="s">
        <v>1338</v>
      </c>
      <c r="H610" t="s">
        <v>1701</v>
      </c>
      <c r="I610" t="s">
        <v>1667</v>
      </c>
      <c r="J610" t="s">
        <v>405</v>
      </c>
      <c r="K610" t="s">
        <v>150</v>
      </c>
      <c r="Q610" s="3" t="s">
        <v>1702</v>
      </c>
    </row>
    <row r="611" spans="1:17" ht="15.6" x14ac:dyDescent="0.3">
      <c r="A611" s="2">
        <v>46194</v>
      </c>
      <c r="B611">
        <v>30</v>
      </c>
      <c r="E611" s="2">
        <v>46129</v>
      </c>
      <c r="G611" t="s">
        <v>1338</v>
      </c>
      <c r="H611" t="s">
        <v>2075</v>
      </c>
      <c r="I611" t="s">
        <v>1667</v>
      </c>
      <c r="J611" t="s">
        <v>405</v>
      </c>
      <c r="K611" t="s">
        <v>150</v>
      </c>
      <c r="Q611" s="3" t="s">
        <v>2076</v>
      </c>
    </row>
    <row r="612" spans="1:17" ht="15.6" x14ac:dyDescent="0.3">
      <c r="A612" s="2">
        <v>46194</v>
      </c>
      <c r="B612">
        <v>29</v>
      </c>
      <c r="E612" s="2">
        <v>46129</v>
      </c>
      <c r="G612" t="s">
        <v>1338</v>
      </c>
      <c r="H612" t="s">
        <v>2077</v>
      </c>
      <c r="I612" t="s">
        <v>1667</v>
      </c>
      <c r="J612" t="s">
        <v>405</v>
      </c>
      <c r="K612" t="s">
        <v>150</v>
      </c>
      <c r="Q612" s="3" t="s">
        <v>2078</v>
      </c>
    </row>
    <row r="613" spans="1:17" ht="15.6" x14ac:dyDescent="0.3">
      <c r="A613" s="2">
        <v>46194</v>
      </c>
      <c r="B613">
        <v>28</v>
      </c>
      <c r="E613" s="2">
        <v>46068</v>
      </c>
      <c r="G613" t="s">
        <v>1338</v>
      </c>
      <c r="H613" t="s">
        <v>2079</v>
      </c>
      <c r="I613" t="s">
        <v>1667</v>
      </c>
      <c r="J613" t="s">
        <v>405</v>
      </c>
      <c r="K613" t="s">
        <v>150</v>
      </c>
      <c r="Q613" s="3" t="s">
        <v>2080</v>
      </c>
    </row>
    <row r="614" spans="1:17" ht="15.6" x14ac:dyDescent="0.3">
      <c r="A614" s="2">
        <v>46194</v>
      </c>
      <c r="B614">
        <v>27</v>
      </c>
      <c r="E614" s="2">
        <v>46068</v>
      </c>
      <c r="G614" t="s">
        <v>1338</v>
      </c>
      <c r="H614" t="s">
        <v>2081</v>
      </c>
      <c r="I614" t="s">
        <v>1667</v>
      </c>
      <c r="J614" t="s">
        <v>405</v>
      </c>
      <c r="K614" t="s">
        <v>150</v>
      </c>
      <c r="Q614" s="3" t="s">
        <v>2082</v>
      </c>
    </row>
    <row r="615" spans="1:17" ht="15.6" x14ac:dyDescent="0.3">
      <c r="A615" s="2">
        <v>46194</v>
      </c>
      <c r="B615">
        <v>26</v>
      </c>
      <c r="E615" s="2">
        <v>46068</v>
      </c>
      <c r="G615" t="s">
        <v>1338</v>
      </c>
      <c r="H615" t="s">
        <v>2083</v>
      </c>
      <c r="I615" t="s">
        <v>1667</v>
      </c>
      <c r="J615" t="s">
        <v>405</v>
      </c>
      <c r="K615" t="s">
        <v>150</v>
      </c>
      <c r="Q615" s="3" t="s">
        <v>2084</v>
      </c>
    </row>
    <row r="616" spans="1:17" ht="15.6" x14ac:dyDescent="0.3">
      <c r="A616" s="2">
        <v>46194</v>
      </c>
      <c r="B616">
        <v>25</v>
      </c>
      <c r="E616" s="2">
        <v>46067</v>
      </c>
      <c r="G616" t="s">
        <v>1338</v>
      </c>
      <c r="H616" t="s">
        <v>2085</v>
      </c>
      <c r="I616" t="s">
        <v>1667</v>
      </c>
      <c r="J616" t="s">
        <v>405</v>
      </c>
      <c r="K616" t="s">
        <v>150</v>
      </c>
      <c r="Q616" s="3" t="s">
        <v>2086</v>
      </c>
    </row>
    <row r="617" spans="1:17" ht="15.6" x14ac:dyDescent="0.3">
      <c r="A617" s="2">
        <v>46194</v>
      </c>
      <c r="B617">
        <v>24</v>
      </c>
      <c r="E617" s="2">
        <v>46060</v>
      </c>
      <c r="G617" t="s">
        <v>1338</v>
      </c>
      <c r="H617" t="s">
        <v>2087</v>
      </c>
      <c r="I617" t="s">
        <v>1667</v>
      </c>
      <c r="J617" t="s">
        <v>405</v>
      </c>
      <c r="K617" t="s">
        <v>150</v>
      </c>
      <c r="Q617" s="3" t="s">
        <v>2088</v>
      </c>
    </row>
    <row r="618" spans="1:17" ht="15.6" x14ac:dyDescent="0.3">
      <c r="A618" s="2">
        <v>46194</v>
      </c>
      <c r="B618">
        <v>23</v>
      </c>
      <c r="E618" s="2">
        <v>45997</v>
      </c>
      <c r="G618" t="s">
        <v>1338</v>
      </c>
      <c r="H618" t="s">
        <v>2089</v>
      </c>
      <c r="I618" t="s">
        <v>1667</v>
      </c>
      <c r="J618" t="s">
        <v>405</v>
      </c>
      <c r="K618" t="s">
        <v>150</v>
      </c>
      <c r="Q618" s="3" t="s">
        <v>2090</v>
      </c>
    </row>
    <row r="619" spans="1:17" ht="15.6" x14ac:dyDescent="0.3">
      <c r="A619" s="2">
        <v>46194</v>
      </c>
      <c r="B619">
        <v>22</v>
      </c>
      <c r="E619" s="2">
        <v>45982</v>
      </c>
      <c r="G619" t="s">
        <v>1338</v>
      </c>
      <c r="H619" t="s">
        <v>2091</v>
      </c>
      <c r="I619" t="s">
        <v>1667</v>
      </c>
      <c r="J619" t="s">
        <v>405</v>
      </c>
      <c r="K619" t="s">
        <v>150</v>
      </c>
      <c r="Q619" s="3" t="s">
        <v>2092</v>
      </c>
    </row>
    <row r="620" spans="1:17" ht="15.6" x14ac:dyDescent="0.3">
      <c r="A620" s="2">
        <v>46194</v>
      </c>
      <c r="B620">
        <v>21</v>
      </c>
      <c r="E620" s="2">
        <v>46131</v>
      </c>
      <c r="G620" t="s">
        <v>1338</v>
      </c>
      <c r="H620" t="s">
        <v>2093</v>
      </c>
      <c r="I620" t="s">
        <v>1667</v>
      </c>
      <c r="J620" t="s">
        <v>405</v>
      </c>
      <c r="K620" t="s">
        <v>150</v>
      </c>
      <c r="Q620" s="3" t="s">
        <v>2094</v>
      </c>
    </row>
    <row r="621" spans="1:17" ht="15.6" x14ac:dyDescent="0.3">
      <c r="A621" s="2">
        <v>46194</v>
      </c>
      <c r="B621">
        <v>20</v>
      </c>
      <c r="E621" s="2">
        <v>46131</v>
      </c>
      <c r="G621" t="s">
        <v>1338</v>
      </c>
      <c r="H621" t="s">
        <v>2095</v>
      </c>
      <c r="I621" t="s">
        <v>1667</v>
      </c>
      <c r="J621" t="s">
        <v>405</v>
      </c>
      <c r="K621" t="s">
        <v>150</v>
      </c>
      <c r="Q621" s="3" t="s">
        <v>2096</v>
      </c>
    </row>
    <row r="622" spans="1:17" ht="15.6" x14ac:dyDescent="0.3">
      <c r="A622" s="2">
        <v>46194</v>
      </c>
      <c r="B622">
        <v>19</v>
      </c>
      <c r="E622" s="2">
        <v>45759</v>
      </c>
      <c r="G622" t="s">
        <v>1338</v>
      </c>
      <c r="H622" t="s">
        <v>2097</v>
      </c>
      <c r="I622" t="s">
        <v>1667</v>
      </c>
      <c r="J622" t="s">
        <v>405</v>
      </c>
      <c r="K622" t="s">
        <v>150</v>
      </c>
      <c r="Q622" s="3" t="s">
        <v>2098</v>
      </c>
    </row>
    <row r="623" spans="1:17" ht="15.6" x14ac:dyDescent="0.3">
      <c r="A623" s="2">
        <v>46194</v>
      </c>
      <c r="B623">
        <v>18</v>
      </c>
      <c r="E623" s="2">
        <v>46171</v>
      </c>
      <c r="G623" t="s">
        <v>1338</v>
      </c>
      <c r="H623" t="s">
        <v>2099</v>
      </c>
      <c r="I623" t="s">
        <v>1667</v>
      </c>
      <c r="J623" t="s">
        <v>405</v>
      </c>
      <c r="K623" t="s">
        <v>150</v>
      </c>
      <c r="Q623" s="3" t="s">
        <v>2100</v>
      </c>
    </row>
    <row r="624" spans="1:17" ht="15.6" x14ac:dyDescent="0.3">
      <c r="A624" s="2">
        <v>46194</v>
      </c>
      <c r="B624">
        <v>17</v>
      </c>
      <c r="E624" s="2">
        <v>45945</v>
      </c>
      <c r="G624" t="s">
        <v>1338</v>
      </c>
      <c r="H624" t="s">
        <v>2101</v>
      </c>
      <c r="I624" t="s">
        <v>1667</v>
      </c>
      <c r="J624" t="s">
        <v>405</v>
      </c>
      <c r="K624" t="s">
        <v>150</v>
      </c>
      <c r="Q624" s="3" t="s">
        <v>2102</v>
      </c>
    </row>
    <row r="625" spans="1:17" ht="15.6" x14ac:dyDescent="0.3">
      <c r="A625" s="2">
        <v>46194</v>
      </c>
      <c r="B625">
        <v>16</v>
      </c>
      <c r="E625" s="2">
        <v>45945</v>
      </c>
      <c r="G625" t="s">
        <v>1338</v>
      </c>
      <c r="H625" t="s">
        <v>2103</v>
      </c>
      <c r="I625" t="s">
        <v>1667</v>
      </c>
      <c r="J625" t="s">
        <v>405</v>
      </c>
      <c r="K625" t="s">
        <v>150</v>
      </c>
      <c r="Q625" s="3" t="s">
        <v>2104</v>
      </c>
    </row>
    <row r="626" spans="1:17" ht="15.6" x14ac:dyDescent="0.3">
      <c r="A626" s="2">
        <v>46194</v>
      </c>
      <c r="B626">
        <v>15</v>
      </c>
      <c r="E626" s="2">
        <v>45945</v>
      </c>
      <c r="G626" t="s">
        <v>1338</v>
      </c>
      <c r="H626" t="s">
        <v>2105</v>
      </c>
      <c r="I626" t="s">
        <v>1667</v>
      </c>
      <c r="J626" t="s">
        <v>405</v>
      </c>
      <c r="K626" t="s">
        <v>150</v>
      </c>
      <c r="Q626" s="3" t="s">
        <v>2106</v>
      </c>
    </row>
    <row r="627" spans="1:17" ht="15.6" x14ac:dyDescent="0.3">
      <c r="A627" s="2">
        <v>46194</v>
      </c>
      <c r="B627">
        <v>14</v>
      </c>
      <c r="E627" s="2">
        <v>45945</v>
      </c>
      <c r="G627" t="s">
        <v>1338</v>
      </c>
      <c r="H627" t="s">
        <v>2107</v>
      </c>
      <c r="I627" t="s">
        <v>1667</v>
      </c>
      <c r="J627" t="s">
        <v>405</v>
      </c>
      <c r="K627" t="s">
        <v>150</v>
      </c>
      <c r="Q627" s="3" t="s">
        <v>2108</v>
      </c>
    </row>
    <row r="628" spans="1:17" ht="15.6" x14ac:dyDescent="0.3">
      <c r="A628" s="2">
        <v>46194</v>
      </c>
      <c r="B628">
        <v>13</v>
      </c>
      <c r="E628" s="2">
        <v>45945</v>
      </c>
      <c r="G628" t="s">
        <v>1338</v>
      </c>
      <c r="H628" t="s">
        <v>2109</v>
      </c>
      <c r="I628" t="s">
        <v>1667</v>
      </c>
      <c r="J628" t="s">
        <v>405</v>
      </c>
      <c r="K628" t="s">
        <v>150</v>
      </c>
      <c r="Q628" s="3" t="s">
        <v>2110</v>
      </c>
    </row>
    <row r="629" spans="1:17" ht="15.6" x14ac:dyDescent="0.3">
      <c r="A629" s="2">
        <v>46194</v>
      </c>
      <c r="B629">
        <v>12</v>
      </c>
      <c r="E629" s="2">
        <v>45945</v>
      </c>
      <c r="G629" t="s">
        <v>1338</v>
      </c>
      <c r="H629" t="s">
        <v>2111</v>
      </c>
      <c r="I629" t="s">
        <v>1667</v>
      </c>
      <c r="J629" t="s">
        <v>405</v>
      </c>
      <c r="K629" t="s">
        <v>150</v>
      </c>
      <c r="Q629" s="3" t="s">
        <v>2112</v>
      </c>
    </row>
    <row r="630" spans="1:17" ht="15.6" x14ac:dyDescent="0.3">
      <c r="A630" s="2">
        <v>46194</v>
      </c>
      <c r="B630">
        <v>11</v>
      </c>
      <c r="E630" s="2">
        <v>45945</v>
      </c>
      <c r="G630" t="s">
        <v>1338</v>
      </c>
      <c r="H630" t="s">
        <v>2113</v>
      </c>
      <c r="I630" t="s">
        <v>1667</v>
      </c>
      <c r="J630" t="s">
        <v>405</v>
      </c>
      <c r="K630" t="s">
        <v>150</v>
      </c>
      <c r="Q630" s="3" t="s">
        <v>2114</v>
      </c>
    </row>
    <row r="631" spans="1:17" ht="15.6" x14ac:dyDescent="0.3">
      <c r="A631" s="2">
        <v>46194</v>
      </c>
      <c r="B631">
        <v>10</v>
      </c>
      <c r="E631" s="2">
        <v>45945</v>
      </c>
      <c r="G631" t="s">
        <v>1338</v>
      </c>
      <c r="H631" t="s">
        <v>2115</v>
      </c>
      <c r="I631" t="s">
        <v>1667</v>
      </c>
      <c r="J631" t="s">
        <v>405</v>
      </c>
      <c r="K631" t="s">
        <v>150</v>
      </c>
      <c r="Q631" s="3" t="s">
        <v>2116</v>
      </c>
    </row>
    <row r="632" spans="1:17" ht="15.6" x14ac:dyDescent="0.3">
      <c r="A632" s="2">
        <v>46194</v>
      </c>
      <c r="B632">
        <v>9</v>
      </c>
      <c r="E632" s="2">
        <v>45945</v>
      </c>
      <c r="G632" t="s">
        <v>1338</v>
      </c>
      <c r="H632" t="s">
        <v>2117</v>
      </c>
      <c r="I632" t="s">
        <v>1667</v>
      </c>
      <c r="J632" t="s">
        <v>405</v>
      </c>
      <c r="K632" t="s">
        <v>150</v>
      </c>
      <c r="Q632" s="3" t="s">
        <v>2118</v>
      </c>
    </row>
    <row r="633" spans="1:17" ht="15.6" x14ac:dyDescent="0.3">
      <c r="A633" s="2">
        <v>46194</v>
      </c>
      <c r="B633">
        <v>8</v>
      </c>
      <c r="E633" s="2">
        <v>46200</v>
      </c>
      <c r="G633" t="s">
        <v>1338</v>
      </c>
      <c r="H633" t="s">
        <v>1703</v>
      </c>
      <c r="I633" t="s">
        <v>1667</v>
      </c>
      <c r="J633" t="s">
        <v>405</v>
      </c>
      <c r="K633" t="s">
        <v>150</v>
      </c>
      <c r="Q633" s="3" t="s">
        <v>1704</v>
      </c>
    </row>
    <row r="634" spans="1:17" ht="15.6" x14ac:dyDescent="0.3">
      <c r="A634" s="2">
        <v>46194</v>
      </c>
      <c r="B634">
        <v>7</v>
      </c>
      <c r="E634" s="2">
        <v>46200</v>
      </c>
      <c r="G634" t="s">
        <v>1338</v>
      </c>
      <c r="H634" t="s">
        <v>1705</v>
      </c>
      <c r="I634" t="s">
        <v>1667</v>
      </c>
      <c r="J634" t="s">
        <v>405</v>
      </c>
      <c r="K634" t="s">
        <v>150</v>
      </c>
      <c r="Q634" s="3" t="s">
        <v>1706</v>
      </c>
    </row>
    <row r="635" spans="1:17" ht="15.6" x14ac:dyDescent="0.3">
      <c r="A635" s="2">
        <v>46194</v>
      </c>
      <c r="B635">
        <v>6</v>
      </c>
      <c r="E635" s="2">
        <v>46200</v>
      </c>
      <c r="G635" t="s">
        <v>1338</v>
      </c>
      <c r="H635" t="s">
        <v>1707</v>
      </c>
      <c r="I635" t="s">
        <v>1667</v>
      </c>
      <c r="J635" t="s">
        <v>405</v>
      </c>
      <c r="K635" t="s">
        <v>150</v>
      </c>
      <c r="Q635" s="3" t="s">
        <v>1708</v>
      </c>
    </row>
    <row r="636" spans="1:17" ht="15.6" x14ac:dyDescent="0.3">
      <c r="A636" s="2">
        <v>46194</v>
      </c>
      <c r="B636">
        <v>5</v>
      </c>
      <c r="E636" s="2">
        <v>46191</v>
      </c>
      <c r="G636" t="s">
        <v>1338</v>
      </c>
      <c r="H636" t="s">
        <v>1709</v>
      </c>
      <c r="I636" t="s">
        <v>1667</v>
      </c>
      <c r="J636" t="s">
        <v>405</v>
      </c>
      <c r="K636" t="s">
        <v>150</v>
      </c>
      <c r="Q636" s="3" t="s">
        <v>1710</v>
      </c>
    </row>
    <row r="637" spans="1:17" ht="15.6" x14ac:dyDescent="0.3">
      <c r="A637" s="2">
        <v>46194</v>
      </c>
      <c r="B637">
        <v>4</v>
      </c>
      <c r="E637" s="2">
        <v>46172</v>
      </c>
      <c r="G637" t="s">
        <v>1338</v>
      </c>
      <c r="H637" t="s">
        <v>2119</v>
      </c>
      <c r="I637" t="s">
        <v>1667</v>
      </c>
      <c r="J637" t="s">
        <v>405</v>
      </c>
      <c r="K637" t="s">
        <v>150</v>
      </c>
      <c r="Q637" s="3" t="s">
        <v>2120</v>
      </c>
    </row>
    <row r="638" spans="1:17" ht="15.6" x14ac:dyDescent="0.3">
      <c r="A638" s="2">
        <v>46194</v>
      </c>
      <c r="B638">
        <v>3</v>
      </c>
      <c r="E638" s="2">
        <v>46039</v>
      </c>
      <c r="G638" t="s">
        <v>1338</v>
      </c>
      <c r="H638" t="s">
        <v>2121</v>
      </c>
      <c r="I638" t="s">
        <v>1667</v>
      </c>
      <c r="J638" t="s">
        <v>405</v>
      </c>
      <c r="K638" t="s">
        <v>150</v>
      </c>
      <c r="Q638" s="3" t="s">
        <v>2122</v>
      </c>
    </row>
    <row r="639" spans="1:17" ht="15.6" x14ac:dyDescent="0.3">
      <c r="A639" s="2">
        <v>46194</v>
      </c>
      <c r="B639">
        <v>2</v>
      </c>
      <c r="E639" s="2">
        <v>46026</v>
      </c>
      <c r="G639" t="s">
        <v>1338</v>
      </c>
      <c r="H639" t="s">
        <v>2123</v>
      </c>
      <c r="I639" t="s">
        <v>1667</v>
      </c>
      <c r="J639" t="s">
        <v>405</v>
      </c>
      <c r="K639" t="s">
        <v>150</v>
      </c>
      <c r="Q639" s="3" t="s">
        <v>2124</v>
      </c>
    </row>
    <row r="640" spans="1:17" ht="15.6" x14ac:dyDescent="0.3">
      <c r="A640" s="2">
        <v>46194</v>
      </c>
      <c r="B640">
        <v>1</v>
      </c>
      <c r="E640" s="2">
        <v>45995</v>
      </c>
      <c r="G640" t="s">
        <v>1338</v>
      </c>
      <c r="H640" t="s">
        <v>2125</v>
      </c>
      <c r="I640" t="s">
        <v>1667</v>
      </c>
      <c r="J640" t="s">
        <v>405</v>
      </c>
      <c r="K640" t="s">
        <v>150</v>
      </c>
      <c r="Q640" s="3" t="s">
        <v>2126</v>
      </c>
    </row>
  </sheetData>
  <hyperlinks>
    <hyperlink ref="Q2" r:id="rId1" xr:uid="{00000000-0004-0000-0200-000000000000}"/>
    <hyperlink ref="Q3" r:id="rId2" xr:uid="{00000000-0004-0000-0200-000001000000}"/>
    <hyperlink ref="Q4" r:id="rId3" xr:uid="{00000000-0004-0000-0200-000002000000}"/>
    <hyperlink ref="Q5" r:id="rId4" xr:uid="{00000000-0004-0000-0200-000003000000}"/>
    <hyperlink ref="Q6" r:id="rId5" xr:uid="{00000000-0004-0000-0200-000004000000}"/>
    <hyperlink ref="Q7" r:id="rId6" xr:uid="{00000000-0004-0000-0200-000005000000}"/>
    <hyperlink ref="Q8" r:id="rId7" xr:uid="{00000000-0004-0000-0200-000006000000}"/>
    <hyperlink ref="Q9" r:id="rId8" xr:uid="{00000000-0004-0000-0200-000007000000}"/>
    <hyperlink ref="Q10" r:id="rId9" xr:uid="{00000000-0004-0000-0200-000008000000}"/>
    <hyperlink ref="Q11" r:id="rId10" xr:uid="{00000000-0004-0000-0200-000009000000}"/>
    <hyperlink ref="Q12" r:id="rId11" xr:uid="{00000000-0004-0000-0200-00000A000000}"/>
    <hyperlink ref="Q13" r:id="rId12" xr:uid="{00000000-0004-0000-0200-00000B000000}"/>
    <hyperlink ref="Q14" r:id="rId13" xr:uid="{00000000-0004-0000-0200-00000C000000}"/>
    <hyperlink ref="Q15" r:id="rId14" xr:uid="{00000000-0004-0000-0200-00000D000000}"/>
    <hyperlink ref="Q16" r:id="rId15" xr:uid="{00000000-0004-0000-0200-00000E000000}"/>
    <hyperlink ref="Q17" r:id="rId16" xr:uid="{00000000-0004-0000-0200-00000F000000}"/>
    <hyperlink ref="Q18" r:id="rId17" xr:uid="{00000000-0004-0000-0200-000010000000}"/>
    <hyperlink ref="Q19" r:id="rId18" xr:uid="{00000000-0004-0000-0200-000011000000}"/>
    <hyperlink ref="Q20" r:id="rId19" xr:uid="{00000000-0004-0000-0200-000012000000}"/>
    <hyperlink ref="Q21" r:id="rId20" xr:uid="{00000000-0004-0000-0200-000013000000}"/>
    <hyperlink ref="Q22" r:id="rId21" xr:uid="{00000000-0004-0000-0200-000014000000}"/>
    <hyperlink ref="Q23" r:id="rId22" xr:uid="{00000000-0004-0000-0200-000015000000}"/>
    <hyperlink ref="Q24" r:id="rId23" xr:uid="{00000000-0004-0000-0200-000016000000}"/>
    <hyperlink ref="Q25" r:id="rId24" xr:uid="{00000000-0004-0000-0200-000017000000}"/>
    <hyperlink ref="Q26" r:id="rId25" xr:uid="{00000000-0004-0000-0200-000018000000}"/>
    <hyperlink ref="Q27" r:id="rId26" xr:uid="{00000000-0004-0000-0200-000019000000}"/>
    <hyperlink ref="Q28" r:id="rId27" xr:uid="{00000000-0004-0000-0200-00001A000000}"/>
    <hyperlink ref="Q29" r:id="rId28" xr:uid="{00000000-0004-0000-0200-00001B000000}"/>
    <hyperlink ref="Q30" r:id="rId29" xr:uid="{00000000-0004-0000-0200-00001C000000}"/>
    <hyperlink ref="Q31" r:id="rId30" xr:uid="{00000000-0004-0000-0200-00001D000000}"/>
    <hyperlink ref="Q32" r:id="rId31" xr:uid="{00000000-0004-0000-0200-00001E000000}"/>
    <hyperlink ref="Q33" r:id="rId32" xr:uid="{00000000-0004-0000-0200-00001F000000}"/>
    <hyperlink ref="Q34" r:id="rId33" xr:uid="{00000000-0004-0000-0200-000020000000}"/>
    <hyperlink ref="Q35" r:id="rId34" xr:uid="{00000000-0004-0000-0200-000021000000}"/>
    <hyperlink ref="Q36" r:id="rId35" xr:uid="{00000000-0004-0000-0200-000022000000}"/>
    <hyperlink ref="Q37" r:id="rId36" xr:uid="{00000000-0004-0000-0200-000023000000}"/>
    <hyperlink ref="Q38" r:id="rId37" xr:uid="{00000000-0004-0000-0200-000024000000}"/>
    <hyperlink ref="Q39" r:id="rId38" xr:uid="{00000000-0004-0000-0200-000025000000}"/>
    <hyperlink ref="Q40" r:id="rId39" xr:uid="{00000000-0004-0000-0200-000026000000}"/>
    <hyperlink ref="Q41" r:id="rId40" xr:uid="{00000000-0004-0000-0200-000027000000}"/>
    <hyperlink ref="Q42" r:id="rId41" xr:uid="{00000000-0004-0000-0200-000028000000}"/>
    <hyperlink ref="Q43" r:id="rId42" xr:uid="{00000000-0004-0000-0200-000029000000}"/>
    <hyperlink ref="Q44" r:id="rId43" xr:uid="{00000000-0004-0000-0200-00002A000000}"/>
    <hyperlink ref="Q45" r:id="rId44" xr:uid="{00000000-0004-0000-0200-00002B000000}"/>
    <hyperlink ref="Q46" r:id="rId45" xr:uid="{00000000-0004-0000-0200-00002C000000}"/>
    <hyperlink ref="Q47" r:id="rId46" xr:uid="{00000000-0004-0000-0200-00002D000000}"/>
    <hyperlink ref="Q48" r:id="rId47" xr:uid="{00000000-0004-0000-0200-00002E000000}"/>
    <hyperlink ref="Q49" r:id="rId48" xr:uid="{00000000-0004-0000-0200-00002F000000}"/>
    <hyperlink ref="Q50" r:id="rId49" xr:uid="{00000000-0004-0000-0200-000030000000}"/>
    <hyperlink ref="Q51" r:id="rId50" xr:uid="{00000000-0004-0000-0200-000031000000}"/>
    <hyperlink ref="Q52" r:id="rId51" xr:uid="{00000000-0004-0000-0200-000032000000}"/>
    <hyperlink ref="Q53" r:id="rId52" xr:uid="{00000000-0004-0000-0200-000033000000}"/>
    <hyperlink ref="Q54" r:id="rId53" xr:uid="{00000000-0004-0000-0200-000034000000}"/>
    <hyperlink ref="Q55" r:id="rId54" xr:uid="{00000000-0004-0000-0200-000035000000}"/>
    <hyperlink ref="Q56" r:id="rId55" xr:uid="{00000000-0004-0000-0200-000036000000}"/>
    <hyperlink ref="Q57" r:id="rId56" xr:uid="{00000000-0004-0000-0200-000037000000}"/>
    <hyperlink ref="Q58" r:id="rId57" xr:uid="{00000000-0004-0000-0200-000038000000}"/>
    <hyperlink ref="Q59" r:id="rId58" xr:uid="{00000000-0004-0000-0200-000039000000}"/>
    <hyperlink ref="Q60" r:id="rId59" xr:uid="{00000000-0004-0000-0200-00003A000000}"/>
    <hyperlink ref="Q61" r:id="rId60" xr:uid="{00000000-0004-0000-0200-00003B000000}"/>
    <hyperlink ref="Q62" r:id="rId61" xr:uid="{00000000-0004-0000-0200-00003C000000}"/>
    <hyperlink ref="Q63" r:id="rId62" xr:uid="{00000000-0004-0000-0200-00003D000000}"/>
    <hyperlink ref="Q64" r:id="rId63" xr:uid="{00000000-0004-0000-0200-00003E000000}"/>
    <hyperlink ref="Q65" r:id="rId64" xr:uid="{00000000-0004-0000-0200-00003F000000}"/>
    <hyperlink ref="Q66" r:id="rId65" xr:uid="{00000000-0004-0000-0200-000040000000}"/>
    <hyperlink ref="Q67" r:id="rId66" xr:uid="{00000000-0004-0000-0200-000041000000}"/>
    <hyperlink ref="Q68" r:id="rId67" xr:uid="{00000000-0004-0000-0200-000042000000}"/>
    <hyperlink ref="Q69" r:id="rId68" xr:uid="{00000000-0004-0000-0200-000043000000}"/>
    <hyperlink ref="Q70" r:id="rId69" xr:uid="{00000000-0004-0000-0200-000044000000}"/>
    <hyperlink ref="Q71" r:id="rId70" xr:uid="{00000000-0004-0000-0200-000045000000}"/>
    <hyperlink ref="Q72" r:id="rId71" xr:uid="{00000000-0004-0000-0200-000046000000}"/>
    <hyperlink ref="Q73" r:id="rId72" xr:uid="{00000000-0004-0000-0200-000047000000}"/>
    <hyperlink ref="Q74" r:id="rId73" xr:uid="{00000000-0004-0000-0200-000048000000}"/>
    <hyperlink ref="Q75" r:id="rId74" xr:uid="{00000000-0004-0000-0200-000049000000}"/>
    <hyperlink ref="Q76" r:id="rId75" xr:uid="{00000000-0004-0000-0200-00004A000000}"/>
    <hyperlink ref="Q77" r:id="rId76" xr:uid="{00000000-0004-0000-0200-00004B000000}"/>
    <hyperlink ref="Q78" r:id="rId77" xr:uid="{00000000-0004-0000-0200-00004C000000}"/>
    <hyperlink ref="Q79" r:id="rId78" xr:uid="{00000000-0004-0000-0200-00004D000000}"/>
    <hyperlink ref="Q80" r:id="rId79" xr:uid="{00000000-0004-0000-0200-00004E000000}"/>
    <hyperlink ref="Q81" r:id="rId80" xr:uid="{00000000-0004-0000-0200-00004F000000}"/>
    <hyperlink ref="Q82" r:id="rId81" xr:uid="{00000000-0004-0000-0200-000050000000}"/>
    <hyperlink ref="Q83" r:id="rId82" xr:uid="{00000000-0004-0000-0200-000051000000}"/>
    <hyperlink ref="Q84" r:id="rId83" xr:uid="{00000000-0004-0000-0200-000052000000}"/>
    <hyperlink ref="Q85" r:id="rId84" xr:uid="{00000000-0004-0000-0200-000053000000}"/>
    <hyperlink ref="Q86" r:id="rId85" xr:uid="{00000000-0004-0000-0200-000054000000}"/>
    <hyperlink ref="Q87" r:id="rId86" xr:uid="{00000000-0004-0000-0200-000055000000}"/>
    <hyperlink ref="Q88" r:id="rId87" xr:uid="{00000000-0004-0000-0200-000056000000}"/>
    <hyperlink ref="Q89" r:id="rId88" xr:uid="{00000000-0004-0000-0200-000057000000}"/>
    <hyperlink ref="Q90" r:id="rId89" xr:uid="{00000000-0004-0000-0200-000058000000}"/>
    <hyperlink ref="Q91" r:id="rId90" xr:uid="{00000000-0004-0000-0200-000059000000}"/>
    <hyperlink ref="Q92" r:id="rId91" xr:uid="{00000000-0004-0000-0200-00005A000000}"/>
    <hyperlink ref="Q93" r:id="rId92" xr:uid="{00000000-0004-0000-0200-00005B000000}"/>
    <hyperlink ref="Q94" r:id="rId93" xr:uid="{00000000-0004-0000-0200-00005C000000}"/>
    <hyperlink ref="Q95" r:id="rId94" xr:uid="{00000000-0004-0000-0200-00005D000000}"/>
    <hyperlink ref="Q96" r:id="rId95" xr:uid="{00000000-0004-0000-0200-00005E000000}"/>
    <hyperlink ref="Q97" r:id="rId96" xr:uid="{00000000-0004-0000-0200-00005F000000}"/>
    <hyperlink ref="Q98" r:id="rId97" xr:uid="{00000000-0004-0000-0200-000060000000}"/>
    <hyperlink ref="Q99" r:id="rId98" xr:uid="{00000000-0004-0000-0200-000061000000}"/>
    <hyperlink ref="Q100" r:id="rId99" xr:uid="{00000000-0004-0000-0200-000062000000}"/>
    <hyperlink ref="Q101" r:id="rId100" xr:uid="{00000000-0004-0000-0200-000063000000}"/>
    <hyperlink ref="Q102" r:id="rId101" xr:uid="{00000000-0004-0000-0200-000064000000}"/>
    <hyperlink ref="Q103" r:id="rId102" xr:uid="{00000000-0004-0000-0200-000065000000}"/>
    <hyperlink ref="Q104" r:id="rId103" xr:uid="{00000000-0004-0000-0200-000066000000}"/>
    <hyperlink ref="Q105" r:id="rId104" xr:uid="{00000000-0004-0000-0200-000067000000}"/>
    <hyperlink ref="Q106" r:id="rId105" xr:uid="{00000000-0004-0000-0200-000068000000}"/>
    <hyperlink ref="Q107" r:id="rId106" xr:uid="{00000000-0004-0000-0200-000069000000}"/>
    <hyperlink ref="Q108" r:id="rId107" xr:uid="{00000000-0004-0000-0200-00006A000000}"/>
    <hyperlink ref="Q109" r:id="rId108" xr:uid="{00000000-0004-0000-0200-00006B000000}"/>
    <hyperlink ref="Q110" r:id="rId109" xr:uid="{00000000-0004-0000-0200-00006C000000}"/>
    <hyperlink ref="Q111" r:id="rId110" xr:uid="{00000000-0004-0000-0200-00006D000000}"/>
    <hyperlink ref="Q112" r:id="rId111" xr:uid="{00000000-0004-0000-0200-00006E000000}"/>
    <hyperlink ref="Q113" r:id="rId112" xr:uid="{00000000-0004-0000-0200-00006F000000}"/>
    <hyperlink ref="Q114" r:id="rId113" xr:uid="{00000000-0004-0000-0200-000070000000}"/>
    <hyperlink ref="Q115" r:id="rId114" xr:uid="{00000000-0004-0000-0200-000071000000}"/>
    <hyperlink ref="Q116" r:id="rId115" xr:uid="{00000000-0004-0000-0200-000072000000}"/>
    <hyperlink ref="Q117" r:id="rId116" xr:uid="{00000000-0004-0000-0200-000073000000}"/>
    <hyperlink ref="Q118" r:id="rId117" xr:uid="{00000000-0004-0000-0200-000074000000}"/>
    <hyperlink ref="Q119" r:id="rId118" xr:uid="{00000000-0004-0000-0200-000075000000}"/>
    <hyperlink ref="Q120" r:id="rId119" xr:uid="{00000000-0004-0000-0200-000076000000}"/>
    <hyperlink ref="Q121" r:id="rId120" xr:uid="{00000000-0004-0000-0200-000077000000}"/>
    <hyperlink ref="Q122" r:id="rId121" xr:uid="{00000000-0004-0000-0200-000078000000}"/>
    <hyperlink ref="Q123" r:id="rId122" xr:uid="{00000000-0004-0000-0200-000079000000}"/>
    <hyperlink ref="Q124" r:id="rId123" xr:uid="{00000000-0004-0000-0200-00007A000000}"/>
    <hyperlink ref="Q125" r:id="rId124" xr:uid="{00000000-0004-0000-0200-00007B000000}"/>
    <hyperlink ref="Q126" r:id="rId125" xr:uid="{00000000-0004-0000-0200-00007C000000}"/>
    <hyperlink ref="Q127" r:id="rId126" xr:uid="{00000000-0004-0000-0200-00007D000000}"/>
    <hyperlink ref="Q128" r:id="rId127" xr:uid="{00000000-0004-0000-0200-00007E000000}"/>
    <hyperlink ref="Q129" r:id="rId128" xr:uid="{00000000-0004-0000-0200-00007F000000}"/>
    <hyperlink ref="Q130" r:id="rId129" xr:uid="{00000000-0004-0000-0200-000080000000}"/>
    <hyperlink ref="Q131" r:id="rId130" xr:uid="{00000000-0004-0000-0200-000081000000}"/>
    <hyperlink ref="Q132" r:id="rId131" xr:uid="{00000000-0004-0000-0200-000082000000}"/>
    <hyperlink ref="Q133" r:id="rId132" xr:uid="{00000000-0004-0000-0200-000083000000}"/>
    <hyperlink ref="Q134" r:id="rId133" xr:uid="{00000000-0004-0000-0200-000084000000}"/>
    <hyperlink ref="Q135" r:id="rId134" xr:uid="{00000000-0004-0000-0200-000085000000}"/>
    <hyperlink ref="Q136" r:id="rId135" xr:uid="{00000000-0004-0000-0200-000086000000}"/>
    <hyperlink ref="Q137" r:id="rId136" xr:uid="{00000000-0004-0000-0200-000087000000}"/>
    <hyperlink ref="Q138" r:id="rId137" xr:uid="{00000000-0004-0000-0200-000088000000}"/>
    <hyperlink ref="Q139" r:id="rId138" xr:uid="{00000000-0004-0000-0200-000089000000}"/>
    <hyperlink ref="Q140" r:id="rId139" xr:uid="{00000000-0004-0000-0200-00008A000000}"/>
    <hyperlink ref="Q141" r:id="rId140" xr:uid="{00000000-0004-0000-0200-00008B000000}"/>
    <hyperlink ref="Q142" r:id="rId141" xr:uid="{00000000-0004-0000-0200-00008C000000}"/>
    <hyperlink ref="Q143" r:id="rId142" xr:uid="{00000000-0004-0000-0200-00008D000000}"/>
    <hyperlink ref="Q144" r:id="rId143" xr:uid="{00000000-0004-0000-0200-00008E000000}"/>
    <hyperlink ref="Q145" r:id="rId144" xr:uid="{00000000-0004-0000-0200-00008F000000}"/>
    <hyperlink ref="Q146" r:id="rId145" xr:uid="{00000000-0004-0000-0200-000090000000}"/>
    <hyperlink ref="Q147" r:id="rId146" xr:uid="{00000000-0004-0000-0200-000091000000}"/>
    <hyperlink ref="Q148" r:id="rId147" xr:uid="{00000000-0004-0000-0200-000092000000}"/>
    <hyperlink ref="Q149" r:id="rId148" xr:uid="{00000000-0004-0000-0200-000093000000}"/>
    <hyperlink ref="Q150" r:id="rId149" xr:uid="{00000000-0004-0000-0200-000094000000}"/>
    <hyperlink ref="Q151" r:id="rId150" xr:uid="{00000000-0004-0000-0200-000095000000}"/>
    <hyperlink ref="Q152" r:id="rId151" xr:uid="{00000000-0004-0000-0200-000096000000}"/>
    <hyperlink ref="Q153" r:id="rId152" xr:uid="{00000000-0004-0000-0200-000097000000}"/>
    <hyperlink ref="Q154" r:id="rId153" xr:uid="{00000000-0004-0000-0200-000098000000}"/>
    <hyperlink ref="Q155" r:id="rId154" xr:uid="{00000000-0004-0000-0200-000099000000}"/>
    <hyperlink ref="Q156" r:id="rId155" xr:uid="{00000000-0004-0000-0200-00009A000000}"/>
    <hyperlink ref="Q157" r:id="rId156" xr:uid="{00000000-0004-0000-0200-00009B000000}"/>
    <hyperlink ref="Q158" r:id="rId157" xr:uid="{00000000-0004-0000-0200-00009C000000}"/>
    <hyperlink ref="Q159" r:id="rId158" xr:uid="{00000000-0004-0000-0200-00009D000000}"/>
    <hyperlink ref="Q160" r:id="rId159" xr:uid="{00000000-0004-0000-0200-00009E000000}"/>
    <hyperlink ref="Q161" r:id="rId160" xr:uid="{00000000-0004-0000-0200-00009F000000}"/>
    <hyperlink ref="Q162" r:id="rId161" xr:uid="{00000000-0004-0000-0200-0000A0000000}"/>
    <hyperlink ref="Q163" r:id="rId162" xr:uid="{00000000-0004-0000-0200-0000A1000000}"/>
    <hyperlink ref="Q164" r:id="rId163" xr:uid="{00000000-0004-0000-0200-0000A2000000}"/>
    <hyperlink ref="Q165" r:id="rId164" xr:uid="{00000000-0004-0000-0200-0000A3000000}"/>
    <hyperlink ref="Q166" r:id="rId165" xr:uid="{00000000-0004-0000-0200-0000A4000000}"/>
    <hyperlink ref="Q167" r:id="rId166" xr:uid="{00000000-0004-0000-0200-0000A5000000}"/>
    <hyperlink ref="Q168" r:id="rId167" xr:uid="{00000000-0004-0000-0200-0000A6000000}"/>
    <hyperlink ref="Q169" r:id="rId168" xr:uid="{00000000-0004-0000-0200-0000A7000000}"/>
    <hyperlink ref="Q170" r:id="rId169" xr:uid="{00000000-0004-0000-0200-0000A8000000}"/>
    <hyperlink ref="Q171" r:id="rId170" xr:uid="{00000000-0004-0000-0200-0000A9000000}"/>
    <hyperlink ref="Q172" r:id="rId171" xr:uid="{00000000-0004-0000-0200-0000AA000000}"/>
    <hyperlink ref="Q173" r:id="rId172" xr:uid="{00000000-0004-0000-0200-0000AB000000}"/>
    <hyperlink ref="Q174" r:id="rId173" xr:uid="{00000000-0004-0000-0200-0000AC000000}"/>
    <hyperlink ref="Q175" r:id="rId174" xr:uid="{00000000-0004-0000-0200-0000AD000000}"/>
    <hyperlink ref="Q176" r:id="rId175" xr:uid="{00000000-0004-0000-0200-0000AE000000}"/>
    <hyperlink ref="Q177" r:id="rId176" xr:uid="{00000000-0004-0000-0200-0000AF000000}"/>
    <hyperlink ref="Q178" r:id="rId177" xr:uid="{00000000-0004-0000-0200-0000B0000000}"/>
    <hyperlink ref="Q179" r:id="rId178" xr:uid="{00000000-0004-0000-0200-0000B1000000}"/>
    <hyperlink ref="Q180" r:id="rId179" xr:uid="{00000000-0004-0000-0200-0000B2000000}"/>
    <hyperlink ref="Q181" r:id="rId180" xr:uid="{00000000-0004-0000-0200-0000B3000000}"/>
    <hyperlink ref="Q182" r:id="rId181" xr:uid="{00000000-0004-0000-0200-0000B4000000}"/>
    <hyperlink ref="Q183" r:id="rId182" xr:uid="{00000000-0004-0000-0200-0000B5000000}"/>
    <hyperlink ref="Q184" r:id="rId183" xr:uid="{00000000-0004-0000-0200-0000B6000000}"/>
    <hyperlink ref="Q185" r:id="rId184" xr:uid="{00000000-0004-0000-0200-0000B7000000}"/>
    <hyperlink ref="Q186" r:id="rId185" xr:uid="{00000000-0004-0000-0200-0000B8000000}"/>
    <hyperlink ref="Q187" r:id="rId186" xr:uid="{00000000-0004-0000-0200-0000B9000000}"/>
    <hyperlink ref="Q188" r:id="rId187" xr:uid="{00000000-0004-0000-0200-0000BA000000}"/>
    <hyperlink ref="Q189" r:id="rId188" xr:uid="{00000000-0004-0000-0200-0000BB000000}"/>
    <hyperlink ref="Q190" r:id="rId189" xr:uid="{00000000-0004-0000-0200-0000BC000000}"/>
    <hyperlink ref="Q191" r:id="rId190" xr:uid="{00000000-0004-0000-0200-0000BD000000}"/>
    <hyperlink ref="Q192" r:id="rId191" xr:uid="{00000000-0004-0000-0200-0000BE000000}"/>
    <hyperlink ref="Q193" r:id="rId192" xr:uid="{00000000-0004-0000-0200-0000BF000000}"/>
    <hyperlink ref="Q194" r:id="rId193" xr:uid="{00000000-0004-0000-0200-0000C0000000}"/>
    <hyperlink ref="Q195" r:id="rId194" xr:uid="{00000000-0004-0000-0200-0000C1000000}"/>
    <hyperlink ref="Q196" r:id="rId195" xr:uid="{00000000-0004-0000-0200-0000C2000000}"/>
    <hyperlink ref="Q197" r:id="rId196" xr:uid="{00000000-0004-0000-0200-0000C3000000}"/>
    <hyperlink ref="Q198" r:id="rId197" xr:uid="{00000000-0004-0000-0200-0000C4000000}"/>
    <hyperlink ref="Q199" r:id="rId198" xr:uid="{00000000-0004-0000-0200-0000C5000000}"/>
    <hyperlink ref="Q200" r:id="rId199" xr:uid="{00000000-0004-0000-0200-0000C6000000}"/>
    <hyperlink ref="Q201" r:id="rId200" xr:uid="{00000000-0004-0000-0200-0000C7000000}"/>
    <hyperlink ref="Q202" r:id="rId201" xr:uid="{00000000-0004-0000-0200-0000C8000000}"/>
    <hyperlink ref="Q203" r:id="rId202" xr:uid="{00000000-0004-0000-0200-0000C9000000}"/>
    <hyperlink ref="Q204" r:id="rId203" xr:uid="{00000000-0004-0000-0200-0000CA000000}"/>
    <hyperlink ref="Q205" r:id="rId204" xr:uid="{00000000-0004-0000-0200-0000CB000000}"/>
    <hyperlink ref="Q206" r:id="rId205" xr:uid="{00000000-0004-0000-0200-0000CC000000}"/>
    <hyperlink ref="Q207" r:id="rId206" xr:uid="{00000000-0004-0000-0200-0000CD000000}"/>
    <hyperlink ref="Q208" r:id="rId207" xr:uid="{00000000-0004-0000-0200-0000CE000000}"/>
    <hyperlink ref="Q209" r:id="rId208" xr:uid="{00000000-0004-0000-0200-0000CF000000}"/>
    <hyperlink ref="Q210" r:id="rId209" xr:uid="{00000000-0004-0000-0200-0000D0000000}"/>
    <hyperlink ref="Q211" r:id="rId210" xr:uid="{00000000-0004-0000-0200-0000D1000000}"/>
    <hyperlink ref="Q212" r:id="rId211" xr:uid="{00000000-0004-0000-0200-0000D2000000}"/>
    <hyperlink ref="Q213" r:id="rId212" xr:uid="{00000000-0004-0000-0200-0000D3000000}"/>
    <hyperlink ref="Q214" r:id="rId213" xr:uid="{00000000-0004-0000-0200-0000D4000000}"/>
    <hyperlink ref="Q215" r:id="rId214" xr:uid="{00000000-0004-0000-0200-0000D5000000}"/>
    <hyperlink ref="Q216" r:id="rId215" xr:uid="{00000000-0004-0000-0200-0000D6000000}"/>
    <hyperlink ref="Q217" r:id="rId216" xr:uid="{00000000-0004-0000-0200-0000D7000000}"/>
    <hyperlink ref="Q218" r:id="rId217" xr:uid="{00000000-0004-0000-0200-0000D8000000}"/>
    <hyperlink ref="Q219" r:id="rId218" xr:uid="{00000000-0004-0000-0200-0000D9000000}"/>
    <hyperlink ref="Q220" r:id="rId219" xr:uid="{00000000-0004-0000-0200-0000DA000000}"/>
    <hyperlink ref="Q221" r:id="rId220" xr:uid="{00000000-0004-0000-0200-0000DB000000}"/>
    <hyperlink ref="Q222" r:id="rId221" xr:uid="{00000000-0004-0000-0200-0000DC000000}"/>
    <hyperlink ref="Q223" r:id="rId222" xr:uid="{00000000-0004-0000-0200-0000DD000000}"/>
    <hyperlink ref="Q224" r:id="rId223" xr:uid="{00000000-0004-0000-0200-0000DE000000}"/>
    <hyperlink ref="Q225" r:id="rId224" xr:uid="{00000000-0004-0000-0200-0000DF000000}"/>
    <hyperlink ref="Q226" r:id="rId225" xr:uid="{00000000-0004-0000-0200-0000E0000000}"/>
    <hyperlink ref="Q227" r:id="rId226" xr:uid="{00000000-0004-0000-0200-0000E1000000}"/>
    <hyperlink ref="Q228" r:id="rId227" xr:uid="{00000000-0004-0000-0200-0000E2000000}"/>
    <hyperlink ref="Q229" r:id="rId228" xr:uid="{00000000-0004-0000-0200-0000E3000000}"/>
    <hyperlink ref="Q230" r:id="rId229" xr:uid="{00000000-0004-0000-0200-0000E4000000}"/>
    <hyperlink ref="Q231" r:id="rId230" xr:uid="{00000000-0004-0000-0200-0000E5000000}"/>
    <hyperlink ref="Q232" r:id="rId231" xr:uid="{00000000-0004-0000-0200-0000E6000000}"/>
    <hyperlink ref="Q233" r:id="rId232" xr:uid="{00000000-0004-0000-0200-0000E7000000}"/>
    <hyperlink ref="Q234" r:id="rId233" xr:uid="{00000000-0004-0000-0200-0000E8000000}"/>
    <hyperlink ref="Q235" r:id="rId234" xr:uid="{00000000-0004-0000-0200-0000E9000000}"/>
    <hyperlink ref="Q236" r:id="rId235" xr:uid="{00000000-0004-0000-0200-0000EA000000}"/>
    <hyperlink ref="Q237" r:id="rId236" xr:uid="{00000000-0004-0000-0200-0000EB000000}"/>
    <hyperlink ref="Q238" r:id="rId237" xr:uid="{00000000-0004-0000-0200-0000EC000000}"/>
    <hyperlink ref="Q239" r:id="rId238" xr:uid="{00000000-0004-0000-0200-0000ED000000}"/>
    <hyperlink ref="Q240" r:id="rId239" xr:uid="{00000000-0004-0000-0200-0000EE000000}"/>
    <hyperlink ref="Q241" r:id="rId240" xr:uid="{00000000-0004-0000-0200-0000EF000000}"/>
    <hyperlink ref="Q242" r:id="rId241" xr:uid="{00000000-0004-0000-0200-0000F0000000}"/>
    <hyperlink ref="Q243" r:id="rId242" xr:uid="{00000000-0004-0000-0200-0000F1000000}"/>
    <hyperlink ref="Q244" r:id="rId243" xr:uid="{00000000-0004-0000-0200-0000F2000000}"/>
    <hyperlink ref="Q245" r:id="rId244" xr:uid="{00000000-0004-0000-0200-0000F3000000}"/>
    <hyperlink ref="Q246" r:id="rId245" xr:uid="{00000000-0004-0000-0200-0000F4000000}"/>
    <hyperlink ref="Q247" r:id="rId246" xr:uid="{00000000-0004-0000-0200-0000F5000000}"/>
    <hyperlink ref="Q248" r:id="rId247" xr:uid="{00000000-0004-0000-0200-0000F6000000}"/>
    <hyperlink ref="Q249" r:id="rId248" xr:uid="{00000000-0004-0000-0200-0000F7000000}"/>
    <hyperlink ref="Q250" r:id="rId249" xr:uid="{00000000-0004-0000-0200-0000F8000000}"/>
    <hyperlink ref="Q251" r:id="rId250" xr:uid="{00000000-0004-0000-0200-0000F9000000}"/>
    <hyperlink ref="Q252" r:id="rId251" xr:uid="{00000000-0004-0000-0200-0000FA000000}"/>
    <hyperlink ref="Q253" r:id="rId252" xr:uid="{00000000-0004-0000-0200-0000FB000000}"/>
    <hyperlink ref="Q254" r:id="rId253" xr:uid="{00000000-0004-0000-0200-0000FC000000}"/>
    <hyperlink ref="Q255" r:id="rId254" xr:uid="{00000000-0004-0000-0200-0000FD000000}"/>
    <hyperlink ref="Q256" r:id="rId255" xr:uid="{00000000-0004-0000-0200-0000FE000000}"/>
    <hyperlink ref="Q257" r:id="rId256" xr:uid="{00000000-0004-0000-0200-0000FF000000}"/>
    <hyperlink ref="Q258" r:id="rId257" xr:uid="{00000000-0004-0000-0200-000000010000}"/>
    <hyperlink ref="Q259" r:id="rId258" xr:uid="{00000000-0004-0000-0200-000001010000}"/>
    <hyperlink ref="Q260" r:id="rId259" xr:uid="{00000000-0004-0000-0200-000002010000}"/>
    <hyperlink ref="Q261" r:id="rId260" xr:uid="{00000000-0004-0000-0200-000003010000}"/>
    <hyperlink ref="Q262" r:id="rId261" xr:uid="{00000000-0004-0000-0200-000004010000}"/>
    <hyperlink ref="Q263" r:id="rId262" xr:uid="{00000000-0004-0000-0200-000005010000}"/>
    <hyperlink ref="Q264" r:id="rId263" xr:uid="{00000000-0004-0000-0200-000006010000}"/>
    <hyperlink ref="Q265" r:id="rId264" xr:uid="{00000000-0004-0000-0200-000007010000}"/>
    <hyperlink ref="Q266" r:id="rId265" xr:uid="{00000000-0004-0000-0200-000008010000}"/>
    <hyperlink ref="Q267" r:id="rId266" xr:uid="{00000000-0004-0000-0200-000009010000}"/>
    <hyperlink ref="Q268" r:id="rId267" xr:uid="{00000000-0004-0000-0200-00000A010000}"/>
    <hyperlink ref="Q269" r:id="rId268" xr:uid="{00000000-0004-0000-0200-00000B010000}"/>
    <hyperlink ref="Q270" r:id="rId269" xr:uid="{00000000-0004-0000-0200-00000C010000}"/>
    <hyperlink ref="Q271" r:id="rId270" xr:uid="{00000000-0004-0000-0200-00000D010000}"/>
    <hyperlink ref="Q272" r:id="rId271" xr:uid="{00000000-0004-0000-0200-00000E010000}"/>
    <hyperlink ref="Q273" r:id="rId272" xr:uid="{00000000-0004-0000-0200-00000F010000}"/>
    <hyperlink ref="Q274" r:id="rId273" xr:uid="{00000000-0004-0000-0200-000010010000}"/>
    <hyperlink ref="Q275" r:id="rId274" xr:uid="{00000000-0004-0000-0200-000011010000}"/>
    <hyperlink ref="Q276" r:id="rId275" xr:uid="{00000000-0004-0000-0200-000012010000}"/>
    <hyperlink ref="Q277" r:id="rId276" xr:uid="{00000000-0004-0000-0200-000013010000}"/>
    <hyperlink ref="Q278" r:id="rId277" xr:uid="{00000000-0004-0000-0200-000014010000}"/>
    <hyperlink ref="Q279" r:id="rId278" xr:uid="{00000000-0004-0000-0200-000015010000}"/>
    <hyperlink ref="Q280" r:id="rId279" xr:uid="{00000000-0004-0000-0200-000016010000}"/>
    <hyperlink ref="Q281" r:id="rId280" xr:uid="{00000000-0004-0000-0200-000017010000}"/>
    <hyperlink ref="Q282" r:id="rId281" xr:uid="{00000000-0004-0000-0200-000018010000}"/>
    <hyperlink ref="Q283" r:id="rId282" xr:uid="{00000000-0004-0000-0200-000019010000}"/>
    <hyperlink ref="Q284" r:id="rId283" xr:uid="{00000000-0004-0000-0200-00001A010000}"/>
    <hyperlink ref="Q285" r:id="rId284" xr:uid="{00000000-0004-0000-0200-00001B010000}"/>
    <hyperlink ref="Q286" r:id="rId285" xr:uid="{00000000-0004-0000-0200-00001C010000}"/>
    <hyperlink ref="Q287" r:id="rId286" xr:uid="{00000000-0004-0000-0200-00001D010000}"/>
    <hyperlink ref="Q288" r:id="rId287" xr:uid="{00000000-0004-0000-0200-00001E010000}"/>
    <hyperlink ref="Q289" r:id="rId288" xr:uid="{00000000-0004-0000-0200-00001F010000}"/>
    <hyperlink ref="Q290" r:id="rId289" xr:uid="{00000000-0004-0000-0200-000020010000}"/>
    <hyperlink ref="Q291" r:id="rId290" xr:uid="{00000000-0004-0000-0200-000021010000}"/>
    <hyperlink ref="Q292" r:id="rId291" xr:uid="{00000000-0004-0000-0200-000022010000}"/>
    <hyperlink ref="Q293" r:id="rId292" xr:uid="{00000000-0004-0000-0200-000023010000}"/>
    <hyperlink ref="Q294" r:id="rId293" xr:uid="{00000000-0004-0000-0200-000024010000}"/>
    <hyperlink ref="Q295" r:id="rId294" xr:uid="{00000000-0004-0000-0200-000025010000}"/>
    <hyperlink ref="Q296" r:id="rId295" xr:uid="{00000000-0004-0000-0200-000026010000}"/>
    <hyperlink ref="Q297" r:id="rId296" xr:uid="{00000000-0004-0000-0200-000027010000}"/>
    <hyperlink ref="Q298" r:id="rId297" xr:uid="{00000000-0004-0000-0200-000028010000}"/>
    <hyperlink ref="Q299" r:id="rId298" xr:uid="{00000000-0004-0000-0200-000029010000}"/>
    <hyperlink ref="Q300" r:id="rId299" xr:uid="{00000000-0004-0000-0200-00002A010000}"/>
    <hyperlink ref="Q301" r:id="rId300" xr:uid="{00000000-0004-0000-0200-00002B010000}"/>
    <hyperlink ref="Q302" r:id="rId301" xr:uid="{00000000-0004-0000-0200-00002C010000}"/>
    <hyperlink ref="Q303" r:id="rId302" xr:uid="{00000000-0004-0000-0200-00002D010000}"/>
    <hyperlink ref="Q304" r:id="rId303" xr:uid="{00000000-0004-0000-0200-00002E010000}"/>
    <hyperlink ref="Q305" r:id="rId304" xr:uid="{00000000-0004-0000-0200-00002F010000}"/>
    <hyperlink ref="Q306" r:id="rId305" xr:uid="{00000000-0004-0000-0200-000030010000}"/>
    <hyperlink ref="Q307" r:id="rId306" xr:uid="{00000000-0004-0000-0200-000031010000}"/>
    <hyperlink ref="Q308" r:id="rId307" xr:uid="{00000000-0004-0000-0200-000032010000}"/>
    <hyperlink ref="Q309" r:id="rId308" xr:uid="{00000000-0004-0000-0200-000033010000}"/>
    <hyperlink ref="Q310" r:id="rId309" xr:uid="{00000000-0004-0000-0200-000034010000}"/>
    <hyperlink ref="Q311" r:id="rId310" xr:uid="{00000000-0004-0000-0200-000035010000}"/>
    <hyperlink ref="Q312" r:id="rId311" xr:uid="{00000000-0004-0000-0200-000036010000}"/>
    <hyperlink ref="Q313" r:id="rId312" xr:uid="{00000000-0004-0000-0200-000037010000}"/>
    <hyperlink ref="Q314" r:id="rId313" xr:uid="{00000000-0004-0000-0200-000038010000}"/>
    <hyperlink ref="Q315" r:id="rId314" xr:uid="{00000000-0004-0000-0200-000039010000}"/>
    <hyperlink ref="Q316" r:id="rId315" xr:uid="{00000000-0004-0000-0200-00003A010000}"/>
    <hyperlink ref="Q317" r:id="rId316" xr:uid="{00000000-0004-0000-0200-00003B010000}"/>
    <hyperlink ref="Q318" r:id="rId317" xr:uid="{00000000-0004-0000-0200-00003C010000}"/>
    <hyperlink ref="Q319" r:id="rId318" xr:uid="{00000000-0004-0000-0200-00003D010000}"/>
    <hyperlink ref="Q320" r:id="rId319" xr:uid="{00000000-0004-0000-0200-00003E010000}"/>
    <hyperlink ref="Q321" r:id="rId320" xr:uid="{00000000-0004-0000-0200-00003F010000}"/>
    <hyperlink ref="Q322" r:id="rId321" xr:uid="{00000000-0004-0000-0200-000040010000}"/>
    <hyperlink ref="Q323" r:id="rId322" xr:uid="{00000000-0004-0000-0200-000041010000}"/>
    <hyperlink ref="Q324" r:id="rId323" xr:uid="{00000000-0004-0000-0200-000042010000}"/>
    <hyperlink ref="Q325" r:id="rId324" xr:uid="{00000000-0004-0000-0200-000043010000}"/>
    <hyperlink ref="Q326" r:id="rId325" xr:uid="{00000000-0004-0000-0200-000044010000}"/>
    <hyperlink ref="Q327" r:id="rId326" xr:uid="{00000000-0004-0000-0200-000045010000}"/>
    <hyperlink ref="Q328" r:id="rId327" xr:uid="{00000000-0004-0000-0200-000046010000}"/>
    <hyperlink ref="Q329" r:id="rId328" xr:uid="{00000000-0004-0000-0200-000047010000}"/>
    <hyperlink ref="Q330" r:id="rId329" xr:uid="{00000000-0004-0000-0200-000048010000}"/>
    <hyperlink ref="Q331" r:id="rId330" xr:uid="{00000000-0004-0000-0200-000049010000}"/>
    <hyperlink ref="Q332" r:id="rId331" xr:uid="{00000000-0004-0000-0200-00004A010000}"/>
    <hyperlink ref="Q333" r:id="rId332" xr:uid="{00000000-0004-0000-0200-00004B010000}"/>
    <hyperlink ref="Q334" r:id="rId333" xr:uid="{00000000-0004-0000-0200-00004C010000}"/>
    <hyperlink ref="Q335" r:id="rId334" xr:uid="{00000000-0004-0000-0200-00004D010000}"/>
    <hyperlink ref="Q336" r:id="rId335" xr:uid="{00000000-0004-0000-0200-00004E010000}"/>
    <hyperlink ref="Q337" r:id="rId336" xr:uid="{00000000-0004-0000-0200-00004F010000}"/>
    <hyperlink ref="Q338" r:id="rId337" xr:uid="{00000000-0004-0000-0200-000050010000}"/>
    <hyperlink ref="Q339" r:id="rId338" xr:uid="{00000000-0004-0000-0200-000051010000}"/>
    <hyperlink ref="Q340" r:id="rId339" xr:uid="{00000000-0004-0000-0200-000052010000}"/>
    <hyperlink ref="Q341" r:id="rId340" xr:uid="{00000000-0004-0000-0200-000053010000}"/>
    <hyperlink ref="Q342" r:id="rId341" xr:uid="{00000000-0004-0000-0200-000054010000}"/>
    <hyperlink ref="Q343" r:id="rId342" xr:uid="{00000000-0004-0000-0200-000055010000}"/>
    <hyperlink ref="Q344" r:id="rId343" xr:uid="{00000000-0004-0000-0200-000056010000}"/>
    <hyperlink ref="Q345" r:id="rId344" xr:uid="{00000000-0004-0000-0200-000057010000}"/>
    <hyperlink ref="Q346" r:id="rId345" xr:uid="{00000000-0004-0000-0200-000058010000}"/>
    <hyperlink ref="Q347" r:id="rId346" xr:uid="{00000000-0004-0000-0200-000059010000}"/>
    <hyperlink ref="Q348" r:id="rId347" xr:uid="{00000000-0004-0000-0200-00005A010000}"/>
    <hyperlink ref="Q349" r:id="rId348" xr:uid="{00000000-0004-0000-0200-00005B010000}"/>
    <hyperlink ref="Q350" r:id="rId349" xr:uid="{00000000-0004-0000-0200-00005C010000}"/>
    <hyperlink ref="Q351" r:id="rId350" xr:uid="{00000000-0004-0000-0200-00005D010000}"/>
    <hyperlink ref="Q352" r:id="rId351" xr:uid="{00000000-0004-0000-0200-00005E010000}"/>
    <hyperlink ref="Q353" r:id="rId352" xr:uid="{00000000-0004-0000-0200-00005F010000}"/>
    <hyperlink ref="Q354" r:id="rId353" xr:uid="{00000000-0004-0000-0200-000060010000}"/>
    <hyperlink ref="Q355" r:id="rId354" xr:uid="{00000000-0004-0000-0200-000061010000}"/>
    <hyperlink ref="Q356" r:id="rId355" xr:uid="{00000000-0004-0000-0200-000062010000}"/>
    <hyperlink ref="Q357" r:id="rId356" xr:uid="{00000000-0004-0000-0200-000063010000}"/>
    <hyperlink ref="Q358" r:id="rId357" xr:uid="{00000000-0004-0000-0200-000064010000}"/>
    <hyperlink ref="Q359" r:id="rId358" xr:uid="{00000000-0004-0000-0200-000065010000}"/>
    <hyperlink ref="Q360" r:id="rId359" xr:uid="{00000000-0004-0000-0200-000066010000}"/>
    <hyperlink ref="Q361" r:id="rId360" xr:uid="{00000000-0004-0000-0200-000067010000}"/>
    <hyperlink ref="Q362" r:id="rId361" xr:uid="{00000000-0004-0000-0200-000068010000}"/>
    <hyperlink ref="Q363" r:id="rId362" xr:uid="{00000000-0004-0000-0200-000069010000}"/>
    <hyperlink ref="Q364" r:id="rId363" xr:uid="{00000000-0004-0000-0200-00006A010000}"/>
    <hyperlink ref="Q365" r:id="rId364" xr:uid="{00000000-0004-0000-0200-00006B010000}"/>
    <hyperlink ref="Q366" r:id="rId365" xr:uid="{00000000-0004-0000-0200-00006C010000}"/>
    <hyperlink ref="Q367" r:id="rId366" xr:uid="{00000000-0004-0000-0200-00006D010000}"/>
    <hyperlink ref="Q368" r:id="rId367" xr:uid="{00000000-0004-0000-0200-00006E010000}"/>
    <hyperlink ref="Q369" r:id="rId368" xr:uid="{00000000-0004-0000-0200-00006F010000}"/>
    <hyperlink ref="Q370" r:id="rId369" xr:uid="{00000000-0004-0000-0200-000070010000}"/>
    <hyperlink ref="Q371" r:id="rId370" xr:uid="{00000000-0004-0000-0200-000071010000}"/>
    <hyperlink ref="Q372" r:id="rId371" xr:uid="{00000000-0004-0000-0200-000072010000}"/>
    <hyperlink ref="Q373" r:id="rId372" xr:uid="{00000000-0004-0000-0200-000073010000}"/>
    <hyperlink ref="Q374" r:id="rId373" xr:uid="{00000000-0004-0000-0200-000074010000}"/>
    <hyperlink ref="Q375" r:id="rId374" xr:uid="{00000000-0004-0000-0200-000075010000}"/>
    <hyperlink ref="Q376" r:id="rId375" xr:uid="{00000000-0004-0000-0200-000076010000}"/>
    <hyperlink ref="Q377" r:id="rId376" xr:uid="{00000000-0004-0000-0200-000077010000}"/>
    <hyperlink ref="Q378" r:id="rId377" xr:uid="{00000000-0004-0000-0200-000078010000}"/>
    <hyperlink ref="Q379" r:id="rId378" xr:uid="{00000000-0004-0000-0200-000079010000}"/>
    <hyperlink ref="Q380" r:id="rId379" xr:uid="{00000000-0004-0000-0200-00007A010000}"/>
    <hyperlink ref="Q381" r:id="rId380" xr:uid="{00000000-0004-0000-0200-00007B010000}"/>
    <hyperlink ref="Q382" r:id="rId381" xr:uid="{00000000-0004-0000-0200-00007C010000}"/>
    <hyperlink ref="Q383" r:id="rId382" xr:uid="{00000000-0004-0000-0200-00007D010000}"/>
    <hyperlink ref="Q384" r:id="rId383" xr:uid="{00000000-0004-0000-0200-00007E010000}"/>
    <hyperlink ref="Q385" r:id="rId384" xr:uid="{00000000-0004-0000-0200-00007F010000}"/>
    <hyperlink ref="Q386" r:id="rId385" xr:uid="{00000000-0004-0000-0200-000080010000}"/>
    <hyperlink ref="Q387" r:id="rId386" xr:uid="{00000000-0004-0000-0200-000081010000}"/>
    <hyperlink ref="Q388" r:id="rId387" xr:uid="{00000000-0004-0000-0200-000082010000}"/>
    <hyperlink ref="Q389" r:id="rId388" xr:uid="{00000000-0004-0000-0200-000083010000}"/>
    <hyperlink ref="Q390" r:id="rId389" xr:uid="{00000000-0004-0000-0200-000084010000}"/>
    <hyperlink ref="Q391" r:id="rId390" xr:uid="{00000000-0004-0000-0200-000085010000}"/>
    <hyperlink ref="Q392" r:id="rId391" xr:uid="{00000000-0004-0000-0200-000086010000}"/>
    <hyperlink ref="Q393" r:id="rId392" xr:uid="{00000000-0004-0000-0200-000087010000}"/>
    <hyperlink ref="Q394" r:id="rId393" xr:uid="{00000000-0004-0000-0200-000088010000}"/>
    <hyperlink ref="Q395" r:id="rId394" xr:uid="{00000000-0004-0000-0200-000089010000}"/>
    <hyperlink ref="Q396" r:id="rId395" xr:uid="{00000000-0004-0000-0200-00008A010000}"/>
    <hyperlink ref="Q397" r:id="rId396" xr:uid="{00000000-0004-0000-0200-00008B010000}"/>
    <hyperlink ref="Q398" r:id="rId397" xr:uid="{00000000-0004-0000-0200-00008C010000}"/>
    <hyperlink ref="Q399" r:id="rId398" xr:uid="{00000000-0004-0000-0200-00008D010000}"/>
    <hyperlink ref="Q400" r:id="rId399" xr:uid="{00000000-0004-0000-0200-00008E010000}"/>
    <hyperlink ref="Q401" r:id="rId400" xr:uid="{00000000-0004-0000-0200-00008F010000}"/>
    <hyperlink ref="Q402" r:id="rId401" xr:uid="{00000000-0004-0000-0200-000090010000}"/>
    <hyperlink ref="Q403" r:id="rId402" xr:uid="{00000000-0004-0000-0200-000091010000}"/>
    <hyperlink ref="Q404" r:id="rId403" xr:uid="{00000000-0004-0000-0200-000092010000}"/>
    <hyperlink ref="Q405" r:id="rId404" xr:uid="{00000000-0004-0000-0200-000093010000}"/>
    <hyperlink ref="Q406" r:id="rId405" xr:uid="{00000000-0004-0000-0200-000094010000}"/>
    <hyperlink ref="Q407" r:id="rId406" xr:uid="{00000000-0004-0000-0200-000095010000}"/>
    <hyperlink ref="Q408" r:id="rId407" xr:uid="{00000000-0004-0000-0200-000096010000}"/>
    <hyperlink ref="Q409" r:id="rId408" xr:uid="{00000000-0004-0000-0200-000097010000}"/>
    <hyperlink ref="Q410" r:id="rId409" xr:uid="{00000000-0004-0000-0200-000098010000}"/>
    <hyperlink ref="Q411" r:id="rId410" xr:uid="{00000000-0004-0000-0200-000099010000}"/>
    <hyperlink ref="Q412" r:id="rId411" xr:uid="{00000000-0004-0000-0200-00009A010000}"/>
    <hyperlink ref="Q413" r:id="rId412" xr:uid="{00000000-0004-0000-0200-00009B010000}"/>
    <hyperlink ref="Q414" r:id="rId413" xr:uid="{00000000-0004-0000-0200-00009C010000}"/>
    <hyperlink ref="Q415" r:id="rId414" xr:uid="{00000000-0004-0000-0200-00009D010000}"/>
    <hyperlink ref="Q416" r:id="rId415" xr:uid="{00000000-0004-0000-0200-00009E010000}"/>
    <hyperlink ref="Q417" r:id="rId416" xr:uid="{00000000-0004-0000-0200-00009F010000}"/>
    <hyperlink ref="Q418" r:id="rId417" xr:uid="{00000000-0004-0000-0200-0000A0010000}"/>
    <hyperlink ref="Q419" r:id="rId418" xr:uid="{00000000-0004-0000-0200-0000A1010000}"/>
    <hyperlink ref="Q420" r:id="rId419" xr:uid="{00000000-0004-0000-0200-0000A2010000}"/>
    <hyperlink ref="Q421" r:id="rId420" xr:uid="{00000000-0004-0000-0200-0000A3010000}"/>
    <hyperlink ref="Q422" r:id="rId421" xr:uid="{00000000-0004-0000-0200-0000A4010000}"/>
    <hyperlink ref="Q423" r:id="rId422" xr:uid="{00000000-0004-0000-0200-0000A5010000}"/>
    <hyperlink ref="Q424" r:id="rId423" xr:uid="{00000000-0004-0000-0200-0000A6010000}"/>
    <hyperlink ref="Q425" r:id="rId424" xr:uid="{00000000-0004-0000-0200-0000A7010000}"/>
    <hyperlink ref="Q426" r:id="rId425" xr:uid="{00000000-0004-0000-0200-0000A8010000}"/>
    <hyperlink ref="Q427" r:id="rId426" xr:uid="{00000000-0004-0000-0200-0000A9010000}"/>
    <hyperlink ref="Q428" r:id="rId427" xr:uid="{00000000-0004-0000-0200-0000AA010000}"/>
    <hyperlink ref="Q429" r:id="rId428" xr:uid="{00000000-0004-0000-0200-0000AB010000}"/>
    <hyperlink ref="Q430" r:id="rId429" xr:uid="{00000000-0004-0000-0200-0000AC010000}"/>
    <hyperlink ref="Q431" r:id="rId430" xr:uid="{00000000-0004-0000-0200-0000AD010000}"/>
    <hyperlink ref="Q432" r:id="rId431" xr:uid="{00000000-0004-0000-0200-0000AE010000}"/>
    <hyperlink ref="Q433" r:id="rId432" xr:uid="{00000000-0004-0000-0200-0000AF010000}"/>
    <hyperlink ref="Q434" r:id="rId433" xr:uid="{00000000-0004-0000-0200-0000B0010000}"/>
    <hyperlink ref="Q435" r:id="rId434" xr:uid="{00000000-0004-0000-0200-0000B1010000}"/>
    <hyperlink ref="Q436" r:id="rId435" xr:uid="{00000000-0004-0000-0200-0000B2010000}"/>
    <hyperlink ref="Q437" r:id="rId436" xr:uid="{00000000-0004-0000-0200-0000B3010000}"/>
    <hyperlink ref="Q438" r:id="rId437" xr:uid="{00000000-0004-0000-0200-0000B4010000}"/>
    <hyperlink ref="Q439" r:id="rId438" xr:uid="{00000000-0004-0000-0200-0000B5010000}"/>
    <hyperlink ref="Q440" r:id="rId439" xr:uid="{00000000-0004-0000-0200-0000B6010000}"/>
    <hyperlink ref="Q441" r:id="rId440" xr:uid="{00000000-0004-0000-0200-0000B7010000}"/>
    <hyperlink ref="Q442" r:id="rId441" xr:uid="{00000000-0004-0000-0200-0000B8010000}"/>
    <hyperlink ref="Q443" r:id="rId442" xr:uid="{00000000-0004-0000-0200-0000B9010000}"/>
    <hyperlink ref="Q444" r:id="rId443" xr:uid="{00000000-0004-0000-0200-0000BA010000}"/>
    <hyperlink ref="Q445" r:id="rId444" xr:uid="{00000000-0004-0000-0200-0000BB010000}"/>
    <hyperlink ref="Q446" r:id="rId445" xr:uid="{00000000-0004-0000-0200-0000BC010000}"/>
    <hyperlink ref="Q447" r:id="rId446" xr:uid="{00000000-0004-0000-0200-0000BD010000}"/>
    <hyperlink ref="Q448" r:id="rId447" xr:uid="{00000000-0004-0000-0200-0000BE010000}"/>
    <hyperlink ref="Q449" r:id="rId448" xr:uid="{00000000-0004-0000-0200-0000BF010000}"/>
    <hyperlink ref="Q450" r:id="rId449" xr:uid="{00000000-0004-0000-0200-0000C0010000}"/>
    <hyperlink ref="Q451" r:id="rId450" xr:uid="{00000000-0004-0000-0200-0000C1010000}"/>
    <hyperlink ref="Q452" r:id="rId451" xr:uid="{00000000-0004-0000-0200-0000C2010000}"/>
    <hyperlink ref="Q453" r:id="rId452" xr:uid="{00000000-0004-0000-0200-0000C3010000}"/>
    <hyperlink ref="Q454" r:id="rId453" xr:uid="{00000000-0004-0000-0200-0000C4010000}"/>
    <hyperlink ref="Q455" r:id="rId454" xr:uid="{00000000-0004-0000-0200-0000C5010000}"/>
    <hyperlink ref="Q456" r:id="rId455" xr:uid="{00000000-0004-0000-0200-0000C6010000}"/>
    <hyperlink ref="Q457" r:id="rId456" xr:uid="{00000000-0004-0000-0200-0000C7010000}"/>
    <hyperlink ref="Q458" r:id="rId457" xr:uid="{00000000-0004-0000-0200-0000C8010000}"/>
    <hyperlink ref="Q459" r:id="rId458" xr:uid="{00000000-0004-0000-0200-0000C9010000}"/>
    <hyperlink ref="Q460" r:id="rId459" xr:uid="{00000000-0004-0000-0200-0000CA010000}"/>
    <hyperlink ref="Q461" r:id="rId460" xr:uid="{00000000-0004-0000-0200-0000CB010000}"/>
    <hyperlink ref="Q462" r:id="rId461" xr:uid="{00000000-0004-0000-0200-0000CC010000}"/>
    <hyperlink ref="Q463" r:id="rId462" xr:uid="{00000000-0004-0000-0200-0000CD010000}"/>
    <hyperlink ref="Q464" r:id="rId463" xr:uid="{00000000-0004-0000-0200-0000CE010000}"/>
    <hyperlink ref="Q465" r:id="rId464" xr:uid="{00000000-0004-0000-0200-0000CF010000}"/>
    <hyperlink ref="Q466" r:id="rId465" xr:uid="{00000000-0004-0000-0200-0000D0010000}"/>
    <hyperlink ref="Q467" r:id="rId466" xr:uid="{00000000-0004-0000-0200-0000D1010000}"/>
    <hyperlink ref="Q468" r:id="rId467" xr:uid="{00000000-0004-0000-0200-0000D2010000}"/>
    <hyperlink ref="Q469" r:id="rId468" xr:uid="{00000000-0004-0000-0200-0000D3010000}"/>
    <hyperlink ref="Q470" r:id="rId469" xr:uid="{00000000-0004-0000-0200-0000D4010000}"/>
    <hyperlink ref="Q471" r:id="rId470" xr:uid="{00000000-0004-0000-0200-0000D5010000}"/>
    <hyperlink ref="Q472" r:id="rId471" xr:uid="{00000000-0004-0000-0200-0000D6010000}"/>
    <hyperlink ref="Q473" r:id="rId472" xr:uid="{00000000-0004-0000-0200-0000D7010000}"/>
    <hyperlink ref="Q474" r:id="rId473" xr:uid="{00000000-0004-0000-0200-0000D8010000}"/>
    <hyperlink ref="Q475" r:id="rId474" xr:uid="{00000000-0004-0000-0200-0000D9010000}"/>
    <hyperlink ref="Q476" r:id="rId475" xr:uid="{00000000-0004-0000-0200-0000DA010000}"/>
    <hyperlink ref="Q477" r:id="rId476" xr:uid="{00000000-0004-0000-0200-0000DB010000}"/>
    <hyperlink ref="Q478" r:id="rId477" xr:uid="{00000000-0004-0000-0200-0000DC010000}"/>
    <hyperlink ref="Q479" r:id="rId478" xr:uid="{00000000-0004-0000-0200-0000DD010000}"/>
    <hyperlink ref="Q480" r:id="rId479" xr:uid="{00000000-0004-0000-0200-0000DE010000}"/>
    <hyperlink ref="Q481" r:id="rId480" xr:uid="{00000000-0004-0000-0200-0000DF010000}"/>
    <hyperlink ref="Q482" r:id="rId481" xr:uid="{00000000-0004-0000-0200-0000E0010000}"/>
    <hyperlink ref="Q483" r:id="rId482" xr:uid="{00000000-0004-0000-0200-0000E1010000}"/>
    <hyperlink ref="Q484" r:id="rId483" xr:uid="{00000000-0004-0000-0200-0000E2010000}"/>
    <hyperlink ref="Q485" r:id="rId484" xr:uid="{00000000-0004-0000-0200-0000E3010000}"/>
    <hyperlink ref="Q486" r:id="rId485" xr:uid="{00000000-0004-0000-0200-0000E4010000}"/>
    <hyperlink ref="Q487" r:id="rId486" xr:uid="{00000000-0004-0000-0200-0000E5010000}"/>
    <hyperlink ref="Q488" r:id="rId487" xr:uid="{00000000-0004-0000-0200-0000E6010000}"/>
    <hyperlink ref="Q489" r:id="rId488" xr:uid="{00000000-0004-0000-0200-0000E7010000}"/>
    <hyperlink ref="Q490" r:id="rId489" xr:uid="{00000000-0004-0000-0200-0000E8010000}"/>
    <hyperlink ref="Q491" r:id="rId490" xr:uid="{00000000-0004-0000-0200-0000E9010000}"/>
    <hyperlink ref="Q492" r:id="rId491" xr:uid="{00000000-0004-0000-0200-0000EA010000}"/>
    <hyperlink ref="Q493" r:id="rId492" xr:uid="{00000000-0004-0000-0200-0000EB010000}"/>
    <hyperlink ref="Q494" r:id="rId493" xr:uid="{00000000-0004-0000-0200-0000EC010000}"/>
    <hyperlink ref="Q495" r:id="rId494" xr:uid="{00000000-0004-0000-0200-0000ED010000}"/>
    <hyperlink ref="Q496" r:id="rId495" xr:uid="{00000000-0004-0000-0200-0000EE010000}"/>
    <hyperlink ref="Q497" r:id="rId496" xr:uid="{00000000-0004-0000-0200-0000EF010000}"/>
    <hyperlink ref="Q498" r:id="rId497" xr:uid="{00000000-0004-0000-0200-0000F0010000}"/>
    <hyperlink ref="Q499" r:id="rId498" xr:uid="{00000000-0004-0000-0200-0000F1010000}"/>
    <hyperlink ref="Q500" r:id="rId499" xr:uid="{00000000-0004-0000-0200-0000F2010000}"/>
    <hyperlink ref="Q501" r:id="rId500" xr:uid="{00000000-0004-0000-0200-0000F3010000}"/>
    <hyperlink ref="Q502" r:id="rId501" xr:uid="{00000000-0004-0000-0200-0000F4010000}"/>
    <hyperlink ref="Q503" r:id="rId502" xr:uid="{00000000-0004-0000-0200-0000F5010000}"/>
    <hyperlink ref="Q504" r:id="rId503" xr:uid="{00000000-0004-0000-0200-0000F6010000}"/>
    <hyperlink ref="Q505" r:id="rId504" xr:uid="{00000000-0004-0000-0200-0000F7010000}"/>
    <hyperlink ref="Q525" r:id="rId505" xr:uid="{00000000-0004-0000-0200-0000F8010000}"/>
    <hyperlink ref="Q526" r:id="rId506" xr:uid="{00000000-0004-0000-0200-0000F9010000}"/>
    <hyperlink ref="Q527" r:id="rId507" xr:uid="{00000000-0004-0000-0200-0000FA010000}"/>
    <hyperlink ref="Q532" r:id="rId508" xr:uid="{00000000-0004-0000-0200-0000FB010000}"/>
    <hyperlink ref="Q533" r:id="rId509" xr:uid="{00000000-0004-0000-0200-0000FC010000}"/>
    <hyperlink ref="Q534" r:id="rId510" xr:uid="{00000000-0004-0000-0200-0000FD010000}"/>
    <hyperlink ref="Q535" r:id="rId511" xr:uid="{00000000-0004-0000-0200-0000FE010000}"/>
    <hyperlink ref="Q536" r:id="rId512" xr:uid="{00000000-0004-0000-0200-0000FF010000}"/>
    <hyperlink ref="Q537" r:id="rId513" xr:uid="{00000000-0004-0000-0200-000000020000}"/>
    <hyperlink ref="Q538" r:id="rId514" xr:uid="{00000000-0004-0000-0200-000001020000}"/>
    <hyperlink ref="Q539" r:id="rId515" xr:uid="{00000000-0004-0000-0200-000002020000}"/>
    <hyperlink ref="Q540" r:id="rId516" xr:uid="{00000000-0004-0000-0200-000003020000}"/>
    <hyperlink ref="Q541" r:id="rId517" xr:uid="{00000000-0004-0000-0200-000004020000}"/>
    <hyperlink ref="Q542" r:id="rId518" xr:uid="{00000000-0004-0000-0200-000005020000}"/>
    <hyperlink ref="Q543" r:id="rId519" xr:uid="{00000000-0004-0000-0200-000006020000}"/>
    <hyperlink ref="Q544" r:id="rId520" xr:uid="{00000000-0004-0000-0200-000007020000}"/>
    <hyperlink ref="Q545" r:id="rId521" xr:uid="{00000000-0004-0000-0200-000008020000}"/>
    <hyperlink ref="Q546" r:id="rId522" xr:uid="{00000000-0004-0000-0200-000009020000}"/>
    <hyperlink ref="Q547" r:id="rId523" xr:uid="{00000000-0004-0000-0200-00000A020000}"/>
    <hyperlink ref="Q548" r:id="rId524" xr:uid="{00000000-0004-0000-0200-00000B020000}"/>
    <hyperlink ref="Q549" r:id="rId525" xr:uid="{00000000-0004-0000-0200-00000C020000}"/>
    <hyperlink ref="Q550" r:id="rId526" xr:uid="{00000000-0004-0000-0200-00000D020000}"/>
    <hyperlink ref="Q551" r:id="rId527" xr:uid="{00000000-0004-0000-0200-00000E020000}"/>
    <hyperlink ref="Q552" r:id="rId528" xr:uid="{00000000-0004-0000-0200-00000F020000}"/>
    <hyperlink ref="Q553" r:id="rId529" xr:uid="{00000000-0004-0000-0200-000010020000}"/>
    <hyperlink ref="Q554" r:id="rId530" xr:uid="{00000000-0004-0000-0200-000011020000}"/>
    <hyperlink ref="Q555" r:id="rId531" xr:uid="{00000000-0004-0000-0200-000012020000}"/>
    <hyperlink ref="Q556" r:id="rId532" xr:uid="{00000000-0004-0000-0200-000013020000}"/>
    <hyperlink ref="Q557" r:id="rId533" xr:uid="{00000000-0004-0000-0200-000014020000}"/>
    <hyperlink ref="Q558" r:id="rId534" xr:uid="{00000000-0004-0000-0200-000015020000}"/>
    <hyperlink ref="Q559" r:id="rId535" xr:uid="{00000000-0004-0000-0200-000016020000}"/>
    <hyperlink ref="Q560" r:id="rId536" xr:uid="{00000000-0004-0000-0200-000017020000}"/>
    <hyperlink ref="Q561" r:id="rId537" xr:uid="{00000000-0004-0000-0200-000018020000}"/>
    <hyperlink ref="Q562" r:id="rId538" xr:uid="{00000000-0004-0000-0200-000019020000}"/>
    <hyperlink ref="Q563" r:id="rId539" xr:uid="{00000000-0004-0000-0200-00001A020000}"/>
    <hyperlink ref="Q564" r:id="rId540" xr:uid="{00000000-0004-0000-0200-00001B020000}"/>
    <hyperlink ref="Q565" r:id="rId541" xr:uid="{00000000-0004-0000-0200-00001C020000}"/>
    <hyperlink ref="Q566" r:id="rId542" xr:uid="{00000000-0004-0000-0200-00001D020000}"/>
    <hyperlink ref="Q567" r:id="rId543" xr:uid="{00000000-0004-0000-0200-00001E020000}"/>
    <hyperlink ref="Q568" r:id="rId544" xr:uid="{00000000-0004-0000-0200-00001F020000}"/>
    <hyperlink ref="Q569" r:id="rId545" xr:uid="{00000000-0004-0000-0200-000020020000}"/>
    <hyperlink ref="Q570" r:id="rId546" xr:uid="{00000000-0004-0000-0200-000021020000}"/>
    <hyperlink ref="Q571" r:id="rId547" xr:uid="{00000000-0004-0000-0200-000022020000}"/>
    <hyperlink ref="Q572" r:id="rId548" xr:uid="{00000000-0004-0000-0200-000023020000}"/>
    <hyperlink ref="Q573" r:id="rId549" xr:uid="{00000000-0004-0000-0200-000024020000}"/>
    <hyperlink ref="Q574" r:id="rId550" xr:uid="{00000000-0004-0000-0200-000025020000}"/>
    <hyperlink ref="Q575" r:id="rId551" xr:uid="{00000000-0004-0000-0200-000026020000}"/>
    <hyperlink ref="Q576" r:id="rId552" xr:uid="{00000000-0004-0000-0200-000027020000}"/>
    <hyperlink ref="Q577" r:id="rId553" xr:uid="{00000000-0004-0000-0200-000028020000}"/>
    <hyperlink ref="Q578" r:id="rId554" xr:uid="{00000000-0004-0000-0200-000029020000}"/>
    <hyperlink ref="Q579" r:id="rId555" xr:uid="{00000000-0004-0000-0200-00002A020000}"/>
    <hyperlink ref="Q580" r:id="rId556" xr:uid="{00000000-0004-0000-0200-00002B020000}"/>
    <hyperlink ref="Q581" r:id="rId557" xr:uid="{00000000-0004-0000-0200-00002C020000}"/>
    <hyperlink ref="Q582" r:id="rId558" xr:uid="{00000000-0004-0000-0200-00002D020000}"/>
    <hyperlink ref="Q583" r:id="rId559" xr:uid="{00000000-0004-0000-0200-00002E020000}"/>
    <hyperlink ref="Q584" r:id="rId560" xr:uid="{00000000-0004-0000-0200-00002F020000}"/>
    <hyperlink ref="Q585" r:id="rId561" xr:uid="{00000000-0004-0000-0200-000030020000}"/>
    <hyperlink ref="Q592" r:id="rId562" xr:uid="{00000000-0004-0000-0200-000031020000}"/>
    <hyperlink ref="Q593" r:id="rId563" xr:uid="{00000000-0004-0000-0200-000032020000}"/>
    <hyperlink ref="Q594" r:id="rId564" xr:uid="{00000000-0004-0000-0200-000033020000}"/>
    <hyperlink ref="Q595" r:id="rId565" xr:uid="{00000000-0004-0000-0200-000034020000}"/>
    <hyperlink ref="Q596" r:id="rId566" xr:uid="{00000000-0004-0000-0200-000035020000}"/>
    <hyperlink ref="Q597" r:id="rId567" xr:uid="{00000000-0004-0000-0200-000036020000}"/>
    <hyperlink ref="Q598" r:id="rId568" xr:uid="{00000000-0004-0000-0200-000037020000}"/>
    <hyperlink ref="Q599" r:id="rId569" xr:uid="{00000000-0004-0000-0200-000038020000}"/>
    <hyperlink ref="Q600" r:id="rId570" xr:uid="{00000000-0004-0000-0200-000039020000}"/>
    <hyperlink ref="Q601" r:id="rId571" xr:uid="{00000000-0004-0000-0200-00003A020000}"/>
    <hyperlink ref="Q602" r:id="rId572" xr:uid="{00000000-0004-0000-0200-00003B020000}"/>
    <hyperlink ref="Q603" r:id="rId573" xr:uid="{00000000-0004-0000-0200-00003C020000}"/>
    <hyperlink ref="Q604" r:id="rId574" xr:uid="{00000000-0004-0000-0200-00003D020000}"/>
    <hyperlink ref="Q605" r:id="rId575" xr:uid="{00000000-0004-0000-0200-00003E020000}"/>
    <hyperlink ref="Q606" r:id="rId576" xr:uid="{00000000-0004-0000-0200-00003F020000}"/>
    <hyperlink ref="Q607" r:id="rId577" xr:uid="{00000000-0004-0000-0200-000040020000}"/>
    <hyperlink ref="Q608" r:id="rId578" xr:uid="{00000000-0004-0000-0200-000041020000}"/>
    <hyperlink ref="Q609" r:id="rId579" xr:uid="{00000000-0004-0000-0200-000042020000}"/>
    <hyperlink ref="Q610" r:id="rId580" xr:uid="{00000000-0004-0000-0200-000043020000}"/>
    <hyperlink ref="Q611" r:id="rId581" xr:uid="{00000000-0004-0000-0200-000044020000}"/>
    <hyperlink ref="Q612" r:id="rId582" xr:uid="{00000000-0004-0000-0200-000045020000}"/>
    <hyperlink ref="Q613" r:id="rId583" xr:uid="{00000000-0004-0000-0200-000046020000}"/>
    <hyperlink ref="Q614" r:id="rId584" xr:uid="{00000000-0004-0000-0200-000047020000}"/>
    <hyperlink ref="Q615" r:id="rId585" xr:uid="{00000000-0004-0000-0200-000048020000}"/>
    <hyperlink ref="Q616" r:id="rId586" xr:uid="{00000000-0004-0000-0200-000049020000}"/>
    <hyperlink ref="Q617" r:id="rId587" xr:uid="{00000000-0004-0000-0200-00004A020000}"/>
    <hyperlink ref="Q618" r:id="rId588" xr:uid="{00000000-0004-0000-0200-00004B020000}"/>
    <hyperlink ref="Q619" r:id="rId589" xr:uid="{00000000-0004-0000-0200-00004C020000}"/>
    <hyperlink ref="Q620" r:id="rId590" xr:uid="{00000000-0004-0000-0200-00004D020000}"/>
    <hyperlink ref="Q621" r:id="rId591" xr:uid="{00000000-0004-0000-0200-00004E020000}"/>
    <hyperlink ref="Q622" r:id="rId592" xr:uid="{00000000-0004-0000-0200-00004F020000}"/>
    <hyperlink ref="Q623" r:id="rId593" xr:uid="{00000000-0004-0000-0200-000050020000}"/>
    <hyperlink ref="Q624" r:id="rId594" xr:uid="{00000000-0004-0000-0200-000051020000}"/>
    <hyperlink ref="Q625" r:id="rId595" xr:uid="{00000000-0004-0000-0200-000052020000}"/>
    <hyperlink ref="Q626" r:id="rId596" xr:uid="{00000000-0004-0000-0200-000053020000}"/>
    <hyperlink ref="Q627" r:id="rId597" xr:uid="{00000000-0004-0000-0200-000054020000}"/>
    <hyperlink ref="Q628" r:id="rId598" xr:uid="{00000000-0004-0000-0200-000055020000}"/>
    <hyperlink ref="Q629" r:id="rId599" xr:uid="{00000000-0004-0000-0200-000056020000}"/>
    <hyperlink ref="Q630" r:id="rId600" xr:uid="{00000000-0004-0000-0200-000057020000}"/>
    <hyperlink ref="Q631" r:id="rId601" xr:uid="{00000000-0004-0000-0200-000058020000}"/>
    <hyperlink ref="Q632" r:id="rId602" xr:uid="{00000000-0004-0000-0200-000059020000}"/>
    <hyperlink ref="Q633" r:id="rId603" xr:uid="{00000000-0004-0000-0200-00005A020000}"/>
    <hyperlink ref="Q634" r:id="rId604" xr:uid="{00000000-0004-0000-0200-00005B020000}"/>
    <hyperlink ref="Q635" r:id="rId605" xr:uid="{00000000-0004-0000-0200-00005C020000}"/>
    <hyperlink ref="Q636" r:id="rId606" xr:uid="{00000000-0004-0000-0200-00005D020000}"/>
    <hyperlink ref="Q637" r:id="rId607" xr:uid="{00000000-0004-0000-0200-00005E020000}"/>
    <hyperlink ref="Q638" r:id="rId608" xr:uid="{00000000-0004-0000-0200-00005F020000}"/>
    <hyperlink ref="Q639" r:id="rId609" xr:uid="{00000000-0004-0000-0200-000060020000}"/>
    <hyperlink ref="Q640" r:id="rId610" xr:uid="{00000000-0004-0000-0200-00006102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Tender Data</vt:lpstr>
      <vt:lpstr>Final</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2026-06-23T15:09:29Z</dcterms:created>
  <dcterms:modified xsi:type="dcterms:W3CDTF">2026-06-23T15:13:03Z</dcterms:modified>
</cp:coreProperties>
</file>