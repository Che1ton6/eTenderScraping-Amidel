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  <sheet name="Final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erratum-1_plumbing.pdf" TargetMode="External" Id="rId1" /><Relationship Type="http://schemas.openxmlformats.org/officeDocument/2006/relationships/hyperlink" Target="https://www.ecdpw.gov.za/wp-content/tender-uploads/scmu5-26-27-0010-amr-inf-two-year-term-contract-for-supply-servicing-repairs-and-maintenance-of-plumbing-cluster-5-(idutywa-service-office-ngqamakhwe-multipurpose-centre-and-dutywa-cluster-offices).pdf" TargetMode="External" Id="rId2" /><Relationship Type="http://schemas.openxmlformats.org/officeDocument/2006/relationships/hyperlink" Target="https://www.ecdpw.gov.za/wp-content/tender-uploads/scmu5-26-27-0009-amr-inf-two-year-term-contract-for-supply-servicing-repairs-and-maintenance-of-plumbing-cluster-4-(-nu-1-mdantsane-silver-crown-east-london-house-on-the-rock-&amp;-john-x-merriman-youth-care-centre).pdf" TargetMode="External" Id="rId3" /><Relationship Type="http://schemas.openxmlformats.org/officeDocument/2006/relationships/hyperlink" Target="https://www.ecdpw.gov.za/wp-content/tender-uploads/scmu5-26-27-0008-amr-inf-two-year-term-contract-for-supply-servicing-repairs-and-maintenance-of-plumbing-cluster-3-(cathcart-stutterheim-keiskammahoek-&amp;-bhisho.pdf" TargetMode="External" Id="rId4" /><Relationship Type="http://schemas.openxmlformats.org/officeDocument/2006/relationships/hyperlink" Target="https://www.ecdpw.gov.za/wp-content/tender-uploads/scmu5-26-27-0007-amr-inf--two-year-term-contract-for-supply-servicing-repairs-and-maintenance-of-plumbing-cluster-2-(middledrift-peddie-zwelitsha-&amp;-enoch-sontonga-rehab-centre.pdf" TargetMode="External" Id="rId5" /><Relationship Type="http://schemas.openxmlformats.org/officeDocument/2006/relationships/hyperlink" Target="https://www.ecdpw.gov.za/wp-content/tender-uploads/scmu5-26-27-0006-amr-inf-two-year-term-contract-for-supply-servicing-repairs-and-maintenance-of-plumbing-cluster-1-(seymour-bedford-fort-beaufort-and-alice).pdf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ecdpw.gov.za/wp-content/tender-uploads/erratum-training-material--alf5-26-27-0013.pdf" TargetMode="External" Id="rId1" /><Relationship Type="http://schemas.openxmlformats.org/officeDocument/2006/relationships/hyperlink" Target="https://www.ecdpw.gov.za/wp-content/tender-uploads/erratum-1_plumbing.pdf" TargetMode="External" Id="rId2" /><Relationship Type="http://schemas.openxmlformats.org/officeDocument/2006/relationships/hyperlink" Target="https://www.ecdpw.gov.za/wp-content/tender-uploads/scmu5-26-27-0010-amr-inf-two-year-term-contract-for-supply-servicing-repairs-and-maintenance-of-plumbing-cluster-5-(idutywa-service-office-ngqamakhwe-multipurpose-centre-and-dutywa-cluster-offices).pdf" TargetMode="External" Id="rId3" /><Relationship Type="http://schemas.openxmlformats.org/officeDocument/2006/relationships/hyperlink" Target="https://www.ecdpw.gov.za/wp-content/tender-uploads/scmu5-26-27-0009-amr-inf-two-year-term-contract-for-supply-servicing-repairs-and-maintenance-of-plumbing-cluster-4-(-nu-1-mdantsane-silver-crown-east-london-house-on-the-rock-&amp;-john-x-merriman-youth-care-centre).pdf" TargetMode="External" Id="rId4" /><Relationship Type="http://schemas.openxmlformats.org/officeDocument/2006/relationships/hyperlink" Target="https://www.ecdpw.gov.za/wp-content/tender-uploads/scmu5-26-27-0008-amr-inf-two-year-term-contract-for-supply-servicing-repairs-and-maintenance-of-plumbing-cluster-3-(cathcart-stutterheim-keiskammahoek-&amp;-bhisho.pdf" TargetMode="External" Id="rId5" /><Relationship Type="http://schemas.openxmlformats.org/officeDocument/2006/relationships/hyperlink" Target="https://www.ecdpw.gov.za/wp-content/tender-uploads/scmu5-26-27-0007-amr-inf--two-year-term-contract-for-supply-servicing-repairs-and-maintenance-of-plumbing-cluster-2-(middledrift-peddie-zwelitsha-&amp;-enoch-sontonga-rehab-centre.pdf" TargetMode="External" Id="rId6" /><Relationship Type="http://schemas.openxmlformats.org/officeDocument/2006/relationships/hyperlink" Target="https://www.ecdpw.gov.za/wp-content/tender-uploads/scmu5-26-27-0006-amr-inf-two-year-term-contract-for-supply-servicing-repairs-and-maintenance-of-plumbing-cluster-1-(seymour-bedford-fort-beaufort-and-alice).pdf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46247</v>
      </c>
      <c r="B2" t="n">
        <v>6</v>
      </c>
      <c r="C2" t="inlineStr">
        <is>
          <t>SCMU5-26/27-003 JGR</t>
        </is>
      </c>
      <c r="D2" s="2" t="n">
        <v>46246</v>
      </c>
      <c r="E2" t="inlineStr"/>
      <c r="F2" t="inlineStr"/>
      <c r="G2" t="inlineStr">
        <is>
          <t>Request for Bid</t>
        </is>
      </c>
      <c r="H2" t="inlineStr">
        <is>
          <t>ERRATUM - TWO-YEAR CONTRACT FOR SUPPLY, SERVICING, REPAIRS AND MAINTENANCE OF PLUMBING AND DRAINANGE EQUIPMENT FOR JOE GQABI DISTRICT.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https://www.ecdpw.gov.za/wp-content/tender-uploads/erratum-1_plumbing.pdf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46247</v>
      </c>
      <c r="B3" t="n">
        <v>5</v>
      </c>
      <c r="C3" t="inlineStr">
        <is>
          <t>SCMU5-26/27-0010 AMR</t>
        </is>
      </c>
      <c r="D3" s="2" t="n">
        <v>46245</v>
      </c>
      <c r="E3" t="inlineStr"/>
      <c r="F3" t="inlineStr"/>
      <c r="G3" t="inlineStr">
        <is>
          <t>Request for Bid</t>
        </is>
      </c>
      <c r="H3" t="inlineStr">
        <is>
          <t>TWO-YEAR TERM CONTRACT FOR SUPPLY, SERVICING, REPAIRS AND MAINTENANCE OF PLUMBING- CLUSTER 5 (IDUTYWA SERVICE OFFICE, NGQAMAKHWE MULTIPURPOSE CENTRE AND DUTYWA CLUSTER OFFICES)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s="3" t="inlineStr">
        <is>
          <t>https://www.ecdpw.gov.za/wp-content/tender-uploads/scmu5-26-27-0010-amr-inf-two-year-term-contract-for-supply-servicing-repairs-and-maintenance-of-plumbing-cluster-5-(idutywa-service-office-ngqamakhwe-multipurpose-centre-and-dutywa-cluster-offices).pdf</t>
        </is>
      </c>
      <c r="R3" t="inlineStr"/>
      <c r="S3" t="inlineStr"/>
      <c r="T3" t="inlineStr"/>
      <c r="U3" t="inlineStr"/>
      <c r="V3" t="inlineStr"/>
      <c r="W3" t="inlineStr"/>
    </row>
    <row r="4">
      <c r="A4" s="2" t="n">
        <v>46247</v>
      </c>
      <c r="B4" t="n">
        <v>4</v>
      </c>
      <c r="C4" t="inlineStr">
        <is>
          <t>SCMU5-26/27-0009 AMR</t>
        </is>
      </c>
      <c r="D4" s="2" t="n">
        <v>46245</v>
      </c>
      <c r="E4" t="inlineStr"/>
      <c r="F4" t="inlineStr"/>
      <c r="G4" t="inlineStr">
        <is>
          <t>Request for Bid</t>
        </is>
      </c>
      <c r="H4" t="inlineStr">
        <is>
          <t>TWO-YEAR TERM CONTRACT FOR SUPPLY, SERVICING, REPAIRS AND MAINTENANCE OF PLUMBING- CLUSTER 4 ( NU 1 MDANTSANE, SILVER CROWN EAST LONDON, HOUSE ON THE ROCK &amp; JOHN X MERRIMAN YOUTH CARE CENTRE)</t>
        </is>
      </c>
      <c r="I4" t="inlineStr">
        <is>
          <t>ECDPW.GOV.ZA</t>
        </is>
      </c>
      <c r="J4" t="inlineStr">
        <is>
          <t>Eastern Cape Department of Public Works and Infrastructure</t>
        </is>
      </c>
      <c r="K4" t="inlineStr">
        <is>
          <t>Eastern Cape</t>
        </is>
      </c>
      <c r="L4" t="inlineStr"/>
      <c r="M4" t="inlineStr"/>
      <c r="N4" t="inlineStr"/>
      <c r="O4" t="inlineStr"/>
      <c r="P4" t="inlineStr"/>
      <c r="Q4" s="3" t="inlineStr">
        <is>
          <t>https://www.ecdpw.gov.za/wp-content/tender-uploads/scmu5-26-27-0009-amr-inf-two-year-term-contract-for-supply-servicing-repairs-and-maintenance-of-plumbing-cluster-4-(-nu-1-mdantsane-silver-crown-east-london-house-on-the-rock-&amp;-john-x-merriman-youth-care-centre).pdf</t>
        </is>
      </c>
      <c r="R4" t="inlineStr"/>
      <c r="S4" t="inlineStr"/>
      <c r="T4" t="inlineStr"/>
      <c r="U4" t="inlineStr"/>
      <c r="V4" t="inlineStr"/>
      <c r="W4" t="inlineStr"/>
    </row>
    <row r="5">
      <c r="A5" s="2" t="n">
        <v>46247</v>
      </c>
      <c r="B5" t="n">
        <v>3</v>
      </c>
      <c r="C5" t="inlineStr">
        <is>
          <t>SCMU5-26/27-0008 AMR</t>
        </is>
      </c>
      <c r="D5" s="2" t="n">
        <v>46245</v>
      </c>
      <c r="E5" t="inlineStr"/>
      <c r="F5" t="inlineStr"/>
      <c r="G5" t="inlineStr">
        <is>
          <t>Request for Bid</t>
        </is>
      </c>
      <c r="H5" t="inlineStr">
        <is>
          <t>TWO-YEAR TERM CONTRACT FOR SUPPLY, SERVICING, REPAIRS AND MAINTENANCE OF PLUMBING- CLUSTER 3 (CATHCART, STUTTERHEIM, KEISKAMMAHOEK &amp; BHISHO)</t>
        </is>
      </c>
      <c r="I5" t="inlineStr">
        <is>
          <t>ECDPW.GOV.ZA</t>
        </is>
      </c>
      <c r="J5" t="inlineStr">
        <is>
          <t>Eastern Cape Department of Public Works and Infrastructure</t>
        </is>
      </c>
      <c r="K5" t="inlineStr">
        <is>
          <t>Eastern Cape</t>
        </is>
      </c>
      <c r="L5" t="inlineStr"/>
      <c r="M5" t="inlineStr"/>
      <c r="N5" t="inlineStr"/>
      <c r="O5" t="inlineStr"/>
      <c r="P5" t="inlineStr"/>
      <c r="Q5" s="3" t="inlineStr">
        <is>
          <t>https://www.ecdpw.gov.za/wp-content/tender-uploads/scmu5-26-27-0008-amr-inf-two-year-term-contract-for-supply-servicing-repairs-and-maintenance-of-plumbing-cluster-3-(cathcart-stutterheim-keiskammahoek-&amp;-bhisho.pdf</t>
        </is>
      </c>
      <c r="R5" t="inlineStr"/>
      <c r="S5" t="inlineStr"/>
      <c r="T5" t="inlineStr"/>
      <c r="U5" t="inlineStr"/>
      <c r="V5" t="inlineStr"/>
      <c r="W5" t="inlineStr"/>
    </row>
    <row r="6">
      <c r="A6" s="2" t="n">
        <v>46247</v>
      </c>
      <c r="B6" t="n">
        <v>2</v>
      </c>
      <c r="C6" t="inlineStr">
        <is>
          <t>SCMU5-26/27-0007 AMR</t>
        </is>
      </c>
      <c r="D6" s="2" t="n">
        <v>46245</v>
      </c>
      <c r="E6" t="inlineStr"/>
      <c r="F6" t="inlineStr"/>
      <c r="G6" t="inlineStr">
        <is>
          <t>Request for Bid</t>
        </is>
      </c>
      <c r="H6" t="inlineStr">
        <is>
          <t>TWO-YEAR TERM CONTRACT FOR SUPPLY, SERVICING, REPAIRS AND MAINTENANCE OF PLUMBING-CLUSTER 2 (MIDDLEDRIFT, PEDDIE, ZWELITSHA &amp; ENOCH SONTONGA REHAB CENTRE)</t>
        </is>
      </c>
      <c r="I6" t="inlineStr">
        <is>
          <t>ECDPW.GOV.ZA</t>
        </is>
      </c>
      <c r="J6" t="inlineStr">
        <is>
          <t>Eastern Cape Department of Public Works and Infrastructure</t>
        </is>
      </c>
      <c r="K6" t="inlineStr">
        <is>
          <t>Eastern Cape</t>
        </is>
      </c>
      <c r="L6" t="inlineStr"/>
      <c r="M6" t="inlineStr"/>
      <c r="N6" t="inlineStr"/>
      <c r="O6" t="inlineStr"/>
      <c r="P6" t="inlineStr"/>
      <c r="Q6" s="3" t="inlineStr">
        <is>
          <t>https://www.ecdpw.gov.za/wp-content/tender-uploads/scmu5-26-27-0007-amr-inf--two-year-term-contract-for-supply-servicing-repairs-and-maintenance-of-plumbing-cluster-2-(middledrift-peddie-zwelitsha-&amp;-enoch-sontonga-rehab-centre.pdf</t>
        </is>
      </c>
      <c r="R6" t="inlineStr"/>
      <c r="S6" t="inlineStr"/>
      <c r="T6" t="inlineStr"/>
      <c r="U6" t="inlineStr"/>
      <c r="V6" t="inlineStr"/>
      <c r="W6" t="inlineStr"/>
    </row>
    <row r="7">
      <c r="A7" s="2" t="n">
        <v>46247</v>
      </c>
      <c r="B7" t="n">
        <v>1</v>
      </c>
      <c r="C7" t="inlineStr">
        <is>
          <t>SCMU5-26/27-0006 AMR</t>
        </is>
      </c>
      <c r="D7" s="2" t="n">
        <v>46245</v>
      </c>
      <c r="E7" t="inlineStr"/>
      <c r="F7" t="inlineStr"/>
      <c r="G7" t="inlineStr">
        <is>
          <t>Request for Bid</t>
        </is>
      </c>
      <c r="H7" t="inlineStr">
        <is>
          <t>TWO-YEAR TERM CONTRACT FOR SUPPLY, SERVICING, REPAIRS AND MAINTENANCE OF PLUMBING-CLUSTER 1 (SEYMOUR, BEDFORD, FORT BEAUFORT AND ALICE)</t>
        </is>
      </c>
      <c r="I7" t="inlineStr">
        <is>
          <t>ECDPW.GOV.ZA</t>
        </is>
      </c>
      <c r="J7" t="inlineStr">
        <is>
          <t>Eastern Cape Department of Public Works and Infrastructure</t>
        </is>
      </c>
      <c r="K7" t="inlineStr">
        <is>
          <t>Eastern Cape</t>
        </is>
      </c>
      <c r="L7" t="inlineStr"/>
      <c r="M7" t="inlineStr"/>
      <c r="N7" t="inlineStr"/>
      <c r="O7" t="inlineStr"/>
      <c r="P7" t="inlineStr"/>
      <c r="Q7" s="3" t="inlineStr">
        <is>
          <t>https://www.ecdpw.gov.za/wp-content/tender-uploads/scmu5-26-27-0006-amr-inf-two-year-term-contract-for-supply-servicing-repairs-and-maintenance-of-plumbing-cluster-1-(seymour-bedford-fort-beaufort-and-alice).pdf</t>
        </is>
      </c>
      <c r="R7" t="inlineStr"/>
      <c r="S7" t="inlineStr"/>
      <c r="T7" t="inlineStr"/>
      <c r="U7" t="inlineStr"/>
      <c r="V7" t="inlineStr"/>
      <c r="W7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Number of New Tenders</t>
        </is>
      </c>
      <c r="C1" s="1" t="inlineStr">
        <is>
          <t>ICT Tenders</t>
        </is>
      </c>
      <c r="D1" s="1" t="inlineStr">
        <is>
          <t>RFQs</t>
        </is>
      </c>
    </row>
    <row r="2">
      <c r="A2" t="inlineStr">
        <is>
          <t>Report Date</t>
        </is>
      </c>
      <c r="B2" t="inlineStr">
        <is>
          <t>(T) 12/08/2026</t>
        </is>
      </c>
    </row>
    <row r="3">
      <c r="A3" t="inlineStr">
        <is>
          <t>eTenders (All)</t>
        </is>
      </c>
      <c r="B3" t="n">
        <v>0</v>
      </c>
      <c r="C3" t="n">
        <v>0</v>
      </c>
      <c r="D3" t="n">
        <v>0</v>
      </c>
    </row>
    <row r="4">
      <c r="A4" t="inlineStr">
        <is>
          <t>Eskom</t>
        </is>
      </c>
      <c r="B4">
        <f>COUNTIF('Tender Data'!J:J,"ESKOM")</f>
        <v/>
      </c>
      <c r="C4">
        <f>COUNTIFS('Tender Data'!M:M,"Information service activities",'Tender Data'!J:J,"ESKOM")+COUNTIFS('Tender Data'!M:M,"Information and communication",'Tender Data'!J:J,"ESKOM")</f>
        <v/>
      </c>
      <c r="D4">
        <f>COUNTIFS('Tender Data'!J:J,"ESKOM",'Tender Data'!G:G,"Request for Quotation")</f>
        <v/>
      </c>
    </row>
    <row r="5">
      <c r="A5" t="inlineStr">
        <is>
          <t>SITA</t>
        </is>
      </c>
      <c r="B5">
        <f>COUNTIF('Tender Data'!J:J,"State Information Technology Agency")</f>
        <v/>
      </c>
      <c r="C5">
        <f>COUNTIFS('Tender Data'!M:M,"Information service activities",'Tender Data'!J:J,"State Information Technology Agency")+COUNTIFS('Tender Data'!M:M,"Information and communication",'Tender Data'!J:J,"State Information Technology Agency")</f>
        <v/>
      </c>
      <c r="D5">
        <f>COUNTIFS('Tender Data'!J:J,"State Information Technology Agency",'Tender Data'!G:G,"Request for Quotation")</f>
        <v/>
      </c>
    </row>
    <row r="6">
      <c r="A6" t="inlineStr">
        <is>
          <t>Transnet</t>
        </is>
      </c>
      <c r="B6">
        <f>COUNTIF('Tender Data'!J:J,"Transnet*")</f>
        <v/>
      </c>
      <c r="C6">
        <f>COUNTIFS('Tender Data'!M:M,"Information service activities",'Tender Data'!J:J,"Transnet*")+COUNTIFS('Tender Data'!M:M,"Information and communication",'Tender Data'!J:J,"Transnet*")</f>
        <v/>
      </c>
      <c r="D6">
        <f>COUNTIFS('Tender Data'!J:J,"Transnet*",'Tender Data'!G:G,"Request for Quotation")</f>
        <v/>
      </c>
    </row>
    <row r="7">
      <c r="A7" t="inlineStr">
        <is>
          <t>JPC</t>
        </is>
      </c>
      <c r="B7">
        <f>COUNTIF('Tender Data'!J:J,"*Joburg Property*")</f>
        <v/>
      </c>
      <c r="C7">
        <f>COUNTIFS('Tender Data'!M:M,"Information service activities",'Tender Data'!J:J,"*Joburg Property*")+COUNTIFS('Tender Data'!M:M,"Information and communication",'Tender Data'!J:J,"*Joburg Property*")</f>
        <v/>
      </c>
      <c r="D7">
        <f>COUNTIFS('Tender Data'!J:J,"*Joburg Property*",'Tender Data'!G:G,"Request for Quotation")</f>
        <v/>
      </c>
    </row>
    <row r="8">
      <c r="A8" t="inlineStr">
        <is>
          <t>Matatiele LM</t>
        </is>
      </c>
      <c r="B8">
        <f>COUNTIF('Tender Data'!J:J,"Matatiele Local Municipality")</f>
        <v/>
      </c>
      <c r="C8">
        <f>COUNTIFS('Tender Data'!M:M,"Information service activities",'Tender Data'!J:J,"Matatiele Local Municipality")+COUNTIFS('Tender Data'!M:M,"Information and communication",'Tender Data'!J:J,"Matatiele Local Municipality")</f>
        <v/>
      </c>
      <c r="D8">
        <f>COUNTIFS('Tender Data'!J:J,"Matatiele Local Municipality",'Tender Data'!G:G,"Request for Quotation")</f>
        <v/>
      </c>
    </row>
    <row r="9">
      <c r="A9" t="inlineStr">
        <is>
          <t>Ntabankulu LM</t>
        </is>
      </c>
      <c r="B9">
        <f>COUNTIF('Tender Data'!J:J,"Ntabankulu Local Municipality")</f>
        <v/>
      </c>
      <c r="C9">
        <f>COUNTIFS('Tender Data'!M:M,"Information service activities",'Tender Data'!J:J,"Ntabankulu Local Municipality")+COUNTIFS('Tender Data'!M:M,"Information and communication",'Tender Data'!J:J,"Ntabankulu Local Municipality")</f>
        <v/>
      </c>
      <c r="D9">
        <f>COUNTIFS('Tender Data'!J:J,"Ntabankulu Local Municipality",'Tender Data'!G:G,"Request for Quotation")</f>
        <v/>
      </c>
    </row>
    <row r="10">
      <c r="A10" t="inlineStr">
        <is>
          <t>Umzimvubu LM</t>
        </is>
      </c>
      <c r="B10">
        <f>COUNTIF('Tender Data'!J:J,"Umzimvubu Local Municipality")</f>
        <v/>
      </c>
      <c r="C10">
        <f>COUNTIFS('Tender Data'!M:M,"Information service activities",'Tender Data'!J:J,"Umzimvubu Local Municipality")+COUNTIFS('Tender Data'!M:M,"Information and communication",'Tender Data'!J:J,"Umzimvubu Local Municipality")</f>
        <v/>
      </c>
      <c r="D10">
        <f>COUNTIFS('Tender Data'!J:J,"Umzimvubu Local Municipality",'Tender Data'!G:G,"Request for Quotation")</f>
        <v/>
      </c>
    </row>
    <row r="11">
      <c r="A11" t="inlineStr">
        <is>
          <t>Winnie Mandela LM</t>
        </is>
      </c>
      <c r="B11">
        <f>COUNTIF('Tender Data'!J:J,"Winnie Madikizela*")</f>
        <v/>
      </c>
      <c r="C11">
        <f>COUNTIFS('Tender Data'!M:M,"Information service activities",'Tender Data'!J:J,"Winnie Madikizela*")+COUNTIFS('Tender Data'!M:M,"Information and communication",'Tender Data'!J:J,"Winnie Madikizela*")</f>
        <v/>
      </c>
      <c r="D11">
        <f>COUNTIFS('Tender Data'!J:J,"Winnie Madikizela*",'Tender Data'!G:G,"Request for Quotation")</f>
        <v/>
      </c>
    </row>
    <row r="12">
      <c r="A12" t="inlineStr">
        <is>
          <t>Mnquma LM</t>
        </is>
      </c>
      <c r="B12">
        <f>COUNTIF('Tender Data'!J:J,"Mnquma Local Municipality")</f>
        <v/>
      </c>
      <c r="C12">
        <f>COUNTIFS('Tender Data'!M:M,"Information service activities",'Tender Data'!J:J,"Mnquma Local Municipality")+COUNTIFS('Tender Data'!M:M,"Information and communication",'Tender Data'!J:J,"Mnquma Local Municipality")</f>
        <v/>
      </c>
      <c r="D12">
        <f>COUNTIFS('Tender Data'!J:J,"Mnquma Local Municipality",'Tender Data'!G:G,"Request for Quotation")</f>
        <v/>
      </c>
    </row>
    <row r="13">
      <c r="A13" t="inlineStr">
        <is>
          <t>Great Kei LM</t>
        </is>
      </c>
      <c r="B13">
        <f>COUNTIF('Tender Data'!J:J,"Great Kei Local Municipality")</f>
        <v/>
      </c>
      <c r="C13">
        <f>COUNTIFS('Tender Data'!M:M,"Information service activities",'Tender Data'!J:J,"Great Kei Local Municipality")+COUNTIFS('Tender Data'!M:M,"Information and communication",'Tender Data'!J:J,"Great Kei Local Municipality")</f>
        <v/>
      </c>
      <c r="D13">
        <f>COUNTIFS('Tender Data'!J:J,"Great Kei Local Municipality",'Tender Data'!G:G,"Request for Quotation")</f>
        <v/>
      </c>
    </row>
    <row r="14">
      <c r="A14" t="inlineStr">
        <is>
          <t>Amahlathi LM</t>
        </is>
      </c>
      <c r="B14">
        <f>COUNTIF('Tender Data'!J:J,"Amahlathi Local Municipality")</f>
        <v/>
      </c>
      <c r="C14">
        <f>COUNTIFS('Tender Data'!M:M,"Information service activities",'Tender Data'!J:J,"Amahlathi Local Municipality")+COUNTIFS('Tender Data'!M:M,"Information and communication",'Tender Data'!J:J,"Amahlathi Local Municipality")</f>
        <v/>
      </c>
      <c r="D14">
        <f>COUNTIFS('Tender Data'!J:J,"Amahlathi Local Municipality",'Tender Data'!G:G,"Request for Quotation")</f>
        <v/>
      </c>
    </row>
    <row r="15">
      <c r="A15" t="inlineStr">
        <is>
          <t>Raymond Mhlaba LM</t>
        </is>
      </c>
      <c r="B15">
        <f>COUNTIF('Tender Data'!J:J,"Raymond Mhlaba Local Municipality")</f>
        <v/>
      </c>
      <c r="C15">
        <f>COUNTIFS('Tender Data'!M:M,"Information service activities",'Tender Data'!J:J,"Raymond Mhlaba Local Municipality")+COUNTIFS('Tender Data'!M:M,"Information and communication",'Tender Data'!J:J,"Raymond Mhlaba Local Municipality")</f>
        <v/>
      </c>
      <c r="D15">
        <f>COUNTIFS('Tender Data'!J:J,"Raymond Mhlaba Local Municipality",'Tender Data'!G:G,"Request for Quotation")</f>
        <v/>
      </c>
    </row>
    <row r="16">
      <c r="A16" t="inlineStr">
        <is>
          <t>JOSHCO</t>
        </is>
      </c>
      <c r="B16">
        <f>COUNTIF('Tender Data'!J:J,"*Johannesburg Social Housing*")</f>
        <v/>
      </c>
      <c r="C16">
        <f>COUNTIFS('Tender Data'!M:M,"Information service activities",'Tender Data'!J:J,"*Johannesburg Social Housing*")+COUNTIFS('Tender Data'!M:M,"Information and communication",'Tender Data'!J:J,"*Johannesburg Social Housing*")</f>
        <v/>
      </c>
      <c r="D16">
        <f>COUNTIFS('Tender Data'!J:J,"*Johannesburg Social Housing*",'Tender Data'!G:G,"Request for Quotation")</f>
        <v/>
      </c>
    </row>
    <row r="17">
      <c r="A17" t="inlineStr">
        <is>
          <t>GPL</t>
        </is>
      </c>
      <c r="B17">
        <f>COUNTIF('Tender Data'!J:J,"Gauteng Provincial Legislature")</f>
        <v/>
      </c>
      <c r="C17">
        <f>COUNTIFS('Tender Data'!M:M,"Information service activities",'Tender Data'!J:J,"Gauteng Provincial Legislature")+COUNTIFS('Tender Data'!M:M,"Information and communication",'Tender Data'!J:J,"Gauteng Provincial Legislature")</f>
        <v/>
      </c>
      <c r="D17">
        <f>COUNTIFS('Tender Data'!J:J,"Gauteng Provincial Legislature",'Tender Data'!G:G,"Request for Quotation")</f>
        <v/>
      </c>
    </row>
    <row r="18">
      <c r="A18" t="inlineStr">
        <is>
          <t>RAF</t>
        </is>
      </c>
      <c r="B18">
        <f>COUNTIF('Tender Data'!J:J,"Road Accident Fund")</f>
        <v/>
      </c>
      <c r="C18">
        <f>COUNTIFS('Tender Data'!M:M,"Information service activities",'Tender Data'!J:J,"Road Accident Fund")+COUNTIFS('Tender Data'!M:M,"Information and communication",'Tender Data'!J:J,"Road Accident Fund")</f>
        <v/>
      </c>
      <c r="D18">
        <f>COUNTIFS('Tender Data'!J:J,"Road Accident Fund",'Tender Data'!G:G,"Request for Quotation")</f>
        <v/>
      </c>
    </row>
    <row r="19">
      <c r="A19" t="inlineStr">
        <is>
          <t>MM Trading Company</t>
        </is>
      </c>
      <c r="B19">
        <f>COUNTIF('Tender Data'!J:J,"*Metropolitan Trading*")</f>
        <v/>
      </c>
      <c r="C19">
        <f>COUNTIFS('Tender Data'!M:M,"Information service activities",'Tender Data'!J:J,"*Metropolitan Trading*")+COUNTIFS('Tender Data'!M:M,"Information and communication",'Tender Data'!J:J,"*Metropolitan Trading*")</f>
        <v/>
      </c>
      <c r="D19">
        <f>COUNTIFS('Tender Data'!J:J,"*Metropolitan Trading*",'Tender Data'!G:G,"Request for Quotation")</f>
        <v/>
      </c>
    </row>
    <row r="20">
      <c r="A20" t="inlineStr">
        <is>
          <t>Nelson Mandela Bay MM</t>
        </is>
      </c>
      <c r="B20">
        <f>COUNTIF('Tender Data'!J:J,"*Nelson Mandela Bay*")</f>
        <v/>
      </c>
      <c r="C20">
        <f>COUNTIFS('Tender Data'!M:M,"Information service activities",'Tender Data'!J:J,"*Nelson Mandela Bay*")+COUNTIFS('Tender Data'!M:M,"Information and communication",'Tender Data'!J:J,"*Nelson Mandela Bay*")</f>
        <v/>
      </c>
      <c r="D20">
        <f>COUNTIFS('Tender Data'!J:J,"*Nelson Mandela Bay*",'Tender Data'!G:G,"Request for Quotation")</f>
        <v/>
      </c>
    </row>
    <row r="21">
      <c r="A21" t="inlineStr">
        <is>
          <t>Buffalo City MM</t>
        </is>
      </c>
      <c r="B21">
        <f>COUNTIF('Tender Data'!J:J,"*Buffalo City*")</f>
        <v/>
      </c>
      <c r="C21">
        <f>COUNTIFS('Tender Data'!M:M,"Information service activities",'Tender Data'!J:J,"*Buffalo City*")+COUNTIFS('Tender Data'!M:M,"Information and communication",'Tender Data'!J:J,"*Buffalo City*")</f>
        <v/>
      </c>
      <c r="D21">
        <f>COUNTIFS('Tender Data'!J:J,"*Buffalo City*",'Tender Data'!G:G,"Request for Quotation")</f>
        <v/>
      </c>
    </row>
    <row r="22">
      <c r="A22" t="inlineStr">
        <is>
          <t>EC DPW</t>
        </is>
      </c>
      <c r="B22">
        <f>COUNTIF('Tender Data'!J:J,"*Eastern Cape*Public Works*")</f>
        <v/>
      </c>
      <c r="C22">
        <f>COUNTIFS('Tender Data'!M:M,"Information service activities",'Tender Data'!J:J,"*Eastern Cape*Public Works*")+COUNTIFS('Tender Data'!M:M,"Information and communication",'Tender Data'!J:J,"*Eastern Cape*Public Works*")</f>
        <v/>
      </c>
      <c r="D22">
        <f>COUNTIFS('Tender Data'!J:J,"*Eastern Cape*Public Works*",'Tender Data'!G:G,"Request for Quotation")</f>
        <v/>
      </c>
    </row>
    <row r="23">
      <c r="A23" t="inlineStr">
        <is>
          <t>DEL</t>
        </is>
      </c>
      <c r="B23">
        <f>COUNTIF('Tender Data'!J:J,"*Labour*")</f>
        <v/>
      </c>
      <c r="C23">
        <f>COUNTIFS('Tender Data'!M:M,"Information service activities",'Tender Data'!J:J,"*Labour*")+COUNTIFS('Tender Data'!M:M,"Information and communication",'Tender Data'!J:J,"*Labour*")</f>
        <v/>
      </c>
      <c r="D23">
        <f>COUNTIFS('Tender Data'!J:J,"*Labour*",'Tender Data'!G:G,"Request for Quotation")</f>
        <v/>
      </c>
    </row>
    <row r="24">
      <c r="A24" t="inlineStr">
        <is>
          <t>SIU</t>
        </is>
      </c>
      <c r="B24">
        <f>COUNTIF('Tender Data'!J:J,"Special Investigating Unit*")</f>
        <v/>
      </c>
      <c r="C24">
        <f>COUNTIFS('Tender Data'!M:M,"Information service activities",'Tender Data'!J:J,"Special Investigating Unit*")+COUNTIFS('Tender Data'!M:M,"Information and communication",'Tender Data'!J:J,"Special Investigating Unit*")</f>
        <v/>
      </c>
      <c r="D24">
        <f>COUNTIFS('Tender Data'!J:J,"Special Investigating Unit*",'Tender Data'!G:G,"Request for Quotation")</f>
        <v/>
      </c>
    </row>
    <row r="25">
      <c r="A25" t="inlineStr">
        <is>
          <t>GDoH</t>
        </is>
      </c>
      <c r="B25">
        <f>COUNTIF('Tender Data'!J:J,"*Gauteng*Health*")</f>
        <v/>
      </c>
      <c r="C25">
        <f>COUNTIFS('Tender Data'!M:M,"Information service activities",'Tender Data'!J:J,"*Gauteng*Health*")+COUNTIFS('Tender Data'!M:M,"Information and communication",'Tender Data'!J:J,"*Gauteng*Health*")</f>
        <v/>
      </c>
      <c r="D25">
        <f>COUNTIFS('Tender Data'!J:J,"*Gauteng*Health*",'Tender Data'!G:G,"Request for Quotation")</f>
        <v/>
      </c>
    </row>
    <row r="26">
      <c r="A26" t="inlineStr">
        <is>
          <t>DIRCO</t>
        </is>
      </c>
      <c r="B26">
        <f>COUNTIF('Tender Data'!J:J,"*International Relation*")</f>
        <v/>
      </c>
      <c r="C26">
        <f>COUNTIFS('Tender Data'!M:M,"Information service activities",'Tender Data'!J:J,"*International Relation*")+COUNTIFS('Tender Data'!M:M,"Information and communication",'Tender Data'!J:J,"*International Relation*")</f>
        <v/>
      </c>
      <c r="D26">
        <f>COUNTIFS('Tender Data'!J:J,"*International Relation*",'Tender Data'!G:G,"Request for Quotation")</f>
        <v/>
      </c>
    </row>
    <row r="27">
      <c r="A27" t="inlineStr">
        <is>
          <t>DOJ</t>
        </is>
      </c>
      <c r="B27">
        <f>COUNTIF('Tender Data'!J:J,"*Justice*Constitutional*")</f>
        <v/>
      </c>
      <c r="C27">
        <f>COUNTIFS('Tender Data'!M:M,"Information service activities",'Tender Data'!J:J,"*Justice*Constitutional*")+COUNTIFS('Tender Data'!M:M,"Information and communication",'Tender Data'!J:J,"*Justice*Constitutional*")</f>
        <v/>
      </c>
      <c r="D27">
        <f>COUNTIFS('Tender Data'!J:J,"*Justice*Constitutional*",'Tender Data'!G:G,"Request for Quotation")</f>
        <v/>
      </c>
    </row>
    <row r="28">
      <c r="A28" t="inlineStr">
        <is>
          <t>CP JHB</t>
        </is>
      </c>
      <c r="B28">
        <f>COUNTIF('Tender Data'!J:J,"City Power*Johannesburg*")</f>
        <v/>
      </c>
      <c r="C28">
        <f>COUNTIFS('Tender Data'!M:M,"Information service activities",'Tender Data'!J:J,"City Power*Johannesburg*")+COUNTIFS('Tender Data'!M:M,"Information and communication",'Tender Data'!J:J,"City Power*Johannesburg*")</f>
        <v/>
      </c>
      <c r="D28">
        <f>COUNTIFS('Tender Data'!J:J,"City Power*Johannesburg*",'Tender Data'!G:G,"Request for Quotation")</f>
        <v/>
      </c>
    </row>
    <row r="29">
      <c r="A29" t="inlineStr">
        <is>
          <t>W JHB</t>
        </is>
      </c>
      <c r="B29">
        <f>COUNTIF('Tender Data'!J:J,"*Johannesburg Water*")</f>
        <v/>
      </c>
      <c r="C29">
        <f>COUNTIFS('Tender Data'!M:M,"Information service activities",'Tender Data'!J:J,"*Johannesburg Water*")+COUNTIFS('Tender Data'!M:M,"Information and communication",'Tender Data'!J:J,"*Johannesburg Water*")</f>
        <v/>
      </c>
      <c r="D29">
        <f>COUNTIFS('Tender Data'!J:J,"*Johannesburg Water*",'Tender Data'!G:G,"Request for Quotation")</f>
        <v/>
      </c>
    </row>
    <row r="30">
      <c r="A30" t="inlineStr">
        <is>
          <t>FSCA</t>
        </is>
      </c>
      <c r="B30">
        <f>COUNTIF('Tender Data'!J:J,"*Financial Sector Conduct Authority*")</f>
        <v/>
      </c>
      <c r="C30">
        <f>COUNTIFS('Tender Data'!M:M,"Information service activities",'Tender Data'!J:J,"*Financial Sector Conduct Authority*")+COUNTIFS('Tender Data'!M:M,"Information and communication",'Tender Data'!J:J,"*Financial Sector Conduct Authority*")</f>
        <v/>
      </c>
      <c r="D30">
        <f>COUNTIFS('Tender Data'!J:J,"*Financial Sector Conduct Authority*",'Tender Data'!G:G,"Request for Quotation")</f>
        <v/>
      </c>
    </row>
    <row r="31">
      <c r="A31" s="4" t="inlineStr">
        <is>
          <t>TOTAL WATCHLIST</t>
        </is>
      </c>
      <c r="B31" s="4">
        <f>SUM(B4:B30)</f>
        <v/>
      </c>
      <c r="C31" s="4">
        <f>SUM(C4:C30)</f>
        <v/>
      </c>
      <c r="D31" s="4">
        <f>SUM(D4:D30)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46247</v>
      </c>
      <c r="B2" t="n">
        <v>7</v>
      </c>
      <c r="C2" t="inlineStr">
        <is>
          <t>ALF5-25/26-0013</t>
        </is>
      </c>
      <c r="D2" s="2" t="n">
        <v>46247</v>
      </c>
      <c r="E2" t="inlineStr"/>
      <c r="F2" t="inlineStr"/>
      <c r="G2" t="inlineStr">
        <is>
          <t>Request for Quotation</t>
        </is>
      </c>
      <c r="H2" t="inlineStr">
        <is>
          <t>ERRATUM: QUOTATION REQUEST FOR SUPPLY AND DELIVERY OF TRAINING MATERIALS AND TOOLS FOR DEPARTMENT OF PUBLIC WORKS AND INFRASTRUCTURE ALFRED NZO REGION.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https://www.ecdpw.gov.za/wp-content/tender-uploads/erratum-training-material--alf5-26-27-0013.pdf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46247</v>
      </c>
      <c r="B3" t="n">
        <v>6</v>
      </c>
      <c r="C3" t="inlineStr">
        <is>
          <t>SCMU5-26/27-003 JGR</t>
        </is>
      </c>
      <c r="D3" s="2" t="n">
        <v>46246</v>
      </c>
      <c r="E3" t="inlineStr"/>
      <c r="F3" t="inlineStr"/>
      <c r="G3" t="inlineStr">
        <is>
          <t>Request for Bid</t>
        </is>
      </c>
      <c r="H3" t="inlineStr">
        <is>
          <t>ERRATUM - TWO-YEAR CONTRACT FOR SUPPLY, SERVICING, REPAIRS AND MAINTENANCE OF PLUMBING AND DRAINANGE EQUIPMENT FOR JOE GQABI DISTRICT.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s="3" t="inlineStr">
        <is>
          <t>https://www.ecdpw.gov.za/wp-content/tender-uploads/erratum-1_plumbing.pdf</t>
        </is>
      </c>
      <c r="R3" t="inlineStr"/>
      <c r="S3" t="inlineStr"/>
      <c r="T3" t="inlineStr"/>
      <c r="U3" t="inlineStr"/>
      <c r="V3" t="inlineStr"/>
      <c r="W3" t="inlineStr"/>
    </row>
    <row r="4">
      <c r="A4" s="2" t="n">
        <v>46247</v>
      </c>
      <c r="B4" t="n">
        <v>5</v>
      </c>
      <c r="C4" t="inlineStr">
        <is>
          <t>SCMU5-26/27-0010 AMR</t>
        </is>
      </c>
      <c r="D4" s="2" t="n">
        <v>46245</v>
      </c>
      <c r="E4" t="inlineStr"/>
      <c r="F4" t="inlineStr"/>
      <c r="G4" t="inlineStr">
        <is>
          <t>Request for Bid</t>
        </is>
      </c>
      <c r="H4" t="inlineStr">
        <is>
          <t>TWO-YEAR TERM CONTRACT FOR SUPPLY, SERVICING, REPAIRS AND MAINTENANCE OF PLUMBING- CLUSTER 5 (IDUTYWA SERVICE OFFICE, NGQAMAKHWE MULTIPURPOSE CENTRE AND DUTYWA CLUSTER OFFICES)</t>
        </is>
      </c>
      <c r="I4" t="inlineStr">
        <is>
          <t>ECDPW.GOV.ZA</t>
        </is>
      </c>
      <c r="J4" t="inlineStr">
        <is>
          <t>Eastern Cape Department of Public Works and Infrastructure</t>
        </is>
      </c>
      <c r="K4" t="inlineStr">
        <is>
          <t>Eastern Cape</t>
        </is>
      </c>
      <c r="L4" t="inlineStr"/>
      <c r="M4" t="inlineStr"/>
      <c r="N4" t="inlineStr"/>
      <c r="O4" t="inlineStr"/>
      <c r="P4" t="inlineStr"/>
      <c r="Q4" s="3" t="inlineStr">
        <is>
          <t>https://www.ecdpw.gov.za/wp-content/tender-uploads/scmu5-26-27-0010-amr-inf-two-year-term-contract-for-supply-servicing-repairs-and-maintenance-of-plumbing-cluster-5-(idutywa-service-office-ngqamakhwe-multipurpose-centre-and-dutywa-cluster-offices).pdf</t>
        </is>
      </c>
      <c r="R4" t="inlineStr"/>
      <c r="S4" t="inlineStr"/>
      <c r="T4" t="inlineStr"/>
      <c r="U4" t="inlineStr"/>
      <c r="V4" t="inlineStr"/>
      <c r="W4" t="inlineStr"/>
    </row>
    <row r="5">
      <c r="A5" s="2" t="n">
        <v>46247</v>
      </c>
      <c r="B5" t="n">
        <v>4</v>
      </c>
      <c r="C5" t="inlineStr">
        <is>
          <t>SCMU5-26/27-0009 AMR</t>
        </is>
      </c>
      <c r="D5" s="2" t="n">
        <v>46245</v>
      </c>
      <c r="E5" t="inlineStr"/>
      <c r="F5" t="inlineStr"/>
      <c r="G5" t="inlineStr">
        <is>
          <t>Request for Bid</t>
        </is>
      </c>
      <c r="H5" t="inlineStr">
        <is>
          <t>TWO-YEAR TERM CONTRACT FOR SUPPLY, SERVICING, REPAIRS AND MAINTENANCE OF PLUMBING- CLUSTER 4 ( NU 1 MDANTSANE, SILVER CROWN EAST LONDON, HOUSE ON THE ROCK &amp; JOHN X MERRIMAN YOUTH CARE CENTRE)</t>
        </is>
      </c>
      <c r="I5" t="inlineStr">
        <is>
          <t>ECDPW.GOV.ZA</t>
        </is>
      </c>
      <c r="J5" t="inlineStr">
        <is>
          <t>Eastern Cape Department of Public Works and Infrastructure</t>
        </is>
      </c>
      <c r="K5" t="inlineStr">
        <is>
          <t>Eastern Cape</t>
        </is>
      </c>
      <c r="L5" t="inlineStr"/>
      <c r="M5" t="inlineStr"/>
      <c r="N5" t="inlineStr"/>
      <c r="O5" t="inlineStr"/>
      <c r="P5" t="inlineStr"/>
      <c r="Q5" s="3" t="inlineStr">
        <is>
          <t>https://www.ecdpw.gov.za/wp-content/tender-uploads/scmu5-26-27-0009-amr-inf-two-year-term-contract-for-supply-servicing-repairs-and-maintenance-of-plumbing-cluster-4-(-nu-1-mdantsane-silver-crown-east-london-house-on-the-rock-&amp;-john-x-merriman-youth-care-centre).pdf</t>
        </is>
      </c>
      <c r="R5" t="inlineStr"/>
      <c r="S5" t="inlineStr"/>
      <c r="T5" t="inlineStr"/>
      <c r="U5" t="inlineStr"/>
      <c r="V5" t="inlineStr"/>
      <c r="W5" t="inlineStr"/>
    </row>
    <row r="6">
      <c r="A6" s="2" t="n">
        <v>46247</v>
      </c>
      <c r="B6" t="n">
        <v>3</v>
      </c>
      <c r="C6" t="inlineStr">
        <is>
          <t>SCMU5-26/27-0008 AMR</t>
        </is>
      </c>
      <c r="D6" s="2" t="n">
        <v>46245</v>
      </c>
      <c r="E6" t="inlineStr"/>
      <c r="F6" t="inlineStr"/>
      <c r="G6" t="inlineStr">
        <is>
          <t>Request for Bid</t>
        </is>
      </c>
      <c r="H6" t="inlineStr">
        <is>
          <t>TWO-YEAR TERM CONTRACT FOR SUPPLY, SERVICING, REPAIRS AND MAINTENANCE OF PLUMBING- CLUSTER 3 (CATHCART, STUTTERHEIM, KEISKAMMAHOEK &amp; BHISHO)</t>
        </is>
      </c>
      <c r="I6" t="inlineStr">
        <is>
          <t>ECDPW.GOV.ZA</t>
        </is>
      </c>
      <c r="J6" t="inlineStr">
        <is>
          <t>Eastern Cape Department of Public Works and Infrastructure</t>
        </is>
      </c>
      <c r="K6" t="inlineStr">
        <is>
          <t>Eastern Cape</t>
        </is>
      </c>
      <c r="L6" t="inlineStr"/>
      <c r="M6" t="inlineStr"/>
      <c r="N6" t="inlineStr"/>
      <c r="O6" t="inlineStr"/>
      <c r="P6" t="inlineStr"/>
      <c r="Q6" s="3" t="inlineStr">
        <is>
          <t>https://www.ecdpw.gov.za/wp-content/tender-uploads/scmu5-26-27-0008-amr-inf-two-year-term-contract-for-supply-servicing-repairs-and-maintenance-of-plumbing-cluster-3-(cathcart-stutterheim-keiskammahoek-&amp;-bhisho.pdf</t>
        </is>
      </c>
      <c r="R6" t="inlineStr"/>
      <c r="S6" t="inlineStr"/>
      <c r="T6" t="inlineStr"/>
      <c r="U6" t="inlineStr"/>
      <c r="V6" t="inlineStr"/>
      <c r="W6" t="inlineStr"/>
    </row>
    <row r="7">
      <c r="A7" s="2" t="n">
        <v>46247</v>
      </c>
      <c r="B7" t="n">
        <v>2</v>
      </c>
      <c r="C7" t="inlineStr">
        <is>
          <t>SCMU5-26/27-0007 AMR</t>
        </is>
      </c>
      <c r="D7" s="2" t="n">
        <v>46245</v>
      </c>
      <c r="E7" t="inlineStr"/>
      <c r="F7" t="inlineStr"/>
      <c r="G7" t="inlineStr">
        <is>
          <t>Request for Bid</t>
        </is>
      </c>
      <c r="H7" t="inlineStr">
        <is>
          <t>TWO-YEAR TERM CONTRACT FOR SUPPLY, SERVICING, REPAIRS AND MAINTENANCE OF PLUMBING-CLUSTER 2 (MIDDLEDRIFT, PEDDIE, ZWELITSHA &amp; ENOCH SONTONGA REHAB CENTRE)</t>
        </is>
      </c>
      <c r="I7" t="inlineStr">
        <is>
          <t>ECDPW.GOV.ZA</t>
        </is>
      </c>
      <c r="J7" t="inlineStr">
        <is>
          <t>Eastern Cape Department of Public Works and Infrastructure</t>
        </is>
      </c>
      <c r="K7" t="inlineStr">
        <is>
          <t>Eastern Cape</t>
        </is>
      </c>
      <c r="L7" t="inlineStr"/>
      <c r="M7" t="inlineStr"/>
      <c r="N7" t="inlineStr"/>
      <c r="O7" t="inlineStr"/>
      <c r="P7" t="inlineStr"/>
      <c r="Q7" s="3" t="inlineStr">
        <is>
          <t>https://www.ecdpw.gov.za/wp-content/tender-uploads/scmu5-26-27-0007-amr-inf--two-year-term-contract-for-supply-servicing-repairs-and-maintenance-of-plumbing-cluster-2-(middledrift-peddie-zwelitsha-&amp;-enoch-sontonga-rehab-centre.pdf</t>
        </is>
      </c>
      <c r="R7" t="inlineStr"/>
      <c r="S7" t="inlineStr"/>
      <c r="T7" t="inlineStr"/>
      <c r="U7" t="inlineStr"/>
      <c r="V7" t="inlineStr"/>
      <c r="W7" t="inlineStr"/>
    </row>
    <row r="8">
      <c r="A8" s="2" t="n">
        <v>46247</v>
      </c>
      <c r="B8" t="n">
        <v>1</v>
      </c>
      <c r="C8" t="inlineStr">
        <is>
          <t>SCMU5-26/27-0006 AMR</t>
        </is>
      </c>
      <c r="D8" s="2" t="n">
        <v>46245</v>
      </c>
      <c r="E8" t="inlineStr"/>
      <c r="F8" t="inlineStr"/>
      <c r="G8" t="inlineStr">
        <is>
          <t>Request for Bid</t>
        </is>
      </c>
      <c r="H8" t="inlineStr">
        <is>
          <t>TWO-YEAR TERM CONTRACT FOR SUPPLY, SERVICING, REPAIRS AND MAINTENANCE OF PLUMBING-CLUSTER 1 (SEYMOUR, BEDFORD, FORT BEAUFORT AND ALICE)</t>
        </is>
      </c>
      <c r="I8" t="inlineStr">
        <is>
          <t>ECDPW.GOV.ZA</t>
        </is>
      </c>
      <c r="J8" t="inlineStr">
        <is>
          <t>Eastern Cape Department of Public Works and Infrastructure</t>
        </is>
      </c>
      <c r="K8" t="inlineStr">
        <is>
          <t>Eastern Cape</t>
        </is>
      </c>
      <c r="L8" t="inlineStr"/>
      <c r="M8" t="inlineStr"/>
      <c r="N8" t="inlineStr"/>
      <c r="O8" t="inlineStr"/>
      <c r="P8" t="inlineStr"/>
      <c r="Q8" s="3" t="inlineStr">
        <is>
          <t>https://www.ecdpw.gov.za/wp-content/tender-uploads/scmu5-26-27-0006-amr-inf-two-year-term-contract-for-supply-servicing-repairs-and-maintenance-of-plumbing-cluster-1-(seymour-bedford-fort-beaufort-and-alice).pdf</t>
        </is>
      </c>
      <c r="R8" t="inlineStr"/>
      <c r="S8" t="inlineStr"/>
      <c r="T8" t="inlineStr"/>
      <c r="U8" t="inlineStr"/>
      <c r="V8" t="inlineStr"/>
      <c r="W8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2026-08-13T09:15:01Z</dcterms:created>
  <dcterms:modified xsi:type="dcterms:W3CDTF">2026-08-13T09:15:01Z</dcterms:modified>
</cp:coreProperties>
</file>