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 name="Final" sheetId="2" state="visible" r:id="rId2"/>
    <sheet name="Raw Data"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b val="1"/>
      <color rgb="00FFFFFF"/>
    </font>
    <font>
      <name val="Calibri"/>
      <family val="2"/>
      <color theme="10"/>
      <sz val="12"/>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xf numFmtId="0" fontId="3"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cdpw.gov.za/wp-content/tender-uploads/plumbing-and-drainage-copy.pdf" TargetMode="External" Id="rId1" /><Relationship Type="http://schemas.openxmlformats.org/officeDocument/2006/relationships/hyperlink" Target="https://www.ecdpw.gov.za/wp-content/tender-uploads/bcm5-26-27-0018.pdf" TargetMode="External" Id="rId2" /></Relationships>
</file>

<file path=xl/worksheets/_rels/sheet3.xml.rels><Relationships xmlns="http://schemas.openxmlformats.org/package/2006/relationships"><Relationship Type="http://schemas.openxmlformats.org/officeDocument/2006/relationships/hyperlink" Target="https://www.ecdpw.gov.za/wp-content/tender-uploads/generator-maintenance-and-repairs_finalist-1.pdf" TargetMode="External" Id="rId1" /><Relationship Type="http://schemas.openxmlformats.org/officeDocument/2006/relationships/hyperlink" Target="https://www.ecdpw.gov.za/wp-content/tender-uploads/hvac-maintenance-and-repairs-finalist-1.pdf" TargetMode="External" Id="rId2" /><Relationship Type="http://schemas.openxmlformats.org/officeDocument/2006/relationships/hyperlink" Target="https://www.ecdpw.gov.za/wp-content/tender-uploads/electrical-maintenance-and-repairs_finalist.pdf" TargetMode="External" Id="rId3" /><Relationship Type="http://schemas.openxmlformats.org/officeDocument/2006/relationships/hyperlink" Target="https://www.ecdpw.gov.za/wp-content/tender-uploads/claning-material-alf5-26-27-0016.pdf" TargetMode="External" Id="rId4" /><Relationship Type="http://schemas.openxmlformats.org/officeDocument/2006/relationships/hyperlink" Target="https://www.ecdpw.gov.za/wp-content/tender-uploads/erratum-garden-equip--alf5-26-27-0014.pdf" TargetMode="External" Id="rId5" /><Relationship Type="http://schemas.openxmlformats.org/officeDocument/2006/relationships/hyperlink" Target="https://www.ecdpw.gov.za/wp-content/tender-uploads/procurement-of-electrical-contractor-1000-beds_final-submission-rev-2.pdf" TargetMode="External" Id="rId6" /><Relationship Type="http://schemas.openxmlformats.org/officeDocument/2006/relationships/hyperlink" Target="https://www.ecdpw.gov.za/wp-content/tender-uploads/tender-document--electrical-2026.pdf" TargetMode="External" Id="rId7" /><Relationship Type="http://schemas.openxmlformats.org/officeDocument/2006/relationships/hyperlink" Target="https://www.ecdpw.gov.za/wp-content/tender-uploads/honey-sucking-alf5-26-27-0015.pdf" TargetMode="External" Id="rId8" /><Relationship Type="http://schemas.openxmlformats.org/officeDocument/2006/relationships/hyperlink" Target="https://www.ecdpw.gov.za/wp-content/tender-uploads/ho5-26-27-0024.pdf" TargetMode="External" Id="rId9" /><Relationship Type="http://schemas.openxmlformats.org/officeDocument/2006/relationships/hyperlink" Target="https://www.ecdpw.gov.za/wp-content/tender-uploads/procurement-of-training-material--alf5-26-27-0013.pdf" TargetMode="External" Id="rId10" /><Relationship Type="http://schemas.openxmlformats.org/officeDocument/2006/relationships/hyperlink" Target="https://www.ecdpw.gov.za/wp-content/tender-uploads/plumbing-and-drainage-copy.pdf" TargetMode="External" Id="rId11" /><Relationship Type="http://schemas.openxmlformats.org/officeDocument/2006/relationships/hyperlink" Target="https://www.ecdpw.gov.za/wp-content/tender-uploads/bcm5-26-27-0018.pdf" TargetMode="External" Id="rId12" /></Relationships>
</file>

<file path=xl/worksheets/sheet1.xml><?xml version="1.0" encoding="utf-8"?>
<worksheet xmlns="http://schemas.openxmlformats.org/spreadsheetml/2006/main">
  <sheetPr>
    <outlinePr summaryBelow="1" summaryRight="1"/>
    <pageSetUpPr/>
  </sheetPr>
  <dimension ref="A1:W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c r="W1" s="1" t="inlineStr">
        <is>
          <t>DUPLICATED</t>
        </is>
      </c>
    </row>
    <row r="2">
      <c r="A2" s="2" t="n">
        <v>46245</v>
      </c>
      <c r="B2" t="n">
        <v>2</v>
      </c>
      <c r="C2" t="inlineStr">
        <is>
          <t>SCMU5-26/27-003 JGR</t>
        </is>
      </c>
      <c r="D2" s="2" t="n">
        <v>46234</v>
      </c>
      <c r="E2" t="inlineStr"/>
      <c r="F2" t="inlineStr"/>
      <c r="G2" t="inlineStr">
        <is>
          <t>Request for Bid</t>
        </is>
      </c>
      <c r="H2" t="inlineStr">
        <is>
          <t>TWO YEAR TERM CONTRACT FOR SUPPLY, SERVICING, REPAIRS AND MAINTENANCE OF PLUMBING AND DRAINAGE EQUIPMENT FOR JOE GQABI DISTRICT.</t>
        </is>
      </c>
      <c r="I2" t="inlineStr">
        <is>
          <t>ECDPW.GOV.ZA</t>
        </is>
      </c>
      <c r="J2" t="inlineStr">
        <is>
          <t>Eastern Cape Department of Public Works and Infrastructure</t>
        </is>
      </c>
      <c r="K2" t="inlineStr">
        <is>
          <t>Eastern Cape</t>
        </is>
      </c>
      <c r="L2" t="inlineStr"/>
      <c r="M2" t="inlineStr"/>
      <c r="N2" t="inlineStr"/>
      <c r="O2" t="inlineStr"/>
      <c r="P2" t="inlineStr"/>
      <c r="Q2" s="3" t="inlineStr">
        <is>
          <t>https://www.ecdpw.gov.za/wp-content/tender-uploads/plumbing-and-drainage-copy.pdf</t>
        </is>
      </c>
      <c r="R2" t="inlineStr"/>
      <c r="S2" t="inlineStr"/>
      <c r="T2" t="inlineStr"/>
      <c r="U2" t="inlineStr"/>
      <c r="V2" t="inlineStr"/>
      <c r="W2" t="inlineStr"/>
    </row>
    <row r="3">
      <c r="A3" s="2" t="n">
        <v>46245</v>
      </c>
      <c r="B3" t="n">
        <v>1</v>
      </c>
      <c r="C3" t="inlineStr">
        <is>
          <t>BCM5-26/27-0018</t>
        </is>
      </c>
      <c r="D3" s="2" t="n">
        <v>46233</v>
      </c>
      <c r="E3" t="inlineStr"/>
      <c r="F3" t="inlineStr"/>
      <c r="G3" t="inlineStr">
        <is>
          <t>Request for Bid</t>
        </is>
      </c>
      <c r="H3" t="inlineStr">
        <is>
          <t>PROCUREMENT FOR EMBROIDERY OF DISTRICT SPORT KITS AS PER SPECIFICATION FROM DEPARTMENT OF PUBLIC WORKS AND INFRASTRUCTURE</t>
        </is>
      </c>
      <c r="I3" t="inlineStr">
        <is>
          <t>ECDPW.GOV.ZA</t>
        </is>
      </c>
      <c r="J3" t="inlineStr">
        <is>
          <t>Eastern Cape Department of Public Works and Infrastructure</t>
        </is>
      </c>
      <c r="K3" t="inlineStr">
        <is>
          <t>Eastern Cape</t>
        </is>
      </c>
      <c r="L3" t="inlineStr"/>
      <c r="M3" t="inlineStr"/>
      <c r="N3" t="inlineStr"/>
      <c r="O3" t="inlineStr"/>
      <c r="P3" t="inlineStr"/>
      <c r="Q3" s="3" t="inlineStr">
        <is>
          <t>https://www.ecdpw.gov.za/wp-content/tender-uploads/bcm5-26-27-0018.pdf</t>
        </is>
      </c>
      <c r="R3" t="inlineStr"/>
      <c r="S3" t="inlineStr"/>
      <c r="T3" t="inlineStr"/>
      <c r="U3" t="inlineStr"/>
      <c r="V3" t="inlineStr"/>
      <c r="W3" t="inlineStr"/>
    </row>
  </sheetData>
  <hyperlinks>
    <hyperlink xmlns:r="http://schemas.openxmlformats.org/officeDocument/2006/relationships" ref="Q2" r:id="rId1"/>
    <hyperlink xmlns:r="http://schemas.openxmlformats.org/officeDocument/2006/relationships" ref="Q3"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(M) 02/08/2026</t>
        </is>
      </c>
    </row>
    <row r="3">
      <c r="A3" t="inlineStr">
        <is>
          <t>eTenders (All)</t>
        </is>
      </c>
      <c r="B3" t="n">
        <v>0</v>
      </c>
      <c r="C3" t="n">
        <v>0</v>
      </c>
      <c r="D3" t="n">
        <v>0</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Investigating Unit*")</f>
        <v/>
      </c>
      <c r="C24">
        <f>COUNTIFS('Tender Data'!M:M,"Information service activities",'Tender Data'!J:J,"Special Investigating Unit*")+COUNTIFS('Tender Data'!M:M,"Information and communication",'Tender Data'!J:J,"Special Investigating Unit*")</f>
        <v/>
      </c>
      <c r="D24">
        <f>COUNTIFS('Tender Data'!J:J,"Special Investigating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DOJ</t>
        </is>
      </c>
      <c r="B27">
        <f>COUNTIF('Tender Data'!J:J,"*Justice*Constitutional*")</f>
        <v/>
      </c>
      <c r="C27">
        <f>COUNTIFS('Tender Data'!M:M,"Information service activities",'Tender Data'!J:J,"*Justice*Constitutional*")+COUNTIFS('Tender Data'!M:M,"Information and communication",'Tender Data'!J:J,"*Justice*Constitutional*")</f>
        <v/>
      </c>
      <c r="D27">
        <f>COUNTIFS('Tender Data'!J:J,"*Justice*Constitutional*",'Tender Data'!G:G,"Request for Quotation")</f>
        <v/>
      </c>
    </row>
    <row r="28">
      <c r="A28" t="inlineStr">
        <is>
          <t>CP JHB</t>
        </is>
      </c>
      <c r="B28">
        <f>COUNTIF('Tender Data'!J:J,"City Power*Johannesburg*")</f>
        <v/>
      </c>
      <c r="C28">
        <f>COUNTIFS('Tender Data'!M:M,"Information service activities",'Tender Data'!J:J,"City Power*Johannesburg*")+COUNTIFS('Tender Data'!M:M,"Information and communication",'Tender Data'!J:J,"City Power*Johannesburg*")</f>
        <v/>
      </c>
      <c r="D28">
        <f>COUNTIFS('Tender Data'!J:J,"City Power*Johannesburg*",'Tender Data'!G:G,"Request for Quotation")</f>
        <v/>
      </c>
    </row>
    <row r="29">
      <c r="A29" t="inlineStr">
        <is>
          <t>W JHB</t>
        </is>
      </c>
      <c r="B29">
        <f>COUNTIF('Tender Data'!J:J,"*Johannesburg Water*")</f>
        <v/>
      </c>
      <c r="C29">
        <f>COUNTIFS('Tender Data'!M:M,"Information service activities",'Tender Data'!J:J,"*Johannesburg Water*")+COUNTIFS('Tender Data'!M:M,"Information and communication",'Tender Data'!J:J,"*Johannesburg Water*")</f>
        <v/>
      </c>
      <c r="D29">
        <f>COUNTIFS('Tender Data'!J:J,"*Johannesburg Water*",'Tender Data'!G:G,"Request for Quotation")</f>
        <v/>
      </c>
    </row>
    <row r="30">
      <c r="A30" t="inlineStr">
        <is>
          <t>FSCA</t>
        </is>
      </c>
      <c r="B30">
        <f>COUNTIF('Tender Data'!J:J,"*Financial Sector Conduct Authority*")</f>
        <v/>
      </c>
      <c r="C30">
        <f>COUNTIFS('Tender Data'!M:M,"Information service activities",'Tender Data'!J:J,"*Financial Sector Conduct Authority*")+COUNTIFS('Tender Data'!M:M,"Information and communication",'Tender Data'!J:J,"*Financial Sector Conduct Authority*")</f>
        <v/>
      </c>
      <c r="D30">
        <f>COUNTIFS('Tender Data'!J:J,"*Financial Sector Conduct Authority*",'Tender Data'!G:G,"Request for Quotation")</f>
        <v/>
      </c>
    </row>
    <row r="31">
      <c r="A31" s="4" t="inlineStr">
        <is>
          <t>TOTAL WATCHLIST</t>
        </is>
      </c>
      <c r="B31" s="4">
        <f>SUM(B4:B30)</f>
        <v/>
      </c>
      <c r="C31" s="4">
        <f>SUM(C4:C30)</f>
        <v/>
      </c>
      <c r="D31" s="4">
        <f>SUM(D4:D30)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c r="W1" s="1" t="inlineStr">
        <is>
          <t>DUPLICATED</t>
        </is>
      </c>
    </row>
    <row r="2">
      <c r="A2" s="2" t="n">
        <v>46245</v>
      </c>
      <c r="B2" t="n">
        <v>12</v>
      </c>
      <c r="C2" t="inlineStr">
        <is>
          <t>JGR5-26/27-002</t>
        </is>
      </c>
      <c r="D2" s="2" t="n">
        <v>46241</v>
      </c>
      <c r="E2" t="inlineStr"/>
      <c r="F2" t="inlineStr"/>
      <c r="G2" t="inlineStr">
        <is>
          <t>Request for Bid</t>
        </is>
      </c>
      <c r="H2" t="inlineStr">
        <is>
          <t>ADDENDUM-TERM CONTRACT FOR GENERATOR MAINTENANCE AND REPAIRS AT VARIOUS GOVERNMENT BUILDINGS OF JOE GQABI DISTRICT FOR A PERIOD OF TWELVE (12) MONTHS</t>
        </is>
      </c>
      <c r="I2" t="inlineStr">
        <is>
          <t>ECDPW.GOV.ZA</t>
        </is>
      </c>
      <c r="J2" t="inlineStr">
        <is>
          <t>Eastern Cape Department of Public Works and Infrastructure</t>
        </is>
      </c>
      <c r="K2" t="inlineStr">
        <is>
          <t>Eastern Cape</t>
        </is>
      </c>
      <c r="L2" t="inlineStr"/>
      <c r="M2" t="inlineStr"/>
      <c r="N2" t="inlineStr"/>
      <c r="O2" t="inlineStr"/>
      <c r="P2" t="inlineStr"/>
      <c r="Q2" s="3" t="inlineStr">
        <is>
          <t>https://www.ecdpw.gov.za/wp-content/tender-uploads/generator-maintenance-and-repairs_finalist-1.pdf</t>
        </is>
      </c>
      <c r="R2" t="inlineStr"/>
      <c r="S2" t="inlineStr"/>
      <c r="T2" t="inlineStr"/>
      <c r="U2" t="inlineStr"/>
      <c r="V2" t="inlineStr"/>
      <c r="W2" t="inlineStr"/>
    </row>
    <row r="3">
      <c r="A3" s="2" t="n">
        <v>46245</v>
      </c>
      <c r="B3" t="n">
        <v>11</v>
      </c>
      <c r="C3" t="inlineStr">
        <is>
          <t>JGR5-26/27-008</t>
        </is>
      </c>
      <c r="D3" s="2" t="n">
        <v>46241</v>
      </c>
      <c r="E3" t="inlineStr"/>
      <c r="F3" t="inlineStr"/>
      <c r="G3" t="inlineStr">
        <is>
          <t>Request for Bid</t>
        </is>
      </c>
      <c r="H3" t="inlineStr">
        <is>
          <t>ADDENDUM - TERM CONTRACT FOR HVAC MAINTENANCE AND REPAIRS AT VARIOUS GOVERNMENT BUILDINGS IN JOE GQABI DISTRICT FOR A PERIOD OF TWELVE (12) MONTHS</t>
        </is>
      </c>
      <c r="I3" t="inlineStr">
        <is>
          <t>ECDPW.GOV.ZA</t>
        </is>
      </c>
      <c r="J3" t="inlineStr">
        <is>
          <t>Eastern Cape Department of Public Works and Infrastructure</t>
        </is>
      </c>
      <c r="K3" t="inlineStr">
        <is>
          <t>Eastern Cape</t>
        </is>
      </c>
      <c r="L3" t="inlineStr"/>
      <c r="M3" t="inlineStr"/>
      <c r="N3" t="inlineStr"/>
      <c r="O3" t="inlineStr"/>
      <c r="P3" t="inlineStr"/>
      <c r="Q3" s="3" t="inlineStr">
        <is>
          <t>https://www.ecdpw.gov.za/wp-content/tender-uploads/hvac-maintenance-and-repairs-finalist-1.pdf</t>
        </is>
      </c>
      <c r="R3" t="inlineStr"/>
      <c r="S3" t="inlineStr"/>
      <c r="T3" t="inlineStr"/>
      <c r="U3" t="inlineStr"/>
      <c r="V3" t="inlineStr"/>
      <c r="W3" t="inlineStr"/>
    </row>
    <row r="4">
      <c r="A4" s="2" t="n">
        <v>46245</v>
      </c>
      <c r="B4" t="n">
        <v>10</v>
      </c>
      <c r="C4" t="inlineStr">
        <is>
          <t>JGR5-26/27-001</t>
        </is>
      </c>
      <c r="D4" s="2" t="n">
        <v>46241</v>
      </c>
      <c r="E4" t="inlineStr"/>
      <c r="F4" t="inlineStr"/>
      <c r="G4" t="inlineStr">
        <is>
          <t>Request for Quotation</t>
        </is>
      </c>
      <c r="H4" t="inlineStr">
        <is>
          <t>ADDENDUM -TERM CONTRACT FOR ELECTRICAL MAINTENANCE AND REPAIRS, SUPPLY AND DELIVERY OF ELECTRICAL MAINTENANCE MATERIALS FOR VARIOUS GOVERNMENT BUILDINGS IN JOE GQABI DISTRICT FOR A PERIOD OF TWELVE (12) MONTHS</t>
        </is>
      </c>
      <c r="I4" t="inlineStr">
        <is>
          <t>ECDPW.GOV.ZA</t>
        </is>
      </c>
      <c r="J4" t="inlineStr">
        <is>
          <t>Eastern Cape Department of Public Works and Infrastructure</t>
        </is>
      </c>
      <c r="K4" t="inlineStr">
        <is>
          <t>Eastern Cape</t>
        </is>
      </c>
      <c r="L4" t="inlineStr"/>
      <c r="M4" t="inlineStr"/>
      <c r="N4" t="inlineStr"/>
      <c r="O4" t="inlineStr"/>
      <c r="P4" t="inlineStr"/>
      <c r="Q4" s="3" t="inlineStr">
        <is>
          <t>https://www.ecdpw.gov.za/wp-content/tender-uploads/electrical-maintenance-and-repairs_finalist.pdf</t>
        </is>
      </c>
      <c r="R4" t="inlineStr"/>
      <c r="S4" t="inlineStr"/>
      <c r="T4" t="inlineStr"/>
      <c r="U4" t="inlineStr"/>
      <c r="V4" t="inlineStr"/>
      <c r="W4" t="inlineStr"/>
    </row>
    <row r="5">
      <c r="A5" s="2" t="n">
        <v>46245</v>
      </c>
      <c r="B5" t="n">
        <v>9</v>
      </c>
      <c r="C5" t="inlineStr">
        <is>
          <t>ALF5-25/26-0016</t>
        </is>
      </c>
      <c r="D5" s="2" t="n">
        <v>46241</v>
      </c>
      <c r="E5" t="inlineStr"/>
      <c r="F5" t="inlineStr"/>
      <c r="G5" t="inlineStr">
        <is>
          <t>Request for Quotation</t>
        </is>
      </c>
      <c r="H5" t="inlineStr">
        <is>
          <t>QUOTATION REQUEST TO SUPPLY AND DELIVER THE CLEANING MATERIAL FOR THE PERIOD OF 24 MONTHS AS AND WHEN REQUIRED FOR DEPARTMENT OF PUBLIC WORKS AND INFRASTRUCTURE IN MOUT AYLIFF.</t>
        </is>
      </c>
      <c r="I5" t="inlineStr">
        <is>
          <t>ECDPW.GOV.ZA</t>
        </is>
      </c>
      <c r="J5" t="inlineStr">
        <is>
          <t>Eastern Cape Department of Public Works and Infrastructure</t>
        </is>
      </c>
      <c r="K5" t="inlineStr">
        <is>
          <t>Eastern Cape</t>
        </is>
      </c>
      <c r="L5" t="inlineStr"/>
      <c r="M5" t="inlineStr"/>
      <c r="N5" t="inlineStr"/>
      <c r="O5" t="inlineStr"/>
      <c r="P5" t="inlineStr"/>
      <c r="Q5" s="3" t="inlineStr">
        <is>
          <t>https://www.ecdpw.gov.za/wp-content/tender-uploads/claning-material-alf5-26-27-0016.pdf</t>
        </is>
      </c>
      <c r="R5" t="inlineStr"/>
      <c r="S5" t="inlineStr"/>
      <c r="T5" t="inlineStr"/>
      <c r="U5" t="inlineStr"/>
      <c r="V5" t="inlineStr"/>
      <c r="W5" t="inlineStr"/>
    </row>
    <row r="6">
      <c r="A6" s="2" t="n">
        <v>46245</v>
      </c>
      <c r="B6" t="n">
        <v>8</v>
      </c>
      <c r="C6" t="inlineStr">
        <is>
          <t>ALF5-25/26-0014</t>
        </is>
      </c>
      <c r="D6" s="2" t="n">
        <v>46241</v>
      </c>
      <c r="E6" t="inlineStr"/>
      <c r="F6" t="inlineStr"/>
      <c r="G6" t="inlineStr">
        <is>
          <t>Request for Quotation</t>
        </is>
      </c>
      <c r="H6" t="inlineStr">
        <is>
          <t>ERRATUM: QUOTATION REQUEST TO SUPPLY AND DELIVER THE GARDENING EQUIPMENT FOR THE PERIOD OF 24 MONTHS AS AN WHEN REQUIRED FOR DEPARTMENT OF PUBLIC WORKS AND INFRASTRUCTURE IN MOUNT AYLIFF</t>
        </is>
      </c>
      <c r="I6" t="inlineStr">
        <is>
          <t>ECDPW.GOV.ZA</t>
        </is>
      </c>
      <c r="J6" t="inlineStr">
        <is>
          <t>Eastern Cape Department of Public Works and Infrastructure</t>
        </is>
      </c>
      <c r="K6" t="inlineStr">
        <is>
          <t>Eastern Cape</t>
        </is>
      </c>
      <c r="L6" t="inlineStr"/>
      <c r="M6" t="inlineStr"/>
      <c r="N6" t="inlineStr"/>
      <c r="O6" t="inlineStr"/>
      <c r="P6" t="inlineStr"/>
      <c r="Q6" s="3" t="inlineStr">
        <is>
          <t>https://www.ecdpw.gov.za/wp-content/tender-uploads/erratum-garden-equip--alf5-26-27-0014.pdf</t>
        </is>
      </c>
      <c r="R6" t="inlineStr"/>
      <c r="S6" t="inlineStr"/>
      <c r="T6" t="inlineStr"/>
      <c r="U6" t="inlineStr"/>
      <c r="V6" t="inlineStr"/>
      <c r="W6" t="inlineStr"/>
    </row>
    <row r="7">
      <c r="A7" s="2" t="n">
        <v>46245</v>
      </c>
      <c r="B7" t="n">
        <v>7</v>
      </c>
      <c r="C7" t="inlineStr">
        <is>
          <t>ORT5-26/27-0029 ORR</t>
        </is>
      </c>
      <c r="D7" s="2" t="n">
        <v>46241</v>
      </c>
      <c r="E7" t="inlineStr"/>
      <c r="F7" t="inlineStr"/>
      <c r="G7" t="inlineStr">
        <is>
          <t>Request for Bid</t>
        </is>
      </c>
      <c r="H7" t="inlineStr">
        <is>
          <t>APPOINTMENT OF A SERVICE PROVIDER FOR ELECTRICAL WORK AT MTHATHA GENERAL HOSPITAL 100 BEDS</t>
        </is>
      </c>
      <c r="I7" t="inlineStr">
        <is>
          <t>ECDPW.GOV.ZA</t>
        </is>
      </c>
      <c r="J7" t="inlineStr">
        <is>
          <t>Eastern Cape Department of Public Works and Infrastructure</t>
        </is>
      </c>
      <c r="K7" t="inlineStr">
        <is>
          <t>Eastern Cape</t>
        </is>
      </c>
      <c r="L7" t="inlineStr"/>
      <c r="M7" t="inlineStr"/>
      <c r="N7" t="inlineStr"/>
      <c r="O7" t="inlineStr"/>
      <c r="P7" t="inlineStr"/>
      <c r="Q7" s="3" t="inlineStr">
        <is>
          <t>https://www.ecdpw.gov.za/wp-content/tender-uploads/procurement-of-electrical-contractor-1000-beds_final-submission-rev-2.pdf</t>
        </is>
      </c>
      <c r="R7" t="inlineStr"/>
      <c r="S7" t="inlineStr"/>
      <c r="T7" t="inlineStr"/>
      <c r="U7" t="inlineStr"/>
      <c r="V7" t="inlineStr"/>
      <c r="W7" t="inlineStr"/>
    </row>
    <row r="8">
      <c r="A8" s="2" t="n">
        <v>46245</v>
      </c>
      <c r="B8" t="n">
        <v>6</v>
      </c>
      <c r="C8" t="inlineStr">
        <is>
          <t>ORT5-26/27-0018 ORR</t>
        </is>
      </c>
      <c r="D8" s="2" t="n">
        <v>46241</v>
      </c>
      <c r="E8" t="inlineStr"/>
      <c r="F8" t="inlineStr"/>
      <c r="G8" t="inlineStr">
        <is>
          <t>Request for Bid</t>
        </is>
      </c>
      <c r="H8" t="inlineStr">
        <is>
          <t>APPOINTMENT OF SERVICE PROVIDER FOR A TERM CONTRACT FOR ELECTRICAL MAINTENANCE AND REPAIRS AT VARIOUS GOVERNMENT BUILDINGS OF THE DEPARTMENT OF PUBLIC WORKS AND INFRASTRUCTURE IN OR TAMBO DISTRICT FOR A PERIOD OF TWO (2) YEARS</t>
        </is>
      </c>
      <c r="I8" t="inlineStr">
        <is>
          <t>ECDPW.GOV.ZA</t>
        </is>
      </c>
      <c r="J8" t="inlineStr">
        <is>
          <t>Eastern Cape Department of Public Works and Infrastructure</t>
        </is>
      </c>
      <c r="K8" t="inlineStr">
        <is>
          <t>Eastern Cape</t>
        </is>
      </c>
      <c r="L8" t="inlineStr"/>
      <c r="M8" t="inlineStr"/>
      <c r="N8" t="inlineStr"/>
      <c r="O8" t="inlineStr"/>
      <c r="P8" t="inlineStr"/>
      <c r="Q8" s="3" t="inlineStr">
        <is>
          <t>https://www.ecdpw.gov.za/wp-content/tender-uploads/tender-document--electrical-2026.pdf</t>
        </is>
      </c>
      <c r="R8" t="inlineStr"/>
      <c r="S8" t="inlineStr"/>
      <c r="T8" t="inlineStr"/>
      <c r="U8" t="inlineStr"/>
      <c r="V8" t="inlineStr"/>
      <c r="W8" t="inlineStr"/>
    </row>
    <row r="9">
      <c r="A9" s="2" t="n">
        <v>46245</v>
      </c>
      <c r="B9" t="n">
        <v>5</v>
      </c>
      <c r="C9" t="inlineStr">
        <is>
          <t>ALF5-26/27-0015</t>
        </is>
      </c>
      <c r="D9" s="2" t="n">
        <v>46240</v>
      </c>
      <c r="E9" t="inlineStr"/>
      <c r="F9" t="inlineStr"/>
      <c r="G9" t="inlineStr">
        <is>
          <t>Request for Quotation</t>
        </is>
      </c>
      <c r="H9" t="inlineStr">
        <is>
          <t>QUOTATION REQUEST FOR THE APPOINTMENT OF A SERVICE PROVIDER TO RENDER HONEY SUCKING SERVICES FOR THE PERIOD OF 24 MONTHS, FOR THE DEPARTMENT OF PUBLIC WORKS AND INFRASTRUCTURE IN MALUTI COLLEGE, DEPT OF TRANSPORT BIZANA, DEPARTMENT OF EDUCATION BIZANA, ERF 188,185 &amp; 190 IN MALUTI AS WHEN REQUIRED</t>
        </is>
      </c>
      <c r="I9" t="inlineStr">
        <is>
          <t>ECDPW.GOV.ZA</t>
        </is>
      </c>
      <c r="J9" t="inlineStr">
        <is>
          <t>Eastern Cape Department of Public Works and Infrastructure</t>
        </is>
      </c>
      <c r="K9" t="inlineStr">
        <is>
          <t>Eastern Cape</t>
        </is>
      </c>
      <c r="L9" t="inlineStr"/>
      <c r="M9" t="inlineStr"/>
      <c r="N9" t="inlineStr"/>
      <c r="O9" t="inlineStr"/>
      <c r="P9" t="inlineStr"/>
      <c r="Q9" s="3" t="inlineStr">
        <is>
          <t>https://www.ecdpw.gov.za/wp-content/tender-uploads/honey-sucking-alf5-26-27-0015.pdf</t>
        </is>
      </c>
      <c r="R9" t="inlineStr"/>
      <c r="S9" t="inlineStr"/>
      <c r="T9" t="inlineStr"/>
      <c r="U9" t="inlineStr"/>
      <c r="V9" t="inlineStr"/>
      <c r="W9" t="inlineStr"/>
    </row>
    <row r="10">
      <c r="A10" s="2" t="n">
        <v>46245</v>
      </c>
      <c r="B10" t="n">
        <v>4</v>
      </c>
      <c r="C10" t="inlineStr">
        <is>
          <t>HO5-26/27-0024</t>
        </is>
      </c>
      <c r="D10" s="2" t="n">
        <v>46239</v>
      </c>
      <c r="E10" t="inlineStr"/>
      <c r="F10" t="inlineStr"/>
      <c r="G10" t="inlineStr">
        <is>
          <t>Request for Quotation</t>
        </is>
      </c>
      <c r="H10" t="inlineStr">
        <is>
          <t>QUOTATION FOR THE MAINTENANCE OF SWIMMING POOLS TO THE PRESTIGE HOUSES IN EAST LONDON AND KING WILLIAMS TOWN FOR A PERIOD OF FIVE (5) MONTHS AS PER SPECIFICATION TO THE EASTERN CAPE DEPARTMENT OF PUBLIC WORKS</t>
        </is>
      </c>
      <c r="I10" t="inlineStr">
        <is>
          <t>ECDPW.GOV.ZA</t>
        </is>
      </c>
      <c r="J10" t="inlineStr">
        <is>
          <t>Eastern Cape Department of Public Works and Infrastructure</t>
        </is>
      </c>
      <c r="K10" t="inlineStr">
        <is>
          <t>Eastern Cape</t>
        </is>
      </c>
      <c r="L10" t="inlineStr"/>
      <c r="M10" t="inlineStr"/>
      <c r="N10" t="inlineStr"/>
      <c r="O10" t="inlineStr"/>
      <c r="P10" t="inlineStr"/>
      <c r="Q10" s="3" t="inlineStr">
        <is>
          <t>https://www.ecdpw.gov.za/wp-content/tender-uploads/ho5-26-27-0024.pdf</t>
        </is>
      </c>
      <c r="R10" t="inlineStr"/>
      <c r="S10" t="inlineStr"/>
      <c r="T10" t="inlineStr"/>
      <c r="U10" t="inlineStr"/>
      <c r="V10" t="inlineStr"/>
      <c r="W10" t="inlineStr"/>
    </row>
    <row r="11">
      <c r="A11" s="2" t="n">
        <v>46245</v>
      </c>
      <c r="B11" t="n">
        <v>3</v>
      </c>
      <c r="C11" t="inlineStr">
        <is>
          <t>ALF5-26/27-0013</t>
        </is>
      </c>
      <c r="D11" s="2" t="n">
        <v>46239</v>
      </c>
      <c r="E11" t="inlineStr"/>
      <c r="F11" t="inlineStr"/>
      <c r="G11" t="inlineStr">
        <is>
          <t>Request for Quotation</t>
        </is>
      </c>
      <c r="H11" t="inlineStr">
        <is>
          <t>QUOTATION REQUEST FOR SUPPLY AND DELIVERY OF TRAINING MATERIALS AND TOOLS FOR DEPARTMENT OF PUBLIC WORKS AND INFRASTRUCTURE ALFRED NZO REGION.</t>
        </is>
      </c>
      <c r="I11" t="inlineStr">
        <is>
          <t>ECDPW.GOV.ZA</t>
        </is>
      </c>
      <c r="J11" t="inlineStr">
        <is>
          <t>Eastern Cape Department of Public Works and Infrastructure</t>
        </is>
      </c>
      <c r="K11" t="inlineStr">
        <is>
          <t>Eastern Cape</t>
        </is>
      </c>
      <c r="L11" t="inlineStr"/>
      <c r="M11" t="inlineStr"/>
      <c r="N11" t="inlineStr"/>
      <c r="O11" t="inlineStr"/>
      <c r="P11" t="inlineStr"/>
      <c r="Q11" s="3" t="inlineStr">
        <is>
          <t>https://www.ecdpw.gov.za/wp-content/tender-uploads/procurement-of-training-material--alf5-26-27-0013.pdf</t>
        </is>
      </c>
      <c r="R11" t="inlineStr"/>
      <c r="S11" t="inlineStr"/>
      <c r="T11" t="inlineStr"/>
      <c r="U11" t="inlineStr"/>
      <c r="V11" t="inlineStr"/>
      <c r="W11" t="inlineStr"/>
    </row>
    <row r="12">
      <c r="A12" s="2" t="n">
        <v>46245</v>
      </c>
      <c r="B12" t="n">
        <v>2</v>
      </c>
      <c r="C12" t="inlineStr">
        <is>
          <t>SCMU5-26/27-003 JGR</t>
        </is>
      </c>
      <c r="D12" s="2" t="n">
        <v>46234</v>
      </c>
      <c r="E12" t="inlineStr"/>
      <c r="F12" t="inlineStr"/>
      <c r="G12" t="inlineStr">
        <is>
          <t>Request for Bid</t>
        </is>
      </c>
      <c r="H12" t="inlineStr">
        <is>
          <t>TWO YEAR TERM CONTRACT FOR SUPPLY, SERVICING, REPAIRS AND MAINTENANCE OF PLUMBING AND DRAINAGE EQUIPMENT FOR JOE GQABI DISTRICT.</t>
        </is>
      </c>
      <c r="I12" t="inlineStr">
        <is>
          <t>ECDPW.GOV.ZA</t>
        </is>
      </c>
      <c r="J12" t="inlineStr">
        <is>
          <t>Eastern Cape Department of Public Works and Infrastructure</t>
        </is>
      </c>
      <c r="K12" t="inlineStr">
        <is>
          <t>Eastern Cape</t>
        </is>
      </c>
      <c r="L12" t="inlineStr"/>
      <c r="M12" t="inlineStr"/>
      <c r="N12" t="inlineStr"/>
      <c r="O12" t="inlineStr"/>
      <c r="P12" t="inlineStr"/>
      <c r="Q12" s="3" t="inlineStr">
        <is>
          <t>https://www.ecdpw.gov.za/wp-content/tender-uploads/plumbing-and-drainage-copy.pdf</t>
        </is>
      </c>
      <c r="R12" t="inlineStr"/>
      <c r="S12" t="inlineStr"/>
      <c r="T12" t="inlineStr"/>
      <c r="U12" t="inlineStr"/>
      <c r="V12" t="inlineStr"/>
      <c r="W12" t="inlineStr"/>
    </row>
    <row r="13">
      <c r="A13" s="2" t="n">
        <v>46245</v>
      </c>
      <c r="B13" t="n">
        <v>1</v>
      </c>
      <c r="C13" t="inlineStr">
        <is>
          <t>BCM5-26/27-0018</t>
        </is>
      </c>
      <c r="D13" s="2" t="n">
        <v>46233</v>
      </c>
      <c r="E13" t="inlineStr"/>
      <c r="F13" t="inlineStr"/>
      <c r="G13" t="inlineStr">
        <is>
          <t>Request for Bid</t>
        </is>
      </c>
      <c r="H13" t="inlineStr">
        <is>
          <t>PROCUREMENT FOR EMBROIDERY OF DISTRICT SPORT KITS AS PER SPECIFICATION FROM DEPARTMENT OF PUBLIC WORKS AND INFRASTRUCTURE</t>
        </is>
      </c>
      <c r="I13" t="inlineStr">
        <is>
          <t>ECDPW.GOV.ZA</t>
        </is>
      </c>
      <c r="J13" t="inlineStr">
        <is>
          <t>Eastern Cape Department of Public Works and Infrastructure</t>
        </is>
      </c>
      <c r="K13" t="inlineStr">
        <is>
          <t>Eastern Cape</t>
        </is>
      </c>
      <c r="L13" t="inlineStr"/>
      <c r="M13" t="inlineStr"/>
      <c r="N13" t="inlineStr"/>
      <c r="O13" t="inlineStr"/>
      <c r="P13" t="inlineStr"/>
      <c r="Q13" s="3" t="inlineStr">
        <is>
          <t>https://www.ecdpw.gov.za/wp-content/tender-uploads/bcm5-26-27-0018.pdf</t>
        </is>
      </c>
      <c r="R13" t="inlineStr"/>
      <c r="S13" t="inlineStr"/>
      <c r="T13" t="inlineStr"/>
      <c r="U13" t="inlineStr"/>
      <c r="V13" t="inlineStr"/>
      <c r="W13"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2026-08-11T10:02:52Z</dcterms:created>
  <dcterms:modified xsi:type="dcterms:W3CDTF">2026-08-11T10:02:52Z</dcterms:modified>
</cp:coreProperties>
</file>