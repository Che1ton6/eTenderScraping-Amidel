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e33699b-fded-4119-a84f-0f419e7554e2.pdf&amp;downloadedFileName=VARIOUS%20-%20IPAP%20&amp;%20OPS%20(ERW2510.03).pdf" TargetMode="External" Id="rId1"/><Relationship Type="http://schemas.openxmlformats.org/officeDocument/2006/relationships/hyperlink" Target="https://www.etenders.gov.za/home/Download/?blobName=a0e6eddd-4f1f-4e57-b85b-3bcb3a6e57d2.pdf&amp;downloadedFileName=RFQ-4407%20Procurement%20of%20the%20book,%20Meteorology%20and%20Climate%20of%20the%20Southern%20Hemisphere.pdf" TargetMode="External" Id="rId2"/><Relationship Type="http://schemas.openxmlformats.org/officeDocument/2006/relationships/hyperlink" Target="https://www.etenders.gov.za/home/Download/?blobName=60405390-3c03-4c36-a422-273761492655.pdf&amp;downloadedFileName=QUOTE%20PACK-H004L2705RFQ00044.pdf" TargetMode="External" Id="rId3"/><Relationship Type="http://schemas.openxmlformats.org/officeDocument/2006/relationships/hyperlink" Target="https://www.etenders.gov.za/home/Download/?blobName=5ef27826-bd4f-449b-bf50-0583850ad605.pdf&amp;downloadedFileName=Eskom%20life-saving%20rules-Extended%20review%20date.pdf" TargetMode="External" Id="rId4"/><Relationship Type="http://schemas.openxmlformats.org/officeDocument/2006/relationships/hyperlink" Target="https://www.etenders.gov.za/home/Download/?blobName=0386fc2c-74b3-4662-9834-a4932f4b3956.pdf&amp;downloadedFileName=HOW%20TO%20SUBMIT%20A%20TENDER%20OR%20QUOTATION.pdf" TargetMode="External" Id="rId5"/><Relationship Type="http://schemas.openxmlformats.org/officeDocument/2006/relationships/hyperlink" Target="https://www.etenders.gov.za/home/Download/?blobName=f72c835e-c335-46d9-a4d8-be196315c38a.pdf&amp;downloadedFileName=Notice%20to%20bidders...pdf" TargetMode="External" Id="rId6"/><Relationship Type="http://schemas.openxmlformats.org/officeDocument/2006/relationships/hyperlink" Target="https://www.etenders.gov.za/home/Download/?blobName=67abdd3d-9ab1-459a-87c6-bb4524d6679c.pdf&amp;downloadedFileName=Tender%20Advert%20MAY%202026%204TH%20VERSION%20-%2020%20MAY%202026.pdf" TargetMode="External" Id="rId7"/><Relationship Type="http://schemas.openxmlformats.org/officeDocument/2006/relationships/hyperlink" Target="https://www.etenders.gov.za/home/Download/?blobName=d4d86ed0-3fdb-42d8-8161-b8a16736f116.pdf&amp;downloadedFileName=GMT041_25-26%20-%20Advert%20GH.pdf" TargetMode="External" Id="rId8"/><Relationship Type="http://schemas.openxmlformats.org/officeDocument/2006/relationships/hyperlink" Target="https://www.etenders.gov.za/home/Download/?blobName=cd915ea8-98b6-49b7-bbe3-3e4c1cd21ca2.pdf&amp;downloadedFileName=DEV%20PRO03%202026%20-%20SALE%20OF%20ERF%2012056%20KIMBERLEY%20(OLD%20DFA%20BUILDING)%20WOODLEY%20STREET%20CENTRAL%20BUSINESS%20DISTRICT.pdf" TargetMode="External" Id="rId9"/><Relationship Type="http://schemas.openxmlformats.org/officeDocument/2006/relationships/hyperlink" Target="https://www.etenders.gov.za/home/Download/?blobName=17287bd1-7e82-4679-90e9-b4082afec781.pdf&amp;downloadedFileName=Discrete%20Analyzer%20BID%20AW2025.26.10%2014%20May%202026%20TENDER%20DOC.%20final.pdf" TargetMode="External" Id="rId10"/><Relationship Type="http://schemas.openxmlformats.org/officeDocument/2006/relationships/hyperlink" Target="https://www.etenders.gov.za/home/Download/?blobName=8daf5346-6ad5-4638-b107-e6014c9bed45.pdf&amp;downloadedFileName=NWDOH%2012%202026%20BID%20DOC.pdf" TargetMode="External" Id="rId11"/><Relationship Type="http://schemas.openxmlformats.org/officeDocument/2006/relationships/hyperlink" Target="https://www.etenders.gov.za/home/Download/?blobName=7160d803-be56-463d-95ea-1986a5ee00b2.pdf&amp;downloadedFileName=Annexure%20A%20-%20Security%20Measures.pdf" TargetMode="External" Id="rId12"/><Relationship Type="http://schemas.openxmlformats.org/officeDocument/2006/relationships/hyperlink" Target="https://www.etenders.gov.za/home/Download/?blobName=74e81588-a7bd-47cc-be6a-22d4ce722977.pdf&amp;downloadedFileName=6000080421_Tools_Hamberg.pdf" TargetMode="External" Id="rId13"/><Relationship Type="http://schemas.openxmlformats.org/officeDocument/2006/relationships/hyperlink" Target="https://www.etenders.gov.za/home/Download/?blobName=bbcc8557-6594-410a-9fb1-db92850c5e54.pdf&amp;downloadedFileName=RQN00000217104%20-%20Provision%20of%20Hygiene%20Services%20to%20the%20CCMA%20Rustenburg%20Office%20for%20a%20period%20of%20two%20years.pdf" TargetMode="External" Id="rId14"/><Relationship Type="http://schemas.openxmlformats.org/officeDocument/2006/relationships/hyperlink" Target="https://www.etenders.gov.za/home/Download/?blobName=460c3f71-801a-4ba1-9f90-37ea170f7ac0.pdf&amp;downloadedFileName=Tender%20Advert%20MAY%202026%204TH%20VERSION%20-%2020%20MAY%202026.pdf" TargetMode="External" Id="rId15"/><Relationship Type="http://schemas.openxmlformats.org/officeDocument/2006/relationships/hyperlink" Target="https://www.etenders.gov.za/home/Download/?blobName=e0bcf7ce-6849-48b0-b3f1-867c75e609d5.pdf&amp;downloadedFileName=Znq%2006.26.27%20Advert.pdf" TargetMode="External" Id="rId16"/><Relationship Type="http://schemas.openxmlformats.org/officeDocument/2006/relationships/hyperlink" Target="https://www.etenders.gov.za/home/Download/?blobName=8cffe4cf-71af-4ec2-b825-179eb153b565.pdf&amp;downloadedFileName=Request%20for%20Quotation.pdf" TargetMode="External" Id="rId17"/><Relationship Type="http://schemas.openxmlformats.org/officeDocument/2006/relationships/hyperlink" Target="https://www.etenders.gov.za/home/Download/?blobName=cc0c83ef-26b2-4a92-acee-f2a0ad5a155b.pdf&amp;downloadedFileName=Bid%20Document%20High%20Volume%20Digital%20Colour%20Printer.pdf" TargetMode="External" Id="rId18"/><Relationship Type="http://schemas.openxmlformats.org/officeDocument/2006/relationships/hyperlink" Target="https://www.etenders.gov.za/home/Download/?blobName=c5be9fd0-d4ab-4796-b040-7b3741a7457c.pdf&amp;downloadedFileName=BID%20DOCUMENT%20IT%20INFRASTRUCTURE%20FOR%202%20YEARS%202026.FFA.pdf" TargetMode="External" Id="rId19"/><Relationship Type="http://schemas.openxmlformats.org/officeDocument/2006/relationships/hyperlink" Target="https://www.etenders.gov.za/home/Download/?blobName=9214e7a2-c8dc-429c-95c2-c0b754259089.pdf&amp;downloadedFileName=Business%20Transformation_RFP_21%20May%202026_Final.pdf" TargetMode="External" Id="rId20"/><Relationship Type="http://schemas.openxmlformats.org/officeDocument/2006/relationships/hyperlink" Target="https://www.etenders.gov.za/home/Download/?blobName=5a62e11b-5d3d-40a8-80ab-90b2093bbf38.pdf&amp;downloadedFileName=JHB%2026.02%20Tender%20Document.pdf" TargetMode="External" Id="rId21"/><Relationship Type="http://schemas.openxmlformats.org/officeDocument/2006/relationships/hyperlink" Target="https://www.etenders.gov.za/home/Download/?blobName=205ef9bc-ef58-47cc-8abb-743129a8606b.pdf&amp;downloadedFileName=Revised%20Final%20Version%202026%20RFQ%20SUPPLY%20AND%20DELIVERY%20OF%20INTERIOR%20DESIGN%20AT%20ITHALA%20MAIN%20HOUSE%20LODGE%20(003).pdf" TargetMode="External" Id="rId22"/><Relationship Type="http://schemas.openxmlformats.org/officeDocument/2006/relationships/hyperlink" Target="https://www.etenders.gov.za/home/Download/?blobName=73f7b10f-017b-4d81-bc6e-6710aa7a4bd6.pdf&amp;downloadedFileName=Notice%20to%20bidders...pdf" TargetMode="External" Id="rId23"/><Relationship Type="http://schemas.openxmlformats.org/officeDocument/2006/relationships/hyperlink" Target="https://www.etenders.gov.za/home/Download/?blobName=abea147c-146f-4364-89e6-10d3b749d0c7.pdf&amp;downloadedFileName=ADVERT%20FOR%20THE%20PANEL%20OF%20ADVERTISING%20AGENCIES.pdf" TargetMode="External" Id="rId24"/><Relationship Type="http://schemas.openxmlformats.org/officeDocument/2006/relationships/hyperlink" Target="https://www.etenders.gov.za/home/Download/?blobName=ad5d2e95-e0c9-4fce-9b79-4dec3c0594f1.docx&amp;downloadedFileName=SBD%206.1%20IN%20TERMS%20OF%20PPR2022.docx" TargetMode="External" Id="rId25"/><Relationship Type="http://schemas.openxmlformats.org/officeDocument/2006/relationships/hyperlink" Target="https://www.etenders.gov.za/home/Download/?blobName=9e28cabd-a15a-4322-a2af-4f59ca461496.pdf&amp;downloadedFileName=Legal%20Panel%20Tender%20ZDM014-2025-2026.pdf" TargetMode="External" Id="rId26"/><Relationship Type="http://schemas.openxmlformats.org/officeDocument/2006/relationships/hyperlink" Target="https://www.etenders.gov.za/home/Download/?blobName=35a3cdec-ea99-4d41-8a4a-095cd7f66d5a.pdf&amp;downloadedFileName=Standard%20Bidding%20Document%20(SDB)%204.pdf" TargetMode="External" Id="rId27"/><Relationship Type="http://schemas.openxmlformats.org/officeDocument/2006/relationships/hyperlink" Target="https://www.etenders.gov.za/home/Download/?blobName=73be5bf0-b5be-4608-b637-f71234e6e7af.pdf&amp;downloadedFileName=~$PZ-RFQ-CID24-2025%20-Updated%20(30).pdf" TargetMode="External" Id="rId28"/><Relationship Type="http://schemas.openxmlformats.org/officeDocument/2006/relationships/hyperlink" Target="https://www.etenders.gov.za/home/Download/?blobName=c732efd3-132f-4a4b-b783-76524baa0995.pdf&amp;downloadedFileName=21-05-2026%20TENDER%20RE-ADVERT%20PROVISION%20OF%20ENFORCEMENT%20PLANT%20AND%20SERVICES(24%20MONTHS%20CONTRACT)..pdf" TargetMode="External" Id="rId29"/><Relationship Type="http://schemas.openxmlformats.org/officeDocument/2006/relationships/hyperlink" Target="https://www.etenders.gov.za/home/Download/?blobName=a2497528-f0cc-4054-b5b9-72469274db27.pdf&amp;downloadedFileName=21-05-2026%20QUOTATION%20%20RE-ADVERT%20-%20PROVISION%20OF%20SCREENING%20OF%20EDUCATIONAL%20QUALIFICATION%20(24%20MONTHS%20CONTRACT)%20(002).pdf" TargetMode="External" Id="rId30"/><Relationship Type="http://schemas.openxmlformats.org/officeDocument/2006/relationships/hyperlink" Target="https://www.etenders.gov.za/home/Download/?blobName=4c5dd70d-a079-4b88-934b-4beaf6f0fc84.pdf&amp;downloadedFileName=1.%20RFP%20Docs-%20ECC%20Cover%20Page%20CPM%202020%20Rev%20001%20Khathu..pdf" TargetMode="External" Id="rId31"/><Relationship Type="http://schemas.openxmlformats.org/officeDocument/2006/relationships/hyperlink" Target="https://www.etenders.gov.za/home/Download/?blobName=0927fa29-4443-4ce4-929c-0c4cf137c3ed.pdf&amp;downloadedFileName=Tender%20Cancellation%20Letter%20-%20Online%20analyser%2013.05.2026.pdf" TargetMode="External" Id="rId32"/><Relationship Type="http://schemas.openxmlformats.org/officeDocument/2006/relationships/hyperlink" Target="https://www.etenders.gov.za/home/Download/?blobName=05af4090-0a79-466a-a98c-a164418a2da6.pdf&amp;downloadedFileName=ADVERT%20FOR%20THE%20PANEL%20OF%20TRAVELLING%20AGENCIES.pdf" TargetMode="External" Id="rId33"/><Relationship Type="http://schemas.openxmlformats.org/officeDocument/2006/relationships/hyperlink" Target="https://www.etenders.gov.za/home/Download/?blobName=b3a41ce4-ab17-4f81-96a7-f56ff975c77c.pdf&amp;downloadedFileName=T01-05-26%20Panel%20of%20Real%20Estate%20Agents%20Refresher.pdf" TargetMode="External" Id="rId34"/><Relationship Type="http://schemas.openxmlformats.org/officeDocument/2006/relationships/hyperlink" Target="https://www.etenders.gov.za/home/Download/?blobName=58bdd16e-c038-49f7-bf1a-44efd929ce86.pdf&amp;downloadedFileName=Eskom%20General%20Conditions%20of%20Purchase%20-%20July%202022.pdf" TargetMode="External" Id="rId35"/><Relationship Type="http://schemas.openxmlformats.org/officeDocument/2006/relationships/hyperlink" Target="https://www.etenders.gov.za/home/Download/?blobName=2965ceee-42a5-427b-a936-b6f0d85c553f.pdf&amp;downloadedFileName=21-05-2026%20-%20TENDER%20ADVERT%20-%20RURAL%20ELECTRIFICATION%20OF%20MBUZWENI%20WARD%2012.pdf" TargetMode="External" Id="rId36"/><Relationship Type="http://schemas.openxmlformats.org/officeDocument/2006/relationships/hyperlink" Target="https://www.etenders.gov.za/home/Download/?blobName=c3049e95-17a0-4e51-a694-f1a68c8a31c6.pdf&amp;downloadedFileName=RFP-ERACET-NPG-57720%20-%20EARTHMOVING%20EQUIPMENT%20FOR%20THE%20EASTERN%20REGION.pdf" TargetMode="External" Id="rId37"/><Relationship Type="http://schemas.openxmlformats.org/officeDocument/2006/relationships/hyperlink" Target="https://www.etenders.gov.za/home/Download/?blobName=710327d6-e450-4c18-8cff-638bb98e3a18.pdf&amp;downloadedFileName=RFQ%20201975%20Project%20Management%20Training%20(002).pdf" TargetMode="External" Id="rId38"/><Relationship Type="http://schemas.openxmlformats.org/officeDocument/2006/relationships/hyperlink" Target="https://www.etenders.gov.za/home/Download/?blobName=8dfd10a9-6ffa-4b19-adf2-6347810f5d0b.pdf&amp;downloadedFileName=Tender%20Advert%20MAY%202026%204TH%20VERSION%20-%2020%20MAY%202026.pdf" TargetMode="External" Id="rId39"/><Relationship Type="http://schemas.openxmlformats.org/officeDocument/2006/relationships/hyperlink" Target="https://www.etenders.gov.za/home/Download/?blobName=8db10a46-3b4f-4078-965d-c4ffcd32bf94.pdf&amp;downloadedFileName=Koster%20Substation%20Costing%20BOQ%20(1).pdf" TargetMode="External" Id="rId40"/><Relationship Type="http://schemas.openxmlformats.org/officeDocument/2006/relationships/hyperlink" Target="https://www.etenders.gov.za/home/Download/?blobName=66b66e76-9168-4118-a3f5-6a063f2f9086.pdf&amp;downloadedFileName=SECURITY%20TENDER%20FOR%20DR%20KK-36%20MONTHS.pdf" TargetMode="External" Id="rId41"/><Relationship Type="http://schemas.openxmlformats.org/officeDocument/2006/relationships/hyperlink" Target="https://www.etenders.gov.za/home/Download/?blobName=45db0be5-a603-4c79-b226-86fc57d74a38.pdf&amp;downloadedFileName=Annexure-B-and-C-2026.pdf" TargetMode="External" Id="rId42"/><Relationship Type="http://schemas.openxmlformats.org/officeDocument/2006/relationships/hyperlink" Target="https://www.etenders.gov.za/home/Download/?blobName=271596bc-6af6-405c-b2ad-26081ee0ebac.pdf&amp;downloadedFileName=RFP%20Subscription%20of%20Human%20Resources%20Management%20Research%20and%20Toolkit%20Services.pdf" TargetMode="External" Id="rId43"/><Relationship Type="http://schemas.openxmlformats.org/officeDocument/2006/relationships/hyperlink" Target="https://www.etenders.gov.za/home/Download/?blobName=cf295f76-b824-43ac-8edb-c0d5f36bc16d.pdf&amp;downloadedFileName=Notice%20to%20bidders...pdf" TargetMode="External" Id="rId44"/><Relationship Type="http://schemas.openxmlformats.org/officeDocument/2006/relationships/hyperlink" Target="https://www.etenders.gov.za/home/Download/?blobName=5cb276c1-56a5-4777-aecc-a70211a58a60.pdf&amp;downloadedFileName=Notice%20to%20bidders...pdf" TargetMode="External" Id="rId45"/><Relationship Type="http://schemas.openxmlformats.org/officeDocument/2006/relationships/hyperlink" Target="https://www.etenders.gov.za/home/Download/?blobName=dd587877-588d-463e-bf92-5697838fc3e9.pdf&amp;downloadedFileName=Znq%2004.26.27%20Bid%20Quo%20Doc.pdf" TargetMode="External" Id="rId46"/><Relationship Type="http://schemas.openxmlformats.org/officeDocument/2006/relationships/hyperlink" Target="https://www.etenders.gov.za/home/Download/?blobName=7c9cf466-c487-4977-8d29-e935c201a2e9.pdf&amp;downloadedFileName=Publication%20of%20Names%20of%20Bidders%20for%20Supply%20&amp;%20Delivery%20of%20C&amp;I%20Cables.pdf" TargetMode="External" Id="rId47"/><Relationship Type="http://schemas.openxmlformats.org/officeDocument/2006/relationships/hyperlink" Target="https://www.etenders.gov.za/home/Download/?blobName=e479be98-d0cf-45dd-98d4-ae5ad27a6853.pdf&amp;downloadedFileName=HOW%20TO%20SUBMIT%20A%20TENDER%20OR%20QUOTATION.pdf" TargetMode="External" Id="rId48"/><Relationship Type="http://schemas.openxmlformats.org/officeDocument/2006/relationships/hyperlink" Target="https://www.etenders.gov.za/home/Download/?blobName=0f118689-fc8b-43e6-8ecf-01c39c89a20c.pdf&amp;downloadedFileName=TENDER%20ADVERT%20MAY%202026.pdf" TargetMode="External" Id="rId49"/><Relationship Type="http://schemas.openxmlformats.org/officeDocument/2006/relationships/hyperlink" Target="https://www.etenders.gov.za/home/Download/?blobName=e3c9958d-9e52-4428-b3d2-2f12064b22c7.pdf&amp;downloadedFileName=Tender%20Advert%20MAY%202026%204TH%20VERSION%20-%2020%20MAY%202026.pdf" TargetMode="External" Id="rId50"/><Relationship Type="http://schemas.openxmlformats.org/officeDocument/2006/relationships/hyperlink" Target="https://www.etenders.gov.za/home/Download/?blobName=69242ddb-94ad-446a-a6e0-bf9f00ff963e.pdf&amp;downloadedFileName=Signed%20Tender%20Advert%20May%202026.pdf" TargetMode="External" Id="rId51"/><Relationship Type="http://schemas.openxmlformats.org/officeDocument/2006/relationships/hyperlink" Target="https://www.etenders.gov.za/home/Download/?blobName=dce017b8-2eb8-4d5d-a157-54259cb2964e.pdf&amp;downloadedFileName=RFQJW0061DM26%20-%20%20%202026-2027FY%20Disaster%20Management%20Plan.pdf" TargetMode="External" Id="rId52"/><Relationship Type="http://schemas.openxmlformats.org/officeDocument/2006/relationships/hyperlink" Target="https://www.etenders.gov.za/home/Download/?blobName=d8e62d79-095d-4384-be26-5ba4700d8b8e.pdf&amp;downloadedFileName=TFR%202026%2003%200230%202297%20RFQ.pdf" TargetMode="External" Id="rId53"/><Relationship Type="http://schemas.openxmlformats.org/officeDocument/2006/relationships/hyperlink" Target="https://www.etenders.gov.za/home/Download/?blobName=e9f3da10-f920-405b-b211-2d1e721b47b2.pdf&amp;downloadedFileName=Tender%20Advert%20MAY%202026%204TH%20VERSION%20-%2020%20MAY%202026.pdf" TargetMode="External" Id="rId54"/><Relationship Type="http://schemas.openxmlformats.org/officeDocument/2006/relationships/hyperlink" Target="https://www.etenders.gov.za/home/Download/?blobName=49d6f719-fdc9-4398-b05a-c46e38bcf530.pdf&amp;downloadedFileName=RFQ%20NMPH%20Ablutions%20rental.pdf" TargetMode="External" Id="rId55"/><Relationship Type="http://schemas.openxmlformats.org/officeDocument/2006/relationships/hyperlink" Target="https://www.etenders.gov.za/home/Download/?blobName=b98a6901-43eb-4eac-a52f-9207425ca1c4.pdf&amp;downloadedFileName=IZIKO-RFQ-CSM-NMPH-Container%20%2022-05-2026.pdf" TargetMode="External" Id="rId56"/><Relationship Type="http://schemas.openxmlformats.org/officeDocument/2006/relationships/hyperlink" Target="https://www.etenders.gov.za/home/Download/?blobName=d748fb46-e5c6-4816-9be2-f2fd454bd988.pdf&amp;downloadedFileName=MLM%2031.2025.26%20LANGUAGE%20SERVICES%20-%20READVERT.pdf" TargetMode="External" Id="rId57"/><Relationship Type="http://schemas.openxmlformats.org/officeDocument/2006/relationships/hyperlink" Target="https://www.etenders.gov.za/home/Download/?blobName=22723ab3-9864-4ff8-81e4-338974a7154c.pdf&amp;downloadedFileName=VARIOUS%20-%20IPAP%20&amp;%20OPS%20(ERW2506.02).pdf" TargetMode="External" Id="rId58"/><Relationship Type="http://schemas.openxmlformats.org/officeDocument/2006/relationships/hyperlink" Target="https://www.etenders.gov.za/home/Download/?blobName=dc4c41fc-5b05-40b8-b803-f5e52f25ba7f.pdf&amp;downloadedFileName=RFQ217694%20-Renewal%20of%20Manage%20Engine%20AD%20Manager%20and%20AD%20Audit%20Plus%20software.pdf" TargetMode="External" Id="rId59"/><Relationship Type="http://schemas.openxmlformats.org/officeDocument/2006/relationships/hyperlink" Target="https://www.etenders.gov.za/home/Download/?blobName=3f5da2b3-af26-4e34-83dc-28e5cd46d4e0.pdf&amp;downloadedFileName=SBD4.pdf" TargetMode="External" Id="rId60"/><Relationship Type="http://schemas.openxmlformats.org/officeDocument/2006/relationships/hyperlink" Target="https://www.etenders.gov.za/home/Download/?blobName=b8ed8849-8081-419a-9b78-2cb090c0ff51.pdf&amp;downloadedFileName=5-2-1-1-2026-2027-032.pdf" TargetMode="External" Id="rId61"/><Relationship Type="http://schemas.openxmlformats.org/officeDocument/2006/relationships/hyperlink" Target="https://www.etenders.gov.za/home/Download/?blobName=7bdea14c-2329-461f-beee-e9e2b9720b6f.pdf&amp;downloadedFileName=INF%20TEH01%202026%20-%20BIENNUAL%20CONTRACT%20FOR%20THE%20EXTERNAL%20HIRE%20OF%20VEHICLES%20MACHINERY.pdf" TargetMode="External" Id="rId62"/><Relationship Type="http://schemas.openxmlformats.org/officeDocument/2006/relationships/hyperlink" Target="https://www.etenders.gov.za/home/Download/?blobName=347ea61d-8efe-4480-a197-bc51f90f4e70.pdf&amp;downloadedFileName=TENDER%20ADVERT.pdf" TargetMode="External" Id="rId63"/><Relationship Type="http://schemas.openxmlformats.org/officeDocument/2006/relationships/hyperlink" Target="https://www.etenders.gov.za/home/Download/?blobName=c4ec135d-99ce-4604-8519-b9b62bbc6ac0.pdf&amp;downloadedFileName=21-05-2026%20TENDER%20ADVERT%20-SUPPLY%20AND%20DELIVER%20OF%20PERSONAL%20PROCTIVE%20CLOTHING%20(%20PPE)%20UNIFORM%20(12%20MONTHS).pdf" TargetMode="External" Id="rId64"/><Relationship Type="http://schemas.openxmlformats.org/officeDocument/2006/relationships/hyperlink" Target="https://www.etenders.gov.za/home/Download/?blobName=1ad94282-a25d-4c52-8875-c4218b10db5f.zip&amp;downloadedFileName=BID%20PACK%202.zip" TargetMode="External" Id="rId65"/><Relationship Type="http://schemas.openxmlformats.org/officeDocument/2006/relationships/hyperlink" Target="https://www.etenders.gov.za/home/Download/?blobName=53a18520-cb40-4c52-be3d-f34751b756ce.pdf&amp;downloadedFileName=Tender%20BSM%20105%2026%20Horticultural%20maintenance%20%20of%20municipal%20gardens%20&amp;%20playgrounds%20in%20WC024%20to%2030%20June%202029.pdf" TargetMode="External" Id="rId66"/><Relationship Type="http://schemas.openxmlformats.org/officeDocument/2006/relationships/hyperlink" Target="https://www.etenders.gov.za/home/Download/?blobName=491fb4d4-5f67-44e3-82c5-a0f0f5ca8120.zip&amp;downloadedFileName=Ceres.zip" TargetMode="External" Id="rId67"/><Relationship Type="http://schemas.openxmlformats.org/officeDocument/2006/relationships/hyperlink" Target="https://www.etenders.gov.za/home/Download/?blobName=d1ad5806-6362-4c2c-a048-21fd21b346d2.pdf&amp;downloadedFileName=REQUEST%20QUOTATIONS%20FOR%20SUPPORT%20AND%20MAINTENANCE%20OF%20OHSC%20CALL%20CENTRE%20OHSC.FF.pdf" TargetMode="External" Id="rId68"/><Relationship Type="http://schemas.openxmlformats.org/officeDocument/2006/relationships/hyperlink" Target="https://www.etenders.gov.za/home/Download/?blobName=5fab2eeb-642a-4a34-9228-c58d9b405c45.pdf&amp;downloadedFileName=TENDER%20ADVERT%20MAY%202026.pdf" TargetMode="External" Id="rId69"/><Relationship Type="http://schemas.openxmlformats.org/officeDocument/2006/relationships/hyperlink" Target="https://www.etenders.gov.za/home/Download/?blobName=fa8f8cca-fad2-478d-8215-0fd7bb5c3f20.pdf&amp;downloadedFileName=RFQ%20for%20Metal%20Chemicals.pdf" TargetMode="External" Id="rId70"/><Relationship Type="http://schemas.openxmlformats.org/officeDocument/2006/relationships/hyperlink" Target="https://www.etenders.gov.za/home/Download/?blobName=638677fb-5d14-4505-8f0d-883a1372035a.pdf&amp;downloadedFileName=NLC2026-005%20NLC%20Employee%20Wellness%20Programme%20for%20a%20period%20of%203%20Years.pdf" TargetMode="External" Id="rId71"/><Relationship Type="http://schemas.openxmlformats.org/officeDocument/2006/relationships/hyperlink" Target="https://www.etenders.gov.za/home/Download/?blobName=4dd2f746-c079-4490-8395-fe50285c569c.pdf&amp;downloadedFileName=__RFQ006-26%20-%20Bloemfontein%20Stationery.pdf" TargetMode="External" Id="rId72"/><Relationship Type="http://schemas.openxmlformats.org/officeDocument/2006/relationships/hyperlink" Target="https://www.etenders.gov.za/home/Download/?blobName=44264a3f-6d68-479f-90e3-2af078aa7251.pdf&amp;downloadedFileName=Specification%20for%20ISO%20Management%20System%20Certification%20Services.pdf" TargetMode="External" Id="rId73"/><Relationship Type="http://schemas.openxmlformats.org/officeDocument/2006/relationships/hyperlink" Target="https://www.etenders.gov.za/home/Download/?blobName=5fe0c27f-ad1e-44c0-9301-f017145659e4.pdf&amp;downloadedFileName=RFQ_26-27-25_Pietermaritzburg%20Post%20Office%20_%20LM.pdf" TargetMode="External" Id="rId74"/><Relationship Type="http://schemas.openxmlformats.org/officeDocument/2006/relationships/hyperlink" Target="https://www.etenders.gov.za/home/Download/?blobName=ec45a2df-b15f-40fb-b1d0-83cae93cc123.pdf&amp;downloadedFileName=General%20Conditions%20of%20Contract.pdf" TargetMode="External" Id="rId75"/><Relationship Type="http://schemas.openxmlformats.org/officeDocument/2006/relationships/hyperlink" Target="https://www.etenders.gov.za/home/Download/?blobName=9fb0d04a-c2e1-4907-bc8f-a7f3fed7a283.pdf&amp;downloadedFileName=Notice%20to%20bidders...pdf" TargetMode="External" Id="rId76"/><Relationship Type="http://schemas.openxmlformats.org/officeDocument/2006/relationships/hyperlink" Target="https://www.etenders.gov.za/home/Download/?blobName=4bc50ef3-56d0-4383-b388-3671b0555271.pdf&amp;downloadedFileName=VARIOUS%20-%20IPAP%20&amp;%20OPS%20(ERW2510.02).pdf" TargetMode="External" Id="rId77"/><Relationship Type="http://schemas.openxmlformats.org/officeDocument/2006/relationships/hyperlink" Target="https://www.etenders.gov.za/home/Download/?blobName=44442598-bbc1-4e2e-bbe9-c1f14c5d321c.pdf&amp;downloadedFileName=Letter%20to%20Extend%20validity%20period%20of%20Tender%20-%20Vehicle%20Accessories%20(E2021DXGP).pdf" TargetMode="External" Id="rId78"/><Relationship Type="http://schemas.openxmlformats.org/officeDocument/2006/relationships/hyperlink" Target="https://www.etenders.gov.za/home/Download/?blobName=8dd0a49c-8860-4f10-9a42-5b558405fe60.pdf&amp;downloadedFileName=RFQ%20201977%20The%20appointment%20of%20a%20service%20provider%20to%20conduct%20the%20analysis%20Fire%20resistance%20test%20in%20accordance%20with%20SANS.pdf" TargetMode="External" Id="rId79"/><Relationship Type="http://schemas.openxmlformats.org/officeDocument/2006/relationships/hyperlink" Target="https://www.etenders.gov.za/home/Download/?blobName=f0eeee5f-9918-49a0-a109-5ecab8afaccf.pdf&amp;downloadedFileName=RFQ001(26-27)Advert.pdf" TargetMode="External" Id="rId80"/><Relationship Type="http://schemas.openxmlformats.org/officeDocument/2006/relationships/hyperlink" Target="https://www.etenders.gov.za/home/Download/?blobName=45cd3f09-b491-4910-ae79-b4d260f75575.pdf&amp;downloadedFileName=RFQ%20TRIM-2026-04-0808-4808-RFQ.pdf" TargetMode="External" Id="rId81"/><Relationship Type="http://schemas.openxmlformats.org/officeDocument/2006/relationships/hyperlink" Target="https://www.etenders.gov.za/home/Download/?blobName=4c911990-23c5-4b16-a417-bc944dd0704c.pdf&amp;downloadedFileName=Tender%20Advert%20MAY%202026%204TH%20VERSION%20-%2020%20MAY%202026.pdf" TargetMode="External" Id="rId82"/><Relationship Type="http://schemas.openxmlformats.org/officeDocument/2006/relationships/hyperlink" Target="https://www.etenders.gov.za/home/Download/?blobName=9ae1ccb8-5441-4b29-87b6-914b584772a0.pdf&amp;downloadedFileName=RFQ%20SPECIFICATION.pdf" TargetMode="External" Id="rId83"/><Relationship Type="http://schemas.openxmlformats.org/officeDocument/2006/relationships/hyperlink" Target="https://www.etenders.gov.za/home/Download/?blobName=c7bc4a2f-ab4c-4c20-8dc8-0bfd5d57411d.pdf&amp;downloadedFileName=TOR%20-Temporary%20Fitted%20Out%20Office%20Accommodation_SAHRA.pdf" TargetMode="External" Id="rId84"/><Relationship Type="http://schemas.openxmlformats.org/officeDocument/2006/relationships/hyperlink" Target="https://www.etenders.gov.za/home/Download/?blobName=2f022153-00d4-4ae4-843c-e4b6f74726e3.pdf&amp;downloadedFileName=RFQ%20217695%20-Headsets%20%20and%20Laptop%20chargers.pdf" TargetMode="External" Id="rId85"/><Relationship Type="http://schemas.openxmlformats.org/officeDocument/2006/relationships/hyperlink" Target="https://www.etenders.gov.za/home/Download/?blobName=9a14e4b7-5671-4f5d-94c7-d05f7e725ebc.pdf&amp;downloadedFileName=TENDER%20DOCUMENT%20GEP%20RFP%2001%202026.pdf" TargetMode="External" Id="rId86"/><Relationship Type="http://schemas.openxmlformats.org/officeDocument/2006/relationships/hyperlink" Target="https://www.etenders.gov.za/home/Download/?blobName=406854a2-ddca-4ab0-b137-8592604f3268.pdf&amp;downloadedFileName=247Q_2025_26%20Doc.pdf" TargetMode="External" Id="rId87"/><Relationship Type="http://schemas.openxmlformats.org/officeDocument/2006/relationships/hyperlink" Target="https://www.etenders.gov.za/home/Download/?blobName=71c57ade-ec98-4b9e-8f88-4633070d6d56.pdf&amp;downloadedFileName=Signed%20Request%20to%20Extend%20Enquiry%20Closing%20Date.pdf" TargetMode="External" Id="rId88"/><Relationship Type="http://schemas.openxmlformats.org/officeDocument/2006/relationships/hyperlink" Target="https://www.etenders.gov.za/home/Download/?blobName=9e5e3472-84f0-4886-b380-bbc5b5f6c89a.xlsx&amp;downloadedFileName=BOQ_WTW%20unpriced%20-%2019%20May%202026.xlsx" TargetMode="External" Id="rId89"/><Relationship Type="http://schemas.openxmlformats.org/officeDocument/2006/relationships/hyperlink" Target="https://www.etenders.gov.za/home/Download/?blobName=5c502fc1-821a-439a-82af-cda8bf791bea.pdf&amp;downloadedFileName=BID%20BULLETIN%20211.pdf" TargetMode="External" Id="rId90"/><Relationship Type="http://schemas.openxmlformats.org/officeDocument/2006/relationships/hyperlink" Target="https://www.etenders.gov.za/home/Download/?blobName=ced20a2a-f70a-431c-aa81-5f3dc7431ad1.pdf&amp;downloadedFileName=COMBINED%20MAY%20ADVERT%2003.pdf" TargetMode="External" Id="rId91"/><Relationship Type="http://schemas.openxmlformats.org/officeDocument/2006/relationships/hyperlink" Target="https://www.etenders.gov.za/home/Download/?blobName=4fcd4a87-6dde-4d93-b76e-15acbba76db1.pdf&amp;downloadedFileName=Q91-2025-26QUOTATION%20DOCUMENT.pdf" TargetMode="External" Id="rId92"/><Relationship Type="http://schemas.openxmlformats.org/officeDocument/2006/relationships/hyperlink" Target="https://www.etenders.gov.za/home/Download/?blobName=5eb4ed3c-b841-48c4-9ac4-a692cd671651.pdf&amp;downloadedFileName=Supply%20and%20Delivery%20of%20Diesel%20for%2012%20Months.pdf" TargetMode="External" Id="rId93"/><Relationship Type="http://schemas.openxmlformats.org/officeDocument/2006/relationships/hyperlink" Target="https://www.etenders.gov.za/home/Download/?blobName=6115a18e-ff01-4214-a5ab-7c85bdfb6256.pdf&amp;downloadedFileName=ADVERT-%20VARIOUS%20BIDS%20-%2022%20MAY%202026.pdf" TargetMode="External" Id="rId94"/><Relationship Type="http://schemas.openxmlformats.org/officeDocument/2006/relationships/hyperlink" Target="https://www.etenders.gov.za/home/Download/?blobName=f4a7b72b-962c-406e-9f9c-a77ae06c4dcd.pdf&amp;downloadedFileName=RFP%20Document%20-%2067190-1990-2025-01%20-%20Debt%20Sponsor.pdf" TargetMode="External" Id="rId95"/><Relationship Type="http://schemas.openxmlformats.org/officeDocument/2006/relationships/hyperlink" Target="https://www.etenders.gov.za/home/Download/?blobName=60866975-4de2-43b5-88f1-688fea2cbe06.pdf&amp;downloadedFileName=BID%20BULLETIN%20211.pdf" TargetMode="External" Id="rId96"/><Relationship Type="http://schemas.openxmlformats.org/officeDocument/2006/relationships/hyperlink" Target="https://www.etenders.gov.za/home/Download/?blobName=88e01606-9a64-4b86-8ac9-de64b8c18bff.pdf&amp;downloadedFileName=Gaiasphere%20RFQ.pdf" TargetMode="External" Id="rId97"/><Relationship Type="http://schemas.openxmlformats.org/officeDocument/2006/relationships/hyperlink" Target="https://www.etenders.gov.za/home/Download/?blobName=791ae810-645c-46ec-8d36-5ebdc0e2f031.pdf&amp;downloadedFileName=RFQ%20Electrical%20Material.pdf" TargetMode="External" Id="rId98"/><Relationship Type="http://schemas.openxmlformats.org/officeDocument/2006/relationships/hyperlink" Target="https://www.etenders.gov.za/home/Download/?blobName=bf39f30a-ad81-4a8c-8364-6815e167edf0.odt&amp;downloadedFileName=specs%20ethanol.odt" TargetMode="External" Id="rId99"/><Relationship Type="http://schemas.openxmlformats.org/officeDocument/2006/relationships/hyperlink" Target="https://www.etenders.gov.za/home/Download/?blobName=872f04f1-e4ee-4d54-b474-deeb94ad5696.pdf&amp;downloadedFileName=SSC%20WC%2007%20Pinevalley%20Tender%20Document%20-%201%20JUNE%202026.pdf" TargetMode="External" Id="rId100"/><Relationship Type="http://schemas.openxmlformats.org/officeDocument/2006/relationships/hyperlink" Target="https://www.etenders.gov.za/home/Download/?blobName=22824693-0afc-4487-87d8-9af5cdf5681e.pdf&amp;downloadedFileName=ADVERT-%20VARIOUS%20BIDS%20-%2022%20MAY%202026.pdf" TargetMode="External" Id="rId101"/><Relationship Type="http://schemas.openxmlformats.org/officeDocument/2006/relationships/hyperlink" Target="https://www.etenders.gov.za/home/Download/?blobName=0d0d7c08-72f3-4a45-8f80-b41b4daef21b.pdf&amp;downloadedFileName=Boiler%20operations%20and%20repairs%20at%20Mdantsane%20Prison%20(GQET-26-27-037).pdf" TargetMode="External" Id="rId102"/><Relationship Type="http://schemas.openxmlformats.org/officeDocument/2006/relationships/hyperlink" Target="https://www.etenders.gov.za/home/Download/?blobName=6014bb31-6da2-47a0-9b05-9db91a1bb9be.pdf&amp;downloadedFileName=ADVERT%20FOR%20COMPLETION%20OF%20NCINIBA%20AND%20DINANA%20ELECTRICTRIFICATION.pdf" TargetMode="External" Id="rId103"/><Relationship Type="http://schemas.openxmlformats.org/officeDocument/2006/relationships/hyperlink" Target="https://www.etenders.gov.za/home/Download/?blobName=8cdbf4da-7b3a-4cb1-92de-e547e972722e.pdf&amp;downloadedFileName=RFQ%20803.20.2026%20%20SILVICULTURE%20BLYDE%20%20.pdf" TargetMode="External" Id="rId104"/><Relationship Type="http://schemas.openxmlformats.org/officeDocument/2006/relationships/hyperlink" Target="https://www.etenders.gov.za/home/Download/?blobName=a9deded7-6b4e-448f-aa83-5941c52d7a1c.pdf&amp;downloadedFileName=GM2026-154%20PROFESSIONAL%20SERVICES%20SUPPORT%20FOR%20WATER%20CONSERVATION%20AND%20DEMAND%20MANAGEMENT%20PLAN%20AND%20NON%20REVENUE%20FOR%203%20YEARS.pdf" TargetMode="External" Id="rId105"/><Relationship Type="http://schemas.openxmlformats.org/officeDocument/2006/relationships/hyperlink" Target="https://www.etenders.gov.za/home/Download/?blobName=8e0c6ba5-0fdb-47ab-b928-27c0ead607c0.pdf&amp;downloadedFileName=Q69-03-2025-26%20QUOTATION%20DOCUMENT.pdf" TargetMode="External" Id="rId106"/><Relationship Type="http://schemas.openxmlformats.org/officeDocument/2006/relationships/hyperlink" Target="https://www.etenders.gov.za/home/Download/?blobName=b1fdd517-f249-44a2-85f0-25e5fc1e496b.pdf&amp;downloadedFileName=Bid%20Specifications%20-%20Cardboard%20Cardboard%20Furniture%20-%20Tables%20and%20Chairs%20{Final}.pdf" TargetMode="External" Id="rId107"/><Relationship Type="http://schemas.openxmlformats.org/officeDocument/2006/relationships/hyperlink" Target="https://www.etenders.gov.za/home/Download/?blobName=6afa53ac-68ca-4f08-8003-68bd74e97ba3.pdf&amp;downloadedFileName=SASSA%2001-26-GA-MP%20Accreditation%20of%20service%20providers%20to%20supply%20and%20deliver%20school%20uniform%20in%20Mpumalanga%20Region%20for%20the%20period%20of%20thirty-six%20(36)%20months..pdf" TargetMode="External" Id="rId108"/><Relationship Type="http://schemas.openxmlformats.org/officeDocument/2006/relationships/hyperlink" Target="https://www.etenders.gov.za/home/Download/?blobName=29b106f2-f1c6-46ee-a194-8a212aa04363.pdf&amp;downloadedFileName=ppa-123659-rfq.pdf" TargetMode="External" Id="rId109"/><Relationship Type="http://schemas.openxmlformats.org/officeDocument/2006/relationships/hyperlink" Target="https://www.etenders.gov.za/home/Download/?blobName=72940f2c-2c0f-4cce-9d44-973286984d79.pdf&amp;downloadedFileName=NNRSCM-01-2026%20APPOINTMENT%20OF%20A%20SERVICE%20PROVIDER%20TO%20PROVIDE%20EMPLOYEE%20WELLNESS%20AND%20HEALTH%20PROGRAMME%20SERVICES%20TO%20THE%20NNR%20FOR%20A%20PERIOD%203%20YEARS.pdf" TargetMode="External" Id="rId110"/><Relationship Type="http://schemas.openxmlformats.org/officeDocument/2006/relationships/hyperlink" Target="https://www.etenders.gov.za/home/Download/?blobName=1da6a4fc-3243-480b-84fd-53bb02a50dab.pdf&amp;downloadedFileName=Gauteng%20South%20Regional%20Office-Office%20Lease%20Specification%20and%20Bid%20Document.pdf" TargetMode="External" Id="rId111"/><Relationship Type="http://schemas.openxmlformats.org/officeDocument/2006/relationships/hyperlink" Target="https://www.etenders.gov.za/home/Download/?blobName=52fd26b1-f76e-46e6-a8e5-0fa415e83187.pdf&amp;downloadedFileName=COMBINED%20MAY%20ADVERT%2003.pdf" TargetMode="External" Id="rId112"/><Relationship Type="http://schemas.openxmlformats.org/officeDocument/2006/relationships/hyperlink" Target="https://www.etenders.gov.za/home/Download/?blobName=a53b0f23-32ba-4034-a81f-276b92eaa79c.pdf&amp;downloadedFileName=BID%20DOC%20FOR%20CLEANING%20AND%20%20HYGIENE%20SERVICES%2018%20MONTHS%20CONTRACT%20-.pdf" TargetMode="External" Id="rId113"/><Relationship Type="http://schemas.openxmlformats.org/officeDocument/2006/relationships/hyperlink" Target="https://www.etenders.gov.za/home/Download/?blobName=af794297-1125-4bb5-9822-56ac7d13efaa.pdf&amp;downloadedFileName=Tender%20Notice.pdf" TargetMode="External" Id="rId114"/><Relationship Type="http://schemas.openxmlformats.org/officeDocument/2006/relationships/hyperlink" Target="https://www.etenders.gov.za/home/Download/?blobName=2d16c36d-3cff-4b81-af4a-9ab2a5cb9600.pdf&amp;downloadedFileName=RFQ%20DOCUMENT.pdf" TargetMode="External" Id="rId115"/><Relationship Type="http://schemas.openxmlformats.org/officeDocument/2006/relationships/hyperlink" Target="https://www.etenders.gov.za/home/Download/?blobName=061d25b3-3109-4133-935a-ca087a75db95.pdf&amp;downloadedFileName=RFQ-015-SCM-and-Bid-Committees-Training-22-MAY-2026.pdf" TargetMode="External" Id="rId116"/><Relationship Type="http://schemas.openxmlformats.org/officeDocument/2006/relationships/hyperlink" Target="https://www.etenders.gov.za/home/Download/?blobName=77bf3e37-08c8-4519-9e0b-31d32c89a403.pdf&amp;downloadedFileName=PAMun%20Bid%20Document%20-%20RFQ%2082_2026%20Corporate%20Branding.pdf" TargetMode="External" Id="rId117"/><Relationship Type="http://schemas.openxmlformats.org/officeDocument/2006/relationships/hyperlink" Target="https://www.etenders.gov.za/home/Download/?blobName=3ea7bc49-82a6-467d-8f78-26832b6f570a.pdf&amp;downloadedFileName=COMBINED%20MAY%20ADVERT%2002.pdf" TargetMode="External" Id="rId118"/><Relationship Type="http://schemas.openxmlformats.org/officeDocument/2006/relationships/hyperlink" Target="https://www.etenders.gov.za/home/Download/?blobName=d4302a2f-f04c-44c7-99f6-f5f618b08a9d.pdf&amp;downloadedFileName=T%202026%20040%20TENDER%20DOCUMENT%20FINAL.pdf" TargetMode="External" Id="rId119"/><Relationship Type="http://schemas.openxmlformats.org/officeDocument/2006/relationships/hyperlink" Target="https://www.etenders.gov.za/home/Download/?blobName=0e43970b-e843-4f50-a75a-73478931a1ad.pdf&amp;downloadedFileName=10371180%20-%20REQUEST%20FOR%20QUOTATION%20(RFQ)%20FOR%20THE%20APPOINTMENT%20OF%20A%20SERVICE%20PROVIDER%20TO%20OVERHAUL%20BUS%20DIFFS.pdf" TargetMode="External" Id="rId120"/><Relationship Type="http://schemas.openxmlformats.org/officeDocument/2006/relationships/hyperlink" Target="https://www.etenders.gov.za/home/Download/?blobName=c0e22a4a-3e53-45bc-8ab2-63d3ec1aa85a.pdf&amp;downloadedFileName=Requisition%2029079-GGHNP-2026-27_Pest%20Control%20&amp;%20Hygiene%20Services_Annexure%20A_22.05.2026.pdf" TargetMode="External" Id="rId121"/><Relationship Type="http://schemas.openxmlformats.org/officeDocument/2006/relationships/hyperlink" Target="https://www.etenders.gov.za/home/Download/?blobName=a991c643-39c1-4a37-91b5-aa50f3e981f1.pdf&amp;downloadedFileName=Q12-1326%20OF%2025-26%20-%20Repairs%20and%20Maintenance%20of%20Rental%20Stocks.pdf" TargetMode="External" Id="rId122"/><Relationship Type="http://schemas.openxmlformats.org/officeDocument/2006/relationships/hyperlink" Target="https://www.etenders.gov.za/home/Download/?blobName=238a5190-7227-413d-9bf7-adb10935a920.pdf&amp;downloadedFileName=SANRAL%20HO%20CTROM001-2026-Provision%20of%20Central%20National%20Tolling%20Solution%20-%20Request%20for%20Information.pdf" TargetMode="External" Id="rId123"/><Relationship Type="http://schemas.openxmlformats.org/officeDocument/2006/relationships/hyperlink" Target="https://www.etenders.gov.za/home/Download/?blobName=0024a6e5-2e02-4984-a80d-d41a932e09e2.pdf&amp;downloadedFileName=6000080439%20Supply%20&amp;%20delivery%20of%20pipe%20160mm%20x%206m%20.pdf" TargetMode="External" Id="rId124"/><Relationship Type="http://schemas.openxmlformats.org/officeDocument/2006/relationships/hyperlink" Target="https://www.etenders.gov.za/home/Download/?blobName=cf7e107e-054b-4032-afb4-5c1351f94986.pdf&amp;downloadedFileName=PAMun%20Bid%20Notice%20-%20RFQ%2080_2026%20Canopy%20Conversion.pdf" TargetMode="External" Id="rId125"/><Relationship Type="http://schemas.openxmlformats.org/officeDocument/2006/relationships/hyperlink" Target="https://www.etenders.gov.za/home/Download/?blobName=c261f051-86bc-458b-a7a3-f01c7f37ef1a.pdf&amp;downloadedFileName=BID%20DOC%20FOR%20MIDDLEBURG%20CIVIL%20%20STRUCTURAL%20PSP.pdf" TargetMode="External" Id="rId126"/><Relationship Type="http://schemas.openxmlformats.org/officeDocument/2006/relationships/hyperlink" Target="https://www.etenders.gov.za/home/Download/?blobName=d2ae4566-24c6-43cf-aa55-312df934f551.pdf&amp;downloadedFileName=Western%20Cape%20Regional%20Office-Office%20Lease%20Specification%20and%20Bid%20Document%20(2).pdf" TargetMode="External" Id="rId127"/><Relationship Type="http://schemas.openxmlformats.org/officeDocument/2006/relationships/hyperlink" Target="https://www.etenders.gov.za/home/Download/?blobName=8002940a-cc5d-432a-a25b-4be470a2ebd0.pdf&amp;downloadedFileName=RFI%20-%20Rental%20of%20Office%20Furniture%20and%20Equipment.pdf" TargetMode="External" Id="rId128"/><Relationship Type="http://schemas.openxmlformats.org/officeDocument/2006/relationships/hyperlink" Target="https://www.etenders.gov.za/home/Download/?blobName=96df3e37-f345-4263-b6cb-d206827923aa.pdf&amp;downloadedFileName=PLK%2026-12%20Tender%20Document.pdf" TargetMode="External" Id="rId129"/><Relationship Type="http://schemas.openxmlformats.org/officeDocument/2006/relationships/hyperlink" Target="https://www.etenders.gov.za/home/Download/?blobName=e5c8b250-ea1e-4334-b1dc-a0a3346ec0ae.pdf&amp;downloadedFileName=SCMU8-26-27-0076.pdf" TargetMode="External" Id="rId130"/><Relationship Type="http://schemas.openxmlformats.org/officeDocument/2006/relationships/hyperlink" Target="https://www.etenders.gov.za/home/Download/?blobName=6954918a-ee29-43a3-a64e-0217c5097d97.pdf&amp;downloadedFileName=6000080437%20Supply%20and%20delivery%20of%20pipe%20collars%20.pdf" TargetMode="External" Id="rId131"/><Relationship Type="http://schemas.openxmlformats.org/officeDocument/2006/relationships/hyperlink" Target="https://www.etenders.gov.za/home/Download/?blobName=26cce8fc-24a8-4d80-a7cd-c9cf78653556.pdf&amp;downloadedFileName=Boiler%20operations%20and%20repairs%20at%20St%20Albans%20Prison%20(GQET-26-27-034).pdf" TargetMode="External" Id="rId132"/><Relationship Type="http://schemas.openxmlformats.org/officeDocument/2006/relationships/hyperlink" Target="https://www.etenders.gov.za/home/Download/?blobName=4da3dc36-4a7b-4189-803e-e9987667c4ea.odt&amp;downloadedFileName=Annexure%20A%20-%20Bidders%20Client%20Reference.odt" TargetMode="External" Id="rId133"/><Relationship Type="http://schemas.openxmlformats.org/officeDocument/2006/relationships/hyperlink" Target="https://www.etenders.gov.za/home/Download/?blobName=0c1615bf-9e06-461e-86f3-7526bd426ad8.pdf&amp;downloadedFileName=SHE%20spec.pdf" TargetMode="External" Id="rId134"/><Relationship Type="http://schemas.openxmlformats.org/officeDocument/2006/relationships/hyperlink" Target="https://www.etenders.gov.za/home/Download/?blobName=861e5127-1b42-4714-9a37-c2a40eca3c9d.pdf&amp;downloadedFileName=Advert%20SCM%202026%2063%20ENG.pdf" TargetMode="External" Id="rId135"/><Relationship Type="http://schemas.openxmlformats.org/officeDocument/2006/relationships/hyperlink" Target="https://www.etenders.gov.za/home/Download/?blobName=d644aa71-a641-4fc0-865d-08895eef6f83.pdf&amp;downloadedFileName=Special%20Conditions%20of%20a%20Contract.pdf" TargetMode="External" Id="rId136"/><Relationship Type="http://schemas.openxmlformats.org/officeDocument/2006/relationships/hyperlink" Target="https://www.etenders.gov.za/home/Download/?blobName=bdfb59ad-1550-45a3-9d9d-5088edc63c18.pdf&amp;downloadedFileName=UMN22-2025-2026-%20Appointment%20of%20a%20service%20provider%20to%20facilitate,%20supply%20and%20delivery%20of%20equipment%20for%20SMME%20as%20at%2022-05-26..pdf" TargetMode="External" Id="rId137"/><Relationship Type="http://schemas.openxmlformats.org/officeDocument/2006/relationships/hyperlink" Target="https://www.etenders.gov.za/home/Download/?blobName=a2fecca4-dc7e-4f36-851a-311a378444e8.pdf&amp;downloadedFileName=Probity%20Panel%20-SALGA-02-2026.pdf" TargetMode="External" Id="rId138"/><Relationship Type="http://schemas.openxmlformats.org/officeDocument/2006/relationships/hyperlink" Target="https://www.etenders.gov.za/home/Download/?blobName=1a393d29-3383-46c1-88b8-cf699086d98a.pdf&amp;downloadedFileName=OLT%202128190%20-%20Investment%20Recovery%20Offer%20to%20Purchase.pdf" TargetMode="External" Id="rId139"/><Relationship Type="http://schemas.openxmlformats.org/officeDocument/2006/relationships/hyperlink" Target="https://www.etenders.gov.za/home/Download/?blobName=42e5213f-500c-4544-befb-602100f8ef41.pdf&amp;downloadedFileName=eTendering_ExternalUser_Guide_Final.pdf" TargetMode="External" Id="rId140"/><Relationship Type="http://schemas.openxmlformats.org/officeDocument/2006/relationships/hyperlink" Target="https://www.etenders.gov.za/home/Download/?blobName=3905abc2-7f8f-4339-bcbe-582cacae5a77.pdf&amp;downloadedFileName=PLM%20TEPMS%20%201904%202026%20Tender%20Document%20Final.pdf" TargetMode="External" Id="rId141"/><Relationship Type="http://schemas.openxmlformats.org/officeDocument/2006/relationships/hyperlink" Target="https://www.etenders.gov.za/home/Download/?blobName=c0d494a9-c00f-48d8-8ae7-d548e310b83e.pdf&amp;downloadedFileName=Eskom_-_Standard_Conditions_of_Tender_-_30_January_2025.pdf" TargetMode="External" Id="rId142"/><Relationship Type="http://schemas.openxmlformats.org/officeDocument/2006/relationships/hyperlink" Target="https://www.etenders.gov.za/home/Download/?blobName=dc985712-3664-494e-845f-904055d11a5c.pdf&amp;downloadedFileName=T%202026%20047%20TENDER%20DOCUMENT%20FINAL.pdf" TargetMode="External" Id="rId143"/><Relationship Type="http://schemas.openxmlformats.org/officeDocument/2006/relationships/hyperlink" Target="https://www.etenders.gov.za/home/Download/?blobName=f0b30a40-8dcf-436a-8924-4bdcca3e8aaa.pdf&amp;downloadedFileName=PLK%2026-13%20Tender%20Document.pdf" TargetMode="External" Id="rId144"/><Relationship Type="http://schemas.openxmlformats.org/officeDocument/2006/relationships/hyperlink" Target="https://www.etenders.gov.za/home/Download/?blobName=7447cb60-e4b6-4ae6-8554-976d5e09ddff.pdf&amp;downloadedFileName=RFQ%20SPEC.pdf" TargetMode="External" Id="rId145"/><Relationship Type="http://schemas.openxmlformats.org/officeDocument/2006/relationships/hyperlink" Target="https://www.etenders.gov.za/home/Download/?blobName=4d3137cf-bdaa-42f3-90ab-a895ff9d5011.pdf&amp;downloadedFileName=RENOVATIONS%20AND%20ALTERATIONS%20OF%20WORKSHOPS%20AT%20MOUNT%20FRERE%20AND%20SITETO.pdf" TargetMode="External" Id="rId146"/><Relationship Type="http://schemas.openxmlformats.org/officeDocument/2006/relationships/hyperlink" Target="https://www.etenders.gov.za/home/Download/?blobName=944ad65b-b63f-471b-a230-7627a0a0d946.pdf&amp;downloadedFileName=RFQ-Appointment%20of%20a%20service%20provider%20for%20maintenance%20and%20service%20of%20the%20hydrovar%20pump%20(Water%20System)%20for%20a%20period%20of%20four%20(4)%20Years_%20(003).pdf" TargetMode="External" Id="rId147"/><Relationship Type="http://schemas.openxmlformats.org/officeDocument/2006/relationships/hyperlink" Target="https://www.etenders.gov.za/home/Download/?blobName=ebb9ac88-8a17-4235-a76b-e76575f4d29f.pdf&amp;downloadedFileName=SBD%20Spec%20Pricing-%20PRR00315.pdf" TargetMode="External" Id="rId148"/><Relationship Type="http://schemas.openxmlformats.org/officeDocument/2006/relationships/hyperlink" Target="https://www.etenders.gov.za/home/Download/?blobName=32674e1f-31b7-49b4-9c61-1bb7bbd6d3c0.pdf&amp;downloadedFileName=NKO-15-2026.pdf" TargetMode="External" Id="rId149"/><Relationship Type="http://schemas.openxmlformats.org/officeDocument/2006/relationships/hyperlink" Target="https://www.etenders.gov.za/home/Download/?blobName=d4daf8d6-8968-43c0-a028-054db6b2da26.pdf&amp;downloadedFileName=DOH(FS)%2002-2026-2027%20DOC.pdf" TargetMode="External" Id="rId150"/><Relationship Type="http://schemas.openxmlformats.org/officeDocument/2006/relationships/hyperlink" Target="https://www.etenders.gov.za/home/Download/?blobName=b5d6bb72-9cfc-4338-9413-0c3a7e1c3aed.pdf&amp;downloadedFileName=251Q.2025.26%20-%20FINAL%20DOC-1-7.pdf" TargetMode="External" Id="rId151"/><Relationship Type="http://schemas.openxmlformats.org/officeDocument/2006/relationships/hyperlink" Target="https://www.etenders.gov.za/home/Download/?blobName=cb32ac11-6ea2-4784-8066-e50244ecab5a.pdf&amp;downloadedFileName=LS07.2026.pdf" TargetMode="External" Id="rId152"/><Relationship Type="http://schemas.openxmlformats.org/officeDocument/2006/relationships/hyperlink" Target="https://www.etenders.gov.za/home/Download/?blobName=ab42b359-bd70-471f-94ef-56f2913b1aab.pdf&amp;downloadedFileName=RFQ%20803.21.2026%20%20SILVICULTURE%20MORGENZON%20%20.pdf" TargetMode="External" Id="rId153"/><Relationship Type="http://schemas.openxmlformats.org/officeDocument/2006/relationships/hyperlink" Target="https://www.etenders.gov.za/home/Download/?blobName=2ca2d931-5e1f-4f33-8eb4-852c82ee14c4.pdf&amp;downloadedFileName=RQ-019609.pdf" TargetMode="External" Id="rId154"/><Relationship Type="http://schemas.openxmlformats.org/officeDocument/2006/relationships/hyperlink" Target="https://www.etenders.gov.za/home/Download/?blobName=eba54dbe-4dae-4d0b-9fb2-aacc2ee12428.pdf&amp;downloadedFileName=ADVERT-%20VARIOUS%20BIDS%20-%2022%20MAY%202026.pdf" TargetMode="External" Id="rId155"/><Relationship Type="http://schemas.openxmlformats.org/officeDocument/2006/relationships/hyperlink" Target="https://www.etenders.gov.za/home/Download/?blobName=212edfe0-e92d-419b-97c2-0125bd1b7eb3.pdf&amp;downloadedFileName=DESIGN%20AND%20IMPLEMENTATION%20OF%20TURKEY%20ELECTRIFICATION%20PROJECTS%20FOR%20A%20PERIOD%20OF%20THREE(3)%20YEARS.pdf" TargetMode="External" Id="rId156"/><Relationship Type="http://schemas.openxmlformats.org/officeDocument/2006/relationships/hyperlink" Target="https://www.etenders.gov.za/home/Download/?blobName=853f9492-1419-4dc4-9793-90a4302e9ad6.pdf&amp;downloadedFileName=Tender%20Cancellation%20Letter%20-%20Various%20Filters.pdf" TargetMode="External" Id="rId157"/><Relationship Type="http://schemas.openxmlformats.org/officeDocument/2006/relationships/hyperlink" Target="https://www.etenders.gov.za/home/Download/?blobName=74284ecb-4ab6-4e97-80d5-28330a82807b.pdf&amp;downloadedFileName=SABC%20RFQ%20For%20Veritas%20Netbackup%20Software%20and%20Quantum%20(002).pdf" TargetMode="External" Id="rId158"/><Relationship Type="http://schemas.openxmlformats.org/officeDocument/2006/relationships/hyperlink" Target="https://www.etenders.gov.za/home/Download/?blobName=4870c6c7-8de7-4cd3-83f9-551fc535026b.doc&amp;downloadedFileName=Supplier%20Evaluation%20Pack%20for%2001%20March%202026%20to%2028%20February%202027.doc" TargetMode="External" Id="rId159"/><Relationship Type="http://schemas.openxmlformats.org/officeDocument/2006/relationships/hyperlink" Target="https://www.etenders.gov.za/home/Download/?blobName=7fcf8a18-b7f0-413b-aecd-9f71ea24bc09.pdf&amp;downloadedFileName=RFQ%20Block%20D%2022%20May%202026.pdf" TargetMode="External" Id="rId160"/><Relationship Type="http://schemas.openxmlformats.org/officeDocument/2006/relationships/hyperlink" Target="https://www.etenders.gov.za/home/Download/?blobName=969947ff-2499-418c-bd87-4c70d7e0cf2c.pdf&amp;downloadedFileName=CHE-CS-02-05-2026%20for%20Provision%20of%20Internal%20Audit%20Services%20for%203%20years%20for%20CHE.pdf" TargetMode="External" Id="rId161"/><Relationship Type="http://schemas.openxmlformats.org/officeDocument/2006/relationships/hyperlink" Target="https://www.etenders.gov.za/home/Download/?blobName=59bf672e-66f4-4c6d-bd1e-ed26a80fd356.pdf&amp;downloadedFileName=SCMBID%2036%202025%202026%20INSURANCE%20DOC.pdf" TargetMode="External" Id="rId162"/><Relationship Type="http://schemas.openxmlformats.org/officeDocument/2006/relationships/hyperlink" Target="https://www.etenders.gov.za/home/Download/?blobName=242bca5a-637f-45f8-a35f-5c020d3df82d.pdf&amp;downloadedFileName=249S-2025-26%20-%20Final%20tender%20document%20-.pdf" TargetMode="External" Id="rId163"/><Relationship Type="http://schemas.openxmlformats.org/officeDocument/2006/relationships/hyperlink" Target="https://www.etenders.gov.za/home/Download/?blobName=d01f3d4c-36cf-49ae-9966-486ca32c1a4e.pdf&amp;downloadedFileName=PAMun%20Bid%20Document%20-%20RFQ%2083_2026%20Electronic%20equipment.pdf" TargetMode="External" Id="rId164"/><Relationship Type="http://schemas.openxmlformats.org/officeDocument/2006/relationships/hyperlink" Target="https://www.etenders.gov.za/home/Download/?blobName=7a228766-e2ff-442c-9bd4-e069da5fb5d5.pdf&amp;downloadedFileName=T%202026%20011%20TENDER%20DOCUMENT%20FINAL.pdf" TargetMode="External" Id="rId165"/><Relationship Type="http://schemas.openxmlformats.org/officeDocument/2006/relationships/hyperlink" Target="https://www.etenders.gov.za/home/Download/?blobName=f5045b78-9828-46cb-9888-bbb70059a926.pdf&amp;downloadedFileName=WCNCB%2001052026%20-%20Managed%20Wide%20Area%20Network%20and%20Internet%20Services.pdf" TargetMode="External" Id="rId166"/><Relationship Type="http://schemas.openxmlformats.org/officeDocument/2006/relationships/hyperlink" Target="https://www.etenders.gov.za/home/Download/?blobName=e56e7b8f-15aa-4570-96f6-5908f7c6ba99.pdf&amp;downloadedFileName=RFQ%20201964%20Provision%20of%20Cleaning%20and%20Hygiene%20Services%20%20Durban.pdf" TargetMode="External" Id="rId167"/><Relationship Type="http://schemas.openxmlformats.org/officeDocument/2006/relationships/hyperlink" Target="https://www.etenders.gov.za/home/Download/?blobName=86f074a1-ac56-40a0-a029-963fe44a9c02.pdf&amp;downloadedFileName=DOH(FS)%2003-2026-2027%20DOC.pdf" TargetMode="External" Id="rId168"/><Relationship Type="http://schemas.openxmlformats.org/officeDocument/2006/relationships/hyperlink" Target="https://www.etenders.gov.za/home/Download/?blobName=32b58a99-2c09-48a8-a617-3ec79f3058ab.pdf&amp;downloadedFileName=RFQ202627-11%20ADOBE%20SOFTWARE%20TRAINING.pdf" TargetMode="External" Id="rId169"/><Relationship Type="http://schemas.openxmlformats.org/officeDocument/2006/relationships/hyperlink" Target="https://www.etenders.gov.za/home/Download/?blobName=9460eb29-3ed6-4df0-aae4-ca1ccbf8f3c2.pdf&amp;downloadedFileName=Align%20and%20Review%20of%20Organisational%20Structure.pdf" TargetMode="External" Id="rId170"/><Relationship Type="http://schemas.openxmlformats.org/officeDocument/2006/relationships/hyperlink" Target="https://www.etenders.gov.za/home/Download/?blobName=7ec79ad3-c13f-4ea0-9785-b575e7f986ee.pdf&amp;downloadedFileName=RFQJW60SC26%20-%20Undertake%20Investigation%20to%20Scan%20Reservoir%205%20Wall%20West.pdf" TargetMode="External" Id="rId171"/><Relationship Type="http://schemas.openxmlformats.org/officeDocument/2006/relationships/hyperlink" Target="https://www.etenders.gov.za/home/Download/?blobName=709e7278-e990-405b-aa9b-8ebee3a6064a.pdf&amp;downloadedFileName=T%202026%20044%20TENDER%20DOCUMENT%20FINAL.pdf" TargetMode="External" Id="rId172"/><Relationship Type="http://schemas.openxmlformats.org/officeDocument/2006/relationships/hyperlink" Target="https://www.etenders.gov.za/home/Download/?blobName=79d89856-0199-4f17-b41a-6db3ccc23fce.pdf&amp;downloadedFileName=Internet%20Connectivity%20and%20Telephones%20Terms%20of%20Reference%20-%20OR%20Tambo%20and%20Ingquza%20Hill%20TORs%20(1)%20(3)%20(1)%20(2).pdf" TargetMode="External" Id="rId173"/><Relationship Type="http://schemas.openxmlformats.org/officeDocument/2006/relationships/hyperlink" Target="https://www.etenders.gov.za/home/Download/?blobName=f02d882c-e736-46fc-9630-7a0c8637d987.pdf&amp;downloadedFileName=Advert%20115_2025-2026T%20Construction%20of%206KM%20New%20Rest%20Paving%20in%20Sterkspruit.pdf" TargetMode="External" Id="rId174"/><Relationship Type="http://schemas.openxmlformats.org/officeDocument/2006/relationships/hyperlink" Target="https://www.etenders.gov.za/home/Download/?blobName=4d5aeb89-5557-4c8e-8aeb-0f4dee0e6392.pdf&amp;downloadedFileName=CSD%20NOTICE.pdf" TargetMode="External" Id="rId175"/><Relationship Type="http://schemas.openxmlformats.org/officeDocument/2006/relationships/hyperlink" Target="https://www.etenders.gov.za/home/Download/?blobName=8f26f8e3-3233-48f9-a6b8-c108e17be21c.pdf&amp;downloadedFileName=T%202026%20060%20TENDER%20DOCUMENT%20FINAL.pdf" TargetMode="External" Id="rId176"/><Relationship Type="http://schemas.openxmlformats.org/officeDocument/2006/relationships/hyperlink" Target="https://www.etenders.gov.za/home/Download/?blobName=467b9844-23de-486c-b5c4-1378829e8dea.pdf&amp;downloadedFileName=OTR%20RFQ%20DOCUMENT%20RFQ%202027-18%20%20fixing%20of%20various%20roads.pdf" TargetMode="External" Id="rId177"/><Relationship Type="http://schemas.openxmlformats.org/officeDocument/2006/relationships/hyperlink" Target="https://www.etenders.gov.za/home/Download/?blobName=b3cf17d9-ed22-4d65-bc48-4bac9e1c0621.pdf&amp;downloadedFileName=ADVERT-%20VARIOUS%20BIDS%20-%2022%20MAY%202026.pdf" TargetMode="External" Id="rId178"/><Relationship Type="http://schemas.openxmlformats.org/officeDocument/2006/relationships/hyperlink" Target="https://www.etenders.gov.za/home/Download/?blobName=07f35a9d-e5f8-4736-be75-de7e2f03b9e0.pdf&amp;downloadedFileName=RFQ%202329%20-%20SPECIALISED%20STRUCTURAL%20ASESSMENT%20WORKS.pdf" TargetMode="External" Id="rId179"/><Relationship Type="http://schemas.openxmlformats.org/officeDocument/2006/relationships/hyperlink" Target="https://www.etenders.gov.za/home/Download/?blobName=1f93a6f2-baa3-49b8-bc36-0e4cdcb084e9.pdf&amp;downloadedFileName=Annexure%20B%20Safety%20Requirements.pdf" TargetMode="External" Id="rId180"/><Relationship Type="http://schemas.openxmlformats.org/officeDocument/2006/relationships/hyperlink" Target="https://www.etenders.gov.za/home/Download/?blobName=a1687e71-0a5a-4ca0-aa78-ac47c1095d12.pdf&amp;downloadedFileName=146-2025-2026%20TENDER%20DOCUMENT.pdf" TargetMode="External" Id="rId181"/><Relationship Type="http://schemas.openxmlformats.org/officeDocument/2006/relationships/hyperlink" Target="https://www.etenders.gov.za/home/Download/?blobName=ee69b029-692a-4eb2-97ad-3b33cf82b9f2.pdf&amp;downloadedFileName=Eskom%20Acknowlegement%20form%20for%20OHS%20legal%20requirement.pdf" TargetMode="External" Id="rId182"/><Relationship Type="http://schemas.openxmlformats.org/officeDocument/2006/relationships/hyperlink" Target="https://www.etenders.gov.za/home/Download/?blobName=0837a0ae-8516-49f3-84ca-e8b73ea5e54f.pdf&amp;downloadedFileName=KwaZulu%20Natal%20Regional%20Office%20-%20Office%20Lease%20Specification%20and%20Bid%20Document.pdf" TargetMode="External" Id="rId183"/><Relationship Type="http://schemas.openxmlformats.org/officeDocument/2006/relationships/hyperlink" Target="https://www.etenders.gov.za/home/Download/?blobName=5d5f8c4e-62fb-412f-aeee-253677557b91.pdf&amp;downloadedFileName=T%202026%20006%20TENDER%20DOCUMENT%20FINAL.pdf" TargetMode="External" Id="rId184"/><Relationship Type="http://schemas.openxmlformats.org/officeDocument/2006/relationships/hyperlink" Target="https://www.etenders.gov.za/home/Download/?blobName=52347784-ed39-4e27-a454-db25822a0b00.pdf&amp;downloadedFileName=APPOINTMENT%20OF%20PROFESSIONAL%20SERVICE%20PROVIDER%20TO%20IMPLEMENT%20AN%20ERP%20INFORMATION%20SYSTEM.pdf" TargetMode="External" Id="rId185"/><Relationship Type="http://schemas.openxmlformats.org/officeDocument/2006/relationships/hyperlink" Target="https://www.etenders.gov.za/home/Download/?blobName=cfb6a393-e596-4d1d-bbb4-ca8910349bdd.pdf&amp;downloadedFileName=TENDER%20DOCUMENT%20OF%20BID%203%20OF%202026_SUPPLY%20DELIVERY%20AND%20COMMISSIONING%20OF%20MACHINERY%20AND%20EQUIPMENT%20FOR%20DUNCAN%20VILLAGE%20WASTE%20MANAGEMENT%20PROGRAMME.pdf" TargetMode="External" Id="rId186"/><Relationship Type="http://schemas.openxmlformats.org/officeDocument/2006/relationships/hyperlink" Targe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 TargetMode="External" Id="rId187"/><Relationship Type="http://schemas.openxmlformats.org/officeDocument/2006/relationships/hyperlink" Target="https://www.etenders.gov.za/home/Download/?blobName=cd16ba9c-8a1f-4cd2-bb7c-04a908427b8c.pdf&amp;downloadedFileName=Boiler%20operations%20and%20repairs%20at%20Fort%20Glamorgan%20Prison%20(GQET-26-27-036).pdf" TargetMode="External" Id="rId188"/><Relationship Type="http://schemas.openxmlformats.org/officeDocument/2006/relationships/hyperlink" Target="https://www.etenders.gov.za/home/Download/?blobName=83fb6f99-57ce-4d3d-949d-0ad6efc5aeec.pdf&amp;downloadedFileName=SHE%20REQUIREMENTS.pdf" TargetMode="External" Id="rId189"/><Relationship Type="http://schemas.openxmlformats.org/officeDocument/2006/relationships/hyperlink" Target="https://www.etenders.gov.za/home/Download/?blobName=82c46bd2-2aa0-492e-97ea-fe1daf7de604.pdf&amp;downloadedFileName=Regret%20Letter%20Template%20for%20Unsuccessful%20Suppliers%20-%20February%202025%20(2).pdf" TargetMode="External" Id="rId190"/><Relationship Type="http://schemas.openxmlformats.org/officeDocument/2006/relationships/hyperlink" Target="https://www.etenders.gov.za/home/Download/?blobName=73bbb985-94de-47b1-a589-1c1ae55d2297.pdf&amp;downloadedFileName=SCMU8-26-27-0077.pdf" TargetMode="External" Id="rId191"/><Relationship Type="http://schemas.openxmlformats.org/officeDocument/2006/relationships/hyperlink" Target="https://www.etenders.gov.za/home/Download/?blobName=5ce047c1-1b4c-4c01-a408-1a5df409c7b5.pdf&amp;downloadedFileName=ENTERPRISE%20VULNERABILITY%20SCANNING%20MANAGEMENT%20SOLUTION%20FOR%20A%20PERIOD%20OF%205%20YEARS%20%20..pdf" TargetMode="External" Id="rId192"/><Relationship Type="http://schemas.openxmlformats.org/officeDocument/2006/relationships/hyperlink" Target="https://www.etenders.gov.za/home/Download/?blobName=ba532b32-6591-42e3-a04a-b89eaae1bd40.pdf&amp;downloadedFileName=SAQA%20RFQ-Procurement%20of%20JAWS%20Software%20%20Duxbury%20braile%20translator%20for%20windows%20licenses.pdf" TargetMode="External" Id="rId193"/><Relationship Type="http://schemas.openxmlformats.org/officeDocument/2006/relationships/hyperlink" Target="https://www.etenders.gov.za/home/Download/?blobName=9afb85c8-0c1b-4592-919c-aae942e67076.pdf&amp;downloadedFileName=Deep%20cleaning_22052026170151.pdf" TargetMode="External" Id="rId194"/><Relationship Type="http://schemas.openxmlformats.org/officeDocument/2006/relationships/hyperlink" Target="https://www.etenders.gov.za/home/Download/?blobName=1593df15-8649-49b3-a45a-634f7cc55306.pdf&amp;downloadedFileName=Upgrading%20of%20Kerklaan%20Advert.pdf" TargetMode="External" Id="rId195"/><Relationship Type="http://schemas.openxmlformats.org/officeDocument/2006/relationships/hyperlink" Targe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 TargetMode="External" Id="rId196"/><Relationship Type="http://schemas.openxmlformats.org/officeDocument/2006/relationships/hyperlink" Target="https://www.etenders.gov.za/home/Download/?blobName=4caad5dd-5a14-46be-89d8-6bbdaeacb5e6.pdf&amp;downloadedFileName=SCM%20%202026%2064%20ENG%20ADVERT.pdf" TargetMode="External" Id="rId197"/><Relationship Type="http://schemas.openxmlformats.org/officeDocument/2006/relationships/hyperlink" Target="https://www.etenders.gov.za/home/Download/?blobName=672e65a5-e880-4b9c-8aba-645d375153d9.pdf&amp;downloadedFileName=Final%20document%20for%20Medical%20broker.pdf" TargetMode="External" Id="rId198"/><Relationship Type="http://schemas.openxmlformats.org/officeDocument/2006/relationships/hyperlink" Target="https://www.etenders.gov.za/home/Download/?blobName=8c8d9af4-c5e1-4213-9a4d-6157469542ee.pdf&amp;downloadedFileName=NEC%203%20PSC-Terminal%20Building%20Diesel%20Generator%20Replacement%20Project.pdf" TargetMode="External" Id="rId199"/><Relationship Type="http://schemas.openxmlformats.org/officeDocument/2006/relationships/hyperlink" Target="https://www.etenders.gov.za/home/Download/?blobName=e6b88d84-391a-4d87-b38b-0f1cda18a6de.docx&amp;downloadedFileName=SBD%206.1%20IN%20TERMS%20OF%20PPR2022.docx" TargetMode="External" Id="rId200"/><Relationship Type="http://schemas.openxmlformats.org/officeDocument/2006/relationships/hyperlink" Target="https://www.etenders.gov.za/home/Download/?blobName=32020679-e54c-4572-8332-5f6538a2ae1b.pdf&amp;downloadedFileName=Invitation%20to%20Tender%20(ITT)%20or%20Request%20for%20Proposal%20(RFP).pdf" TargetMode="External" Id="rId201"/><Relationship Type="http://schemas.openxmlformats.org/officeDocument/2006/relationships/hyperlink" Target="https://www.etenders.gov.za/home/Download/?blobName=85887991-161c-4401-a976-bf8a6f9031ff.pdf&amp;downloadedFileName=Spec%20-%20Rifle%20Repairs%202.pdf" TargetMode="External" Id="rId202"/></Relationships>
</file>

<file path=xl/worksheets/sheet1.xml><?xml version="1.0" encoding="utf-8"?>
<worksheet xmlns="http://schemas.openxmlformats.org/spreadsheetml/2006/main">
  <sheetPr>
    <outlinePr summaryBelow="1" summaryRight="1"/>
    <pageSetUpPr/>
  </sheetPr>
  <dimension ref="A1:W20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46167</v>
      </c>
      <c r="B2" t="n">
        <v>202</v>
      </c>
      <c r="C2" t="inlineStr">
        <is>
          <t>ERW2510/03</t>
        </is>
      </c>
      <c r="D2" s="2" t="n">
        <v>46163</v>
      </c>
      <c r="E2" s="2" t="n">
        <v>46202</v>
      </c>
      <c r="F2" t="inlineStr">
        <is>
          <t>12:00</t>
        </is>
      </c>
      <c r="G2" t="inlineStr">
        <is>
          <t>Request for Bid(Open-Tender)</t>
        </is>
      </c>
      <c r="H2" t="inlineStr">
        <is>
          <t>THE APPOINTMENT OF A PROFESSIONAL SERVICE PROVIDER FOR THE ACQUISITION OF WATER USE LICENSE &amp; WATER USE LICENCE AUTHORISATIONS FOR 19 ERWAT WATER CARE WORKS OVER THREE (3) YEARS.</t>
        </is>
      </c>
      <c r="I2" t="inlineStr">
        <is>
          <t>ETENDERS.GOV.ZA</t>
        </is>
      </c>
      <c r="J2" t="inlineStr">
        <is>
          <t>Ekurhuleni Water Care Company (ERWAT)</t>
        </is>
      </c>
      <c r="K2" t="inlineStr">
        <is>
          <t>Gauteng</t>
        </is>
      </c>
      <c r="L2" t="inlineStr">
        <is>
          <t>No</t>
        </is>
      </c>
      <c r="M2" t="inlineStr">
        <is>
          <t>Services: Professional</t>
        </is>
      </c>
      <c r="N2" t="inlineStr">
        <is>
          <t>Yes</t>
        </is>
      </c>
      <c r="O2" t="inlineStr"/>
      <c r="P2" t="inlineStr">
        <is>
          <t>Yes</t>
        </is>
      </c>
      <c r="Q2" t="inlineStr">
        <is>
          <t>https://events.teams.microsoft.com/event/1a4e43cd-7aa1-4d8d-b56e-96f2a6c651a1@1d9cdadc-ce7f-46d7-b30</t>
        </is>
      </c>
      <c r="R2" s="3" t="inlineStr">
        <is>
          <t>https://www.etenders.gov.za/home/Download/?blobName=6e33699b-fded-4119-a84f-0f419e7554e2.pdf&amp;downloadedFileName=VARIOUS%20-%20IPAP%20&amp;%20OPS%20(ERW2510.03).pdf</t>
        </is>
      </c>
      <c r="S2" t="inlineStr"/>
      <c r="T2" t="inlineStr"/>
      <c r="U2" t="inlineStr"/>
      <c r="V2" t="inlineStr"/>
      <c r="W2" t="inlineStr"/>
    </row>
    <row r="3">
      <c r="A3" s="2" t="n">
        <v>46167</v>
      </c>
      <c r="B3" t="n">
        <v>201</v>
      </c>
      <c r="C3" t="inlineStr">
        <is>
          <t>RFQ Number: 4407/26</t>
        </is>
      </c>
      <c r="D3" s="2" t="n">
        <v>46163</v>
      </c>
      <c r="E3" s="2" t="n">
        <v>46171</v>
      </c>
      <c r="F3" t="inlineStr">
        <is>
          <t>11:00</t>
        </is>
      </c>
      <c r="G3" t="inlineStr">
        <is>
          <t>Request for Quotation</t>
        </is>
      </c>
      <c r="H3" t="inlineStr">
        <is>
          <t>Procurement of the book, Meteorology and Climate of the Southern Hemisphere, ISBN 9781009352673 (Hardback).</t>
        </is>
      </c>
      <c r="I3" t="inlineStr">
        <is>
          <t>ETENDERS.GOV.ZA</t>
        </is>
      </c>
      <c r="J3" t="inlineStr">
        <is>
          <t>South African Weather Service</t>
        </is>
      </c>
      <c r="K3" t="inlineStr">
        <is>
          <t>Gauteng</t>
        </is>
      </c>
      <c r="L3" t="inlineStr">
        <is>
          <t>No</t>
        </is>
      </c>
      <c r="M3" t="inlineStr">
        <is>
          <t>Services: General</t>
        </is>
      </c>
      <c r="N3" t="inlineStr">
        <is>
          <t>No</t>
        </is>
      </c>
      <c r="O3" t="inlineStr"/>
      <c r="P3" t="inlineStr">
        <is>
          <t>No</t>
        </is>
      </c>
      <c r="Q3" t="inlineStr">
        <is>
          <t>N/A</t>
        </is>
      </c>
      <c r="R3" s="3" t="inlineStr">
        <is>
          <t>https://www.etenders.gov.za/home/Download/?blobName=a0e6eddd-4f1f-4e57-b85b-3bcb3a6e57d2.pdf&amp;downloadedFileName=RFQ-4407%20Procurement%20of%20the%20book,%20Meteorology%20and%20Climate%20of%20the%20Southern%20Hemisphere.pdf</t>
        </is>
      </c>
      <c r="S3" t="inlineStr"/>
      <c r="T3" t="inlineStr"/>
      <c r="U3" t="inlineStr"/>
      <c r="V3" t="inlineStr"/>
      <c r="W3" t="inlineStr"/>
    </row>
    <row r="4">
      <c r="A4" s="2" t="n">
        <v>46167</v>
      </c>
      <c r="B4" t="n">
        <v>200</v>
      </c>
      <c r="C4" t="inlineStr">
        <is>
          <t>H004L2705RFQ00044</t>
        </is>
      </c>
      <c r="D4" s="2" t="n">
        <v>46163</v>
      </c>
      <c r="E4" s="2" t="n">
        <v>46167</v>
      </c>
      <c r="F4" t="inlineStr">
        <is>
          <t>11:00</t>
        </is>
      </c>
      <c r="G4" t="inlineStr">
        <is>
          <t>Request for Quotation</t>
        </is>
      </c>
      <c r="H4" t="inlineStr">
        <is>
          <t>Request For Quotation for Procurement, Installation and Configuration of Low Orbiting Ka-Band Satellite Network Services for Four (4) BMA Ports of Entry (Sani Pass, Platjan, Mananga and Caledonspoort).</t>
        </is>
      </c>
      <c r="I4" t="inlineStr">
        <is>
          <t>ETENDERS.GOV.ZA</t>
        </is>
      </c>
      <c r="J4" t="inlineStr">
        <is>
          <t>Border Management Authority</t>
        </is>
      </c>
      <c r="K4" t="inlineStr">
        <is>
          <t>Gauteng</t>
        </is>
      </c>
      <c r="L4" t="inlineStr">
        <is>
          <t>No</t>
        </is>
      </c>
      <c r="M4" t="inlineStr">
        <is>
          <t>Other service activities</t>
        </is>
      </c>
      <c r="N4" t="inlineStr">
        <is>
          <t>No</t>
        </is>
      </c>
      <c r="O4" t="inlineStr"/>
      <c r="P4" t="inlineStr">
        <is>
          <t>No</t>
        </is>
      </c>
      <c r="Q4" t="inlineStr">
        <is>
          <t>N/A</t>
        </is>
      </c>
      <c r="R4" s="3" t="inlineStr">
        <is>
          <t>https://www.etenders.gov.za/home/Download/?blobName=60405390-3c03-4c36-a422-273761492655.pdf&amp;downloadedFileName=QUOTE%20PACK-H004L2705RFQ00044.pdf</t>
        </is>
      </c>
      <c r="S4" t="inlineStr"/>
      <c r="T4" t="inlineStr"/>
      <c r="U4" t="inlineStr"/>
      <c r="V4" t="inlineStr"/>
      <c r="W4" t="inlineStr"/>
    </row>
    <row r="5">
      <c r="A5" s="2" t="n">
        <v>46167</v>
      </c>
      <c r="B5" t="n">
        <v>199</v>
      </c>
      <c r="C5" t="inlineStr">
        <is>
          <t>E1397GXMPDUVR</t>
        </is>
      </c>
      <c r="D5" s="2" t="n">
        <v>46163</v>
      </c>
      <c r="E5" s="2" t="n">
        <v>46195</v>
      </c>
      <c r="F5" t="inlineStr">
        <is>
          <t>10:00</t>
        </is>
      </c>
      <c r="G5" t="inlineStr">
        <is>
          <t>Request for Bid(Open-Tender)</t>
        </is>
      </c>
      <c r="H5" t="inlineStr">
        <is>
          <t>The replacement of Diesel Generators at Duvha Power station</t>
        </is>
      </c>
      <c r="I5" t="inlineStr">
        <is>
          <t>ETENDERS.GOV.ZA</t>
        </is>
      </c>
      <c r="J5" t="inlineStr">
        <is>
          <t>ESKOM</t>
        </is>
      </c>
      <c r="K5" t="inlineStr">
        <is>
          <t>Mpumalanga</t>
        </is>
      </c>
      <c r="L5" t="inlineStr">
        <is>
          <t>No</t>
        </is>
      </c>
      <c r="M5" t="inlineStr">
        <is>
          <t>Construction</t>
        </is>
      </c>
      <c r="N5" t="inlineStr">
        <is>
          <t>Yes</t>
        </is>
      </c>
      <c r="O5" s="2" t="n">
        <v>46177</v>
      </c>
      <c r="P5" t="inlineStr">
        <is>
          <t>No</t>
        </is>
      </c>
      <c r="Q5" t="inlineStr">
        <is>
          <t>https://teams.microsoft.com/meet/362099295058515?p=vYFXhusV3bZ32t7jze Meeting ID: 362 099 295 058 5</t>
        </is>
      </c>
      <c r="R5" s="3" t="inlineStr">
        <is>
          <t>https://www.etenders.gov.za/home/Download/?blobName=5ef27826-bd4f-449b-bf50-0583850ad605.pdf&amp;downloadedFileName=Eskom%20life-saving%20rules-Extended%20review%20date.pdf</t>
        </is>
      </c>
      <c r="S5" t="inlineStr"/>
      <c r="T5" t="inlineStr"/>
      <c r="U5" t="inlineStr"/>
      <c r="V5" t="inlineStr"/>
      <c r="W5" t="inlineStr"/>
    </row>
    <row r="6">
      <c r="A6" s="2" t="n">
        <v>46167</v>
      </c>
      <c r="B6" t="n">
        <v>198</v>
      </c>
      <c r="C6" t="inlineStr">
        <is>
          <t>AHT26727</t>
        </is>
      </c>
      <c r="D6" s="2" t="n">
        <v>46163</v>
      </c>
      <c r="E6" s="2" t="n">
        <v>46184</v>
      </c>
      <c r="F6" t="inlineStr">
        <is>
          <t>12:00</t>
        </is>
      </c>
      <c r="G6" t="inlineStr">
        <is>
          <t>Request for Bid(Open-Tender)</t>
        </is>
      </c>
      <c r="H6" t="inlineStr">
        <is>
          <t>SUPPLY AND DELIVERY OF OXIDATION STABILITY TESTER TO PetroSA REFINERY IN MOSSEL BAY</t>
        </is>
      </c>
      <c r="I6" t="inlineStr">
        <is>
          <t>ETENDERS.GOV.ZA</t>
        </is>
      </c>
      <c r="J6" t="inlineStr">
        <is>
          <t>PetroSA</t>
        </is>
      </c>
      <c r="K6" t="inlineStr">
        <is>
          <t>Western Cape</t>
        </is>
      </c>
      <c r="L6" t="inlineStr">
        <is>
          <t>No</t>
        </is>
      </c>
      <c r="M6" t="inlineStr">
        <is>
          <t>Services: Professional</t>
        </is>
      </c>
      <c r="N6" t="inlineStr">
        <is>
          <t>No</t>
        </is>
      </c>
      <c r="O6" t="inlineStr"/>
      <c r="P6" t="inlineStr">
        <is>
          <t>No</t>
        </is>
      </c>
      <c r="Q6" t="inlineStr">
        <is>
          <t>N/A</t>
        </is>
      </c>
      <c r="R6" s="3" t="inlineStr">
        <is>
          <t>https://www.etenders.gov.za/home/Download/?blobName=0386fc2c-74b3-4662-9834-a4932f4b3956.pdf&amp;downloadedFileName=HOW%20TO%20SUBMIT%20A%20TENDER%20OR%20QUOTATION.pdf</t>
        </is>
      </c>
      <c r="S6" t="inlineStr"/>
      <c r="T6" t="inlineStr"/>
      <c r="U6" t="inlineStr"/>
      <c r="V6" t="inlineStr"/>
      <c r="W6" t="inlineStr"/>
    </row>
    <row r="7">
      <c r="A7" s="2" t="n">
        <v>46167</v>
      </c>
      <c r="B7" t="n">
        <v>197</v>
      </c>
      <c r="C7" t="inlineStr">
        <is>
          <t>24-2025/26</t>
        </is>
      </c>
      <c r="D7" s="2" t="n">
        <v>46163</v>
      </c>
      <c r="E7" s="2" t="n">
        <v>46181</v>
      </c>
      <c r="F7" t="inlineStr">
        <is>
          <t>11:00</t>
        </is>
      </c>
      <c r="G7" t="inlineStr">
        <is>
          <t>Request for Bid(Open-Tender)</t>
        </is>
      </c>
      <c r="H7" t="inlineStr">
        <is>
          <t>Service Provider to Design,Supply and Install Office Furniture at Nancefield Offices</t>
        </is>
      </c>
      <c r="I7" t="inlineStr">
        <is>
          <t>ETENDERS.GOV.ZA</t>
        </is>
      </c>
      <c r="J7" t="inlineStr">
        <is>
          <t>Musina Local Municipality</t>
        </is>
      </c>
      <c r="K7" t="inlineStr">
        <is>
          <t>Limpopo</t>
        </is>
      </c>
      <c r="L7" t="inlineStr">
        <is>
          <t>No</t>
        </is>
      </c>
      <c r="M7" t="inlineStr">
        <is>
          <t>Services: General</t>
        </is>
      </c>
      <c r="N7" t="inlineStr">
        <is>
          <t>No</t>
        </is>
      </c>
      <c r="O7" t="inlineStr"/>
      <c r="P7" t="inlineStr">
        <is>
          <t>No</t>
        </is>
      </c>
      <c r="Q7" t="inlineStr">
        <is>
          <t>N/A</t>
        </is>
      </c>
      <c r="R7" s="3" t="inlineStr">
        <is>
          <t>https://www.etenders.gov.za/home/Download/?blobName=f72c835e-c335-46d9-a4d8-be196315c38a.pdf&amp;downloadedFileName=Notice%20to%20bidders...pdf</t>
        </is>
      </c>
      <c r="S7" t="inlineStr"/>
      <c r="T7" t="inlineStr"/>
      <c r="U7" t="inlineStr"/>
      <c r="V7" t="inlineStr"/>
      <c r="W7" t="inlineStr"/>
    </row>
    <row r="8">
      <c r="A8" s="2" t="n">
        <v>46167</v>
      </c>
      <c r="B8" t="n">
        <v>196</v>
      </c>
      <c r="C8" t="inlineStr">
        <is>
          <t>MLM 24/2025/26</t>
        </is>
      </c>
      <c r="D8" s="2" t="n">
        <v>46163</v>
      </c>
      <c r="E8" s="2" t="n">
        <v>46184</v>
      </c>
      <c r="F8" t="inlineStr">
        <is>
          <t>11:00</t>
        </is>
      </c>
      <c r="G8" t="inlineStr">
        <is>
          <t>Request for Quotation</t>
        </is>
      </c>
      <c r="H8" t="inlineStr">
        <is>
          <t>APPOINTMENT OF A SERVICE PROVIDER FOR PRINTING, EMAILING AND WHATSAPP DISTRIBUTION OF MUNICIPAL STATEMENTS / INVOICES FOR ON AN AS-AND- WHEN REQUIRED BASIS FOR A PERIOD OF THREE YEARS.</t>
        </is>
      </c>
      <c r="I8" t="inlineStr">
        <is>
          <t>ETENDERS.GOV.ZA</t>
        </is>
      </c>
      <c r="J8" t="inlineStr">
        <is>
          <t>Metsimaholo Local Municipality</t>
        </is>
      </c>
      <c r="K8" t="inlineStr">
        <is>
          <t>Free State</t>
        </is>
      </c>
      <c r="L8" t="inlineStr">
        <is>
          <t>No</t>
        </is>
      </c>
      <c r="M8" t="inlineStr">
        <is>
          <t>Services: General</t>
        </is>
      </c>
      <c r="N8" t="inlineStr">
        <is>
          <t>Yes</t>
        </is>
      </c>
      <c r="O8" s="2" t="n">
        <v>46170</v>
      </c>
      <c r="P8" t="inlineStr">
        <is>
          <t>Yes</t>
        </is>
      </c>
      <c r="Q8" t="inlineStr">
        <is>
          <t>METSIMAHOLO LOCAL MUNICIPALITY, 10 FICHARDT STREET, SASOLBURG, FINANCE BUILDING, 2ND FLOOR, FOYER</t>
        </is>
      </c>
      <c r="R8" s="3" t="inlineStr">
        <is>
          <t>https://www.etenders.gov.za/home/Download/?blobName=67abdd3d-9ab1-459a-87c6-bb4524d6679c.pdf&amp;downloadedFileName=Tender%20Advert%20MAY%202026%204TH%20VERSION%20-%2020%20MAY%202026.pdf</t>
        </is>
      </c>
      <c r="S8" t="inlineStr"/>
      <c r="T8" t="inlineStr"/>
      <c r="U8" t="inlineStr"/>
      <c r="V8" t="inlineStr"/>
      <c r="W8" t="inlineStr"/>
    </row>
    <row r="9">
      <c r="A9" s="2" t="n">
        <v>46167</v>
      </c>
      <c r="B9" t="n">
        <v>195</v>
      </c>
      <c r="C9" t="inlineStr">
        <is>
          <t>GMT041/25-26</t>
        </is>
      </c>
      <c r="D9" s="2" t="n">
        <v>46163</v>
      </c>
      <c r="E9" s="2" t="n">
        <v>46199</v>
      </c>
      <c r="F9" t="inlineStr">
        <is>
          <t>12:00</t>
        </is>
      </c>
      <c r="G9" t="inlineStr">
        <is>
          <t>Request for Bid(Open-Tender)</t>
        </is>
      </c>
      <c r="H9" t="inlineStr">
        <is>
          <t>Tender for the Appointment of a Building Contractor to Construct 201 Subsidised Houses in Thembalethu</t>
        </is>
      </c>
      <c r="I9" t="inlineStr">
        <is>
          <t>ETENDERS.GOV.ZA</t>
        </is>
      </c>
      <c r="J9" t="inlineStr">
        <is>
          <t>George Municipality</t>
        </is>
      </c>
      <c r="K9" t="inlineStr">
        <is>
          <t>Western Cape</t>
        </is>
      </c>
      <c r="L9" t="inlineStr">
        <is>
          <t>No</t>
        </is>
      </c>
      <c r="M9" t="inlineStr">
        <is>
          <t>Construction</t>
        </is>
      </c>
      <c r="N9" t="inlineStr">
        <is>
          <t>Yes</t>
        </is>
      </c>
      <c r="O9" s="2" t="n">
        <v>46178</v>
      </c>
      <c r="P9" t="inlineStr">
        <is>
          <t>Yes</t>
        </is>
      </c>
      <c r="Q9" t="inlineStr">
        <is>
          <t>Banquet Hall, George Municipality Main Building</t>
        </is>
      </c>
      <c r="R9" s="3" t="inlineStr">
        <is>
          <t>https://www.etenders.gov.za/home/Download/?blobName=d4d86ed0-3fdb-42d8-8161-b8a16736f116.pdf&amp;downloadedFileName=GMT041_25-26%20-%20Advert%20GH.pdf</t>
        </is>
      </c>
      <c r="S9" t="inlineStr"/>
      <c r="T9" t="inlineStr"/>
      <c r="U9" t="inlineStr"/>
      <c r="V9" t="inlineStr"/>
      <c r="W9" t="inlineStr"/>
    </row>
    <row r="10">
      <c r="A10" s="2" t="n">
        <v>46167</v>
      </c>
      <c r="B10" t="n">
        <v>194</v>
      </c>
      <c r="C10" t="inlineStr">
        <is>
          <t>DEV/PRO03/2026</t>
        </is>
      </c>
      <c r="D10" s="2" t="n">
        <v>46163</v>
      </c>
      <c r="E10" s="2" t="n">
        <v>46195</v>
      </c>
      <c r="F10" t="inlineStr">
        <is>
          <t>10:00</t>
        </is>
      </c>
      <c r="G10" t="inlineStr">
        <is>
          <t>Request for Bid(Open-Tender)</t>
        </is>
      </c>
      <c r="H10" t="inlineStr">
        <is>
          <t>SALE OF ERF 12056 KIMBERLEY (OLD DFA BUILDING), WOODLEY STREET, CENTRAL BUSINESS DISTRICT</t>
        </is>
      </c>
      <c r="I10" t="inlineStr">
        <is>
          <t>ETENDERS.GOV.ZA</t>
        </is>
      </c>
      <c r="J10" t="inlineStr">
        <is>
          <t>Solplaatje Local Municipality</t>
        </is>
      </c>
      <c r="K10" t="inlineStr">
        <is>
          <t>Northern Cape</t>
        </is>
      </c>
      <c r="L10" t="inlineStr">
        <is>
          <t>No</t>
        </is>
      </c>
      <c r="M10" t="inlineStr">
        <is>
          <t>Real estate activities</t>
        </is>
      </c>
      <c r="N10" t="inlineStr">
        <is>
          <t>No</t>
        </is>
      </c>
      <c r="O10" t="inlineStr"/>
      <c r="P10" t="inlineStr">
        <is>
          <t>No</t>
        </is>
      </c>
      <c r="Q10" t="inlineStr">
        <is>
          <t>N/A</t>
        </is>
      </c>
      <c r="R10" s="3" t="inlineStr">
        <is>
          <t>https://www.etenders.gov.za/home/Download/?blobName=cd915ea8-98b6-49b7-bbe3-3e4c1cd21ca2.pdf&amp;downloadedFileName=DEV%20PRO03%202026%20-%20SALE%20OF%20ERF%2012056%20KIMBERLEY%20(OLD%20DFA%20BUILDING)%20WOODLEY%20STREET%20CENTRAL%20BUSINESS%20DISTRICT.pdf</t>
        </is>
      </c>
      <c r="S10" t="inlineStr"/>
      <c r="T10" t="inlineStr"/>
      <c r="U10" t="inlineStr"/>
      <c r="V10" t="inlineStr"/>
      <c r="W10" t="inlineStr"/>
    </row>
    <row r="11">
      <c r="A11" s="2" t="n">
        <v>46167</v>
      </c>
      <c r="B11" t="n">
        <v>193</v>
      </c>
      <c r="C11" t="inlineStr">
        <is>
          <t>AW2025/26/10</t>
        </is>
      </c>
      <c r="D11" s="2" t="n">
        <v>46163</v>
      </c>
      <c r="E11" s="2" t="n">
        <v>46184</v>
      </c>
      <c r="F11" t="inlineStr">
        <is>
          <t>11:00</t>
        </is>
      </c>
      <c r="G11" t="inlineStr">
        <is>
          <t>Request for Bid(Open-Tender)</t>
        </is>
      </c>
      <c r="H11" t="inlineStr">
        <is>
          <t>SUPPLY, DELIVERY, INSTALLATION AND COMMISSIONING OF THE DISCRETE ANALYZER FOR AMATOLA WATER SCIENTIFIC SERVICES.</t>
        </is>
      </c>
      <c r="I11" t="inlineStr">
        <is>
          <t>ETENDERS.GOV.ZA</t>
        </is>
      </c>
      <c r="J11" t="inlineStr">
        <is>
          <t>Amatola Water Board</t>
        </is>
      </c>
      <c r="K11" t="inlineStr">
        <is>
          <t>Eastern Cape</t>
        </is>
      </c>
      <c r="L11" t="inlineStr">
        <is>
          <t>No</t>
        </is>
      </c>
      <c r="M11" t="inlineStr">
        <is>
          <t>Professional, scientific and technical activities</t>
        </is>
      </c>
      <c r="N11" t="inlineStr">
        <is>
          <t>Yes</t>
        </is>
      </c>
      <c r="O11" s="2" t="n">
        <v>46170</v>
      </c>
      <c r="P11" t="inlineStr">
        <is>
          <t>Yes</t>
        </is>
      </c>
      <c r="Q11" t="inlineStr">
        <is>
          <t>Nahoon Dam Boathouse, Co-ordinates @ 32°54'43.86"S 27°48'32.08"E.</t>
        </is>
      </c>
      <c r="R11" s="3" t="inlineStr">
        <is>
          <t>https://www.etenders.gov.za/home/Download/?blobName=17287bd1-7e82-4679-90e9-b4082afec781.pdf&amp;downloadedFileName=Discrete%20Analyzer%20BID%20AW2025.26.10%2014%20May%202026%20TENDER%20DOC.%20final.pdf</t>
        </is>
      </c>
      <c r="S11" t="inlineStr"/>
      <c r="T11" t="inlineStr"/>
      <c r="U11" t="inlineStr"/>
      <c r="V11" t="inlineStr"/>
      <c r="W11" t="inlineStr"/>
    </row>
    <row r="12">
      <c r="A12" s="2" t="n">
        <v>46167</v>
      </c>
      <c r="B12" t="n">
        <v>192</v>
      </c>
      <c r="C12" t="inlineStr">
        <is>
          <t>NWDOH 12/2026</t>
        </is>
      </c>
      <c r="D12" s="2" t="n">
        <v>46163</v>
      </c>
      <c r="E12" s="2" t="n">
        <v>46195</v>
      </c>
      <c r="F12" t="inlineStr">
        <is>
          <t>11:00</t>
        </is>
      </c>
      <c r="G12" t="inlineStr">
        <is>
          <t>Request for Bid(Open-Tender)</t>
        </is>
      </c>
      <c r="H12" t="inlineStr">
        <is>
          <t>REPLACEMENT OF DIAMOND MESH FENCE WITH CLEAR VIEW FENCE AT GENERAL DELAREY HOSPITAL. CIDB 4SQ OR HIGHER</t>
        </is>
      </c>
      <c r="I12" t="inlineStr">
        <is>
          <t>ETENDERS.GOV.ZA</t>
        </is>
      </c>
      <c r="J12" t="inlineStr">
        <is>
          <t>North West - Department of Health</t>
        </is>
      </c>
      <c r="K12" t="inlineStr">
        <is>
          <t>North West</t>
        </is>
      </c>
      <c r="L12" t="inlineStr">
        <is>
          <t>No</t>
        </is>
      </c>
      <c r="M12" t="inlineStr">
        <is>
          <t>Services: General</t>
        </is>
      </c>
      <c r="N12" t="inlineStr">
        <is>
          <t>No</t>
        </is>
      </c>
      <c r="O12" t="inlineStr"/>
      <c r="P12" t="inlineStr">
        <is>
          <t>No</t>
        </is>
      </c>
      <c r="Q12" t="inlineStr">
        <is>
          <t>N/A</t>
        </is>
      </c>
      <c r="R12" s="3" t="inlineStr">
        <is>
          <t>https://www.etenders.gov.za/home/Download/?blobName=8daf5346-6ad5-4638-b107-e6014c9bed45.pdf&amp;downloadedFileName=NWDOH%2012%202026%20BID%20DOC.pdf</t>
        </is>
      </c>
      <c r="S12" t="inlineStr"/>
      <c r="T12" t="inlineStr"/>
      <c r="U12" t="inlineStr"/>
      <c r="V12" t="inlineStr"/>
      <c r="W12" t="inlineStr"/>
    </row>
    <row r="13">
      <c r="A13" s="2" t="n">
        <v>46167</v>
      </c>
      <c r="B13" t="n">
        <v>191</v>
      </c>
      <c r="C13" t="inlineStr">
        <is>
          <t>PR10116217</t>
        </is>
      </c>
      <c r="D13" s="2" t="n">
        <v>46163</v>
      </c>
      <c r="E13" s="2" t="n">
        <v>46169</v>
      </c>
      <c r="F13" t="inlineStr">
        <is>
          <t>15:00</t>
        </is>
      </c>
      <c r="G13" t="inlineStr">
        <is>
          <t>Request for Quotation</t>
        </is>
      </c>
      <c r="H13" t="inlineStr">
        <is>
          <t>The Road Accident Fund (RAF) wishes to appoint a suitable service provider to provide Office Space for Rental for RAF Venda CEC Office for a period of six (6) months starting from 01 July 2026.</t>
        </is>
      </c>
      <c r="I13" t="inlineStr">
        <is>
          <t>ETENDERS.GOV.ZA</t>
        </is>
      </c>
      <c r="J13" t="inlineStr">
        <is>
          <t>Road Accident Fund</t>
        </is>
      </c>
      <c r="K13" t="inlineStr">
        <is>
          <t>Limpopo</t>
        </is>
      </c>
      <c r="L13" t="inlineStr">
        <is>
          <t>No</t>
        </is>
      </c>
      <c r="M13" t="inlineStr">
        <is>
          <t>Rental and leasing activities</t>
        </is>
      </c>
      <c r="N13" t="inlineStr">
        <is>
          <t>No</t>
        </is>
      </c>
      <c r="O13" t="inlineStr"/>
      <c r="P13" t="inlineStr">
        <is>
          <t>No</t>
        </is>
      </c>
      <c r="Q13" t="inlineStr">
        <is>
          <t>N/A</t>
        </is>
      </c>
      <c r="R13" s="3" t="inlineStr">
        <is>
          <t>https://www.etenders.gov.za/home/Download/?blobName=7160d803-be56-463d-95ea-1986a5ee00b2.pdf&amp;downloadedFileName=Annexure%20A%20-%20Security%20Measures.pdf</t>
        </is>
      </c>
      <c r="S13" t="inlineStr"/>
      <c r="T13" t="inlineStr"/>
      <c r="U13" t="inlineStr"/>
      <c r="V13" t="inlineStr"/>
      <c r="W13" t="inlineStr"/>
    </row>
    <row r="14">
      <c r="A14" s="2" t="n">
        <v>46167</v>
      </c>
      <c r="B14" t="n">
        <v>190</v>
      </c>
      <c r="C14" t="inlineStr">
        <is>
          <t>6000080421</t>
        </is>
      </c>
      <c r="D14" s="2" t="n">
        <v>46163</v>
      </c>
      <c r="E14" s="2" t="n">
        <v>46170</v>
      </c>
      <c r="F14" t="inlineStr">
        <is>
          <t>12:00</t>
        </is>
      </c>
      <c r="G14" t="inlineStr">
        <is>
          <t>Request for Quotation</t>
        </is>
      </c>
      <c r="H14" t="inlineStr">
        <is>
          <t>Supply and Deliver Tools as per attached RFQ.</t>
        </is>
      </c>
      <c r="I14" t="inlineStr">
        <is>
          <t>ETENDERS.GOV.ZA</t>
        </is>
      </c>
      <c r="J14" t="inlineStr">
        <is>
          <t>Johannesburg Water</t>
        </is>
      </c>
      <c r="K14" t="inlineStr">
        <is>
          <t>Gauteng</t>
        </is>
      </c>
      <c r="L14" t="inlineStr">
        <is>
          <t>No</t>
        </is>
      </c>
      <c r="M14" t="inlineStr">
        <is>
          <t>Supplies: General</t>
        </is>
      </c>
      <c r="N14" t="inlineStr">
        <is>
          <t>No</t>
        </is>
      </c>
      <c r="O14" t="inlineStr"/>
      <c r="P14" t="inlineStr">
        <is>
          <t>No</t>
        </is>
      </c>
      <c r="Q14" t="inlineStr">
        <is>
          <t>N/A</t>
        </is>
      </c>
      <c r="R14" s="3" t="inlineStr">
        <is>
          <t>https://www.etenders.gov.za/home/Download/?blobName=74e81588-a7bd-47cc-be6a-22d4ce722977.pdf&amp;downloadedFileName=6000080421_Tools_Hamberg.pdf</t>
        </is>
      </c>
      <c r="S14" t="inlineStr"/>
      <c r="T14" t="inlineStr"/>
      <c r="U14" t="inlineStr"/>
      <c r="V14" t="inlineStr"/>
      <c r="W14" t="inlineStr"/>
    </row>
    <row r="15">
      <c r="A15" s="2" t="n">
        <v>46167</v>
      </c>
      <c r="B15" t="n">
        <v>189</v>
      </c>
      <c r="C15" t="inlineStr">
        <is>
          <t>RQN00000217104</t>
        </is>
      </c>
      <c r="D15" s="2" t="n">
        <v>46163</v>
      </c>
      <c r="E15" s="2" t="n">
        <v>46170</v>
      </c>
      <c r="F15" t="inlineStr">
        <is>
          <t>16:00</t>
        </is>
      </c>
      <c r="G15" t="inlineStr">
        <is>
          <t>Request for Quotation</t>
        </is>
      </c>
      <c r="H15" t="inlineStr">
        <is>
          <t>Provision of Hygiene Services to the CCMA Rustenburg Office for a period of 2 Years</t>
        </is>
      </c>
      <c r="I15" t="inlineStr">
        <is>
          <t>ETENDERS.GOV.ZA</t>
        </is>
      </c>
      <c r="J15" t="inlineStr">
        <is>
          <t>Commission for Conciliation Mediation &amp; Arbitration</t>
        </is>
      </c>
      <c r="K15" t="inlineStr">
        <is>
          <t>North West</t>
        </is>
      </c>
      <c r="L15" t="inlineStr">
        <is>
          <t>No</t>
        </is>
      </c>
      <c r="M15" t="inlineStr">
        <is>
          <t>Services: Functional (Including Cleaning and Security Services)</t>
        </is>
      </c>
      <c r="N15" t="inlineStr">
        <is>
          <t>No</t>
        </is>
      </c>
      <c r="O15" t="inlineStr"/>
      <c r="P15" t="inlineStr">
        <is>
          <t>No</t>
        </is>
      </c>
      <c r="Q15" t="inlineStr">
        <is>
          <t>N/A</t>
        </is>
      </c>
      <c r="R15" s="3" t="inlineStr">
        <is>
          <t>https://www.etenders.gov.za/home/Download/?blobName=bbcc8557-6594-410a-9fb1-db92850c5e54.pdf&amp;downloadedFileName=RQN00000217104%20-%20Provision%20of%20Hygiene%20Services%20to%20the%20CCMA%20Rustenburg%20Office%20for%20a%20period%20of%20two%20years.pdf</t>
        </is>
      </c>
      <c r="S15" t="inlineStr"/>
      <c r="T15" t="inlineStr"/>
      <c r="U15" t="inlineStr"/>
      <c r="V15" t="inlineStr"/>
      <c r="W15" t="inlineStr"/>
    </row>
    <row r="16">
      <c r="A16" s="2" t="n">
        <v>46167</v>
      </c>
      <c r="B16" t="n">
        <v>188</v>
      </c>
      <c r="C16" t="inlineStr">
        <is>
          <t>MLM 30/2025/26</t>
        </is>
      </c>
      <c r="D16" s="2" t="n">
        <v>46163</v>
      </c>
      <c r="E16" s="2" t="n">
        <v>46195</v>
      </c>
      <c r="F16" t="inlineStr">
        <is>
          <t>11:00</t>
        </is>
      </c>
      <c r="G16" t="inlineStr">
        <is>
          <t>Request for Quotation</t>
        </is>
      </c>
      <c r="H16" t="inlineStr">
        <is>
          <t>APPOINTMENT OF A SERVICE PROVIDER TO PROVIDE SUPPORT FOR THE PREPARATION OF ANNUAL FINANCIAL STATEMENTS AND CAPACITY BUILDING FOR ON AN AS-AND- WHEN REQUIRED BASIS FOR THREE FINANCIAL YEARS.</t>
        </is>
      </c>
      <c r="I16" t="inlineStr">
        <is>
          <t>ETENDERS.GOV.ZA</t>
        </is>
      </c>
      <c r="J16" t="inlineStr">
        <is>
          <t>Metsimaholo Local Municipality</t>
        </is>
      </c>
      <c r="K16" t="inlineStr">
        <is>
          <t>Free State</t>
        </is>
      </c>
      <c r="L16" t="inlineStr">
        <is>
          <t>No</t>
        </is>
      </c>
      <c r="M16" t="inlineStr">
        <is>
          <t>Services: Professional</t>
        </is>
      </c>
      <c r="N16" t="inlineStr">
        <is>
          <t>No</t>
        </is>
      </c>
      <c r="O16" t="inlineStr"/>
      <c r="P16" t="inlineStr">
        <is>
          <t>No</t>
        </is>
      </c>
      <c r="Q16" t="inlineStr">
        <is>
          <t>N/A</t>
        </is>
      </c>
      <c r="R16" s="3" t="inlineStr">
        <is>
          <t>https://www.etenders.gov.za/home/Download/?blobName=460c3f71-801a-4ba1-9f90-37ea170f7ac0.pdf&amp;downloadedFileName=Tender%20Advert%20MAY%202026%204TH%20VERSION%20-%2020%20MAY%202026.pdf</t>
        </is>
      </c>
      <c r="S16" t="inlineStr"/>
      <c r="T16" t="inlineStr"/>
      <c r="U16" t="inlineStr"/>
      <c r="V16" t="inlineStr"/>
      <c r="W16" t="inlineStr"/>
    </row>
    <row r="17">
      <c r="A17" s="2" t="n">
        <v>46167</v>
      </c>
      <c r="B17" t="n">
        <v>187</v>
      </c>
      <c r="C17" t="inlineStr">
        <is>
          <t>Znq 06/26/27</t>
        </is>
      </c>
      <c r="D17" s="2" t="n">
        <v>46163</v>
      </c>
      <c r="E17" s="2" t="n">
        <v>46168</v>
      </c>
      <c r="F17" t="inlineStr">
        <is>
          <t>11:00</t>
        </is>
      </c>
      <c r="G17" t="inlineStr">
        <is>
          <t>Request for Bid(Open-Tender)</t>
        </is>
      </c>
      <c r="H17" t="inlineStr">
        <is>
          <t>Re-Advertisement: SITA Accredited service providers on RFB 2009-2022 Transversal Contract are hereby invited to quote for the Installation of 4 audio visual interactive display panel for the Department of Public Works &amp; Infrastructure</t>
        </is>
      </c>
      <c r="I17" t="inlineStr">
        <is>
          <t>ETENDERS.GOV.ZA</t>
        </is>
      </c>
      <c r="J17" t="inlineStr">
        <is>
          <t>Kwazulu Natal - Public Works (Head Office)</t>
        </is>
      </c>
      <c r="K17" t="inlineStr">
        <is>
          <t>KwaZulu-Natal</t>
        </is>
      </c>
      <c r="L17" t="inlineStr">
        <is>
          <t>No</t>
        </is>
      </c>
      <c r="M17" t="inlineStr">
        <is>
          <t>Information and communication</t>
        </is>
      </c>
      <c r="N17" t="inlineStr">
        <is>
          <t>No</t>
        </is>
      </c>
      <c r="O17" t="inlineStr"/>
      <c r="P17" t="inlineStr">
        <is>
          <t>No</t>
        </is>
      </c>
      <c r="Q17" t="inlineStr">
        <is>
          <t>N/A</t>
        </is>
      </c>
      <c r="R17" s="3" t="inlineStr">
        <is>
          <t>https://www.etenders.gov.za/home/Download/?blobName=e0bcf7ce-6849-48b0-b3f1-867c75e609d5.pdf&amp;downloadedFileName=Znq%2006.26.27%20Advert.pdf</t>
        </is>
      </c>
      <c r="S17" t="inlineStr"/>
      <c r="T17" t="inlineStr"/>
      <c r="U17" t="inlineStr"/>
      <c r="V17" t="inlineStr"/>
      <c r="W17" t="inlineStr"/>
    </row>
    <row r="18">
      <c r="A18" s="2" t="n">
        <v>46167</v>
      </c>
      <c r="B18" t="n">
        <v>186</v>
      </c>
      <c r="C18" t="inlineStr">
        <is>
          <t>RFQ2026/001-05817/NYDA</t>
        </is>
      </c>
      <c r="D18" s="2" t="n">
        <v>46163</v>
      </c>
      <c r="E18" s="2" t="n">
        <v>46168</v>
      </c>
      <c r="F18" t="inlineStr">
        <is>
          <t>17:00</t>
        </is>
      </c>
      <c r="G18" t="inlineStr">
        <is>
          <t>Request for Quotation</t>
        </is>
      </c>
      <c r="H18" t="inlineStr">
        <is>
          <t>Forensic Investigation Services</t>
        </is>
      </c>
      <c r="I18" t="inlineStr">
        <is>
          <t>ETENDERS.GOV.ZA</t>
        </is>
      </c>
      <c r="J18" t="inlineStr">
        <is>
          <t>National Youth Development Agency</t>
        </is>
      </c>
      <c r="K18" t="inlineStr">
        <is>
          <t>National</t>
        </is>
      </c>
      <c r="L18" t="inlineStr">
        <is>
          <t>No</t>
        </is>
      </c>
      <c r="M18" t="inlineStr">
        <is>
          <t>Security and investigation activities</t>
        </is>
      </c>
      <c r="N18" t="inlineStr">
        <is>
          <t>No</t>
        </is>
      </c>
      <c r="O18" t="inlineStr"/>
      <c r="P18" t="inlineStr">
        <is>
          <t>No</t>
        </is>
      </c>
      <c r="Q18" t="inlineStr">
        <is>
          <t>N/A</t>
        </is>
      </c>
      <c r="R18" s="3" t="inlineStr">
        <is>
          <t>https://www.etenders.gov.za/home/Download/?blobName=8cffe4cf-71af-4ec2-b825-179eb153b565.pdf&amp;downloadedFileName=Request%20for%20Quotation.pdf</t>
        </is>
      </c>
      <c r="S18" t="inlineStr"/>
      <c r="T18" t="inlineStr"/>
      <c r="U18" t="inlineStr"/>
      <c r="V18" t="inlineStr"/>
      <c r="W18" t="inlineStr"/>
    </row>
    <row r="19">
      <c r="A19" s="2" t="n">
        <v>46167</v>
      </c>
      <c r="B19" t="n">
        <v>185</v>
      </c>
      <c r="C19" t="inlineStr">
        <is>
          <t>Stats SA 001/26</t>
        </is>
      </c>
      <c r="D19" s="2" t="n">
        <v>46163</v>
      </c>
      <c r="E19" s="2" t="n">
        <v>46184</v>
      </c>
      <c r="F19" t="inlineStr">
        <is>
          <t>11:00</t>
        </is>
      </c>
      <c r="G19" t="inlineStr">
        <is>
          <t>Request for Bid(Open-Tender)</t>
        </is>
      </c>
      <c r="H19" t="inlineStr">
        <is>
          <t>APPOINTMENT OF SERVICE PROVIDER TO SUPPLY, INSTALL A HIGH-VOLUME DIGITAL COLOUR PRINTER WITH OFF-LINE (PERFECT BINDER AND SADDLE STITCHER/BOOKLET MAKER) FINISHING FOR STATISTICS SOUTH AFRICA (STATS SA) FOR A PERIOD OF SIXTY (60) MONTHS ON A LEASE BASIS</t>
        </is>
      </c>
      <c r="I19" t="inlineStr">
        <is>
          <t>ETENDERS.GOV.ZA</t>
        </is>
      </c>
      <c r="J19" t="inlineStr">
        <is>
          <t>Statistics South Africa</t>
        </is>
      </c>
      <c r="K19" t="inlineStr">
        <is>
          <t>Gauteng</t>
        </is>
      </c>
      <c r="L19" t="inlineStr">
        <is>
          <t>No</t>
        </is>
      </c>
      <c r="M19" t="inlineStr">
        <is>
          <t>Other service activities</t>
        </is>
      </c>
      <c r="N19" t="inlineStr">
        <is>
          <t>No</t>
        </is>
      </c>
      <c r="O19" t="inlineStr"/>
      <c r="P19" t="inlineStr">
        <is>
          <t>No</t>
        </is>
      </c>
      <c r="Q19" t="inlineStr">
        <is>
          <t>N/A</t>
        </is>
      </c>
      <c r="R19" s="3" t="inlineStr">
        <is>
          <t>https://www.etenders.gov.za/home/Download/?blobName=cc0c83ef-26b2-4a92-acee-f2a0ad5a155b.pdf&amp;downloadedFileName=Bid%20Document%20High%20Volume%20Digital%20Colour%20Printer.pdf</t>
        </is>
      </c>
      <c r="S19" t="inlineStr"/>
      <c r="T19" t="inlineStr"/>
      <c r="U19" t="inlineStr"/>
      <c r="V19" t="inlineStr"/>
      <c r="W19" t="inlineStr"/>
    </row>
    <row r="20">
      <c r="A20" s="2" t="n">
        <v>46167</v>
      </c>
      <c r="B20" t="n">
        <v>184</v>
      </c>
      <c r="C20" t="inlineStr">
        <is>
          <t>OHSC/01/MAY /2026</t>
        </is>
      </c>
      <c r="D20" s="2" t="n">
        <v>46163</v>
      </c>
      <c r="E20" s="2" t="n">
        <v>46185</v>
      </c>
      <c r="F20" t="inlineStr">
        <is>
          <t>11:00</t>
        </is>
      </c>
      <c r="G20" t="inlineStr">
        <is>
          <t>Request for Bid(Open-Tender)</t>
        </is>
      </c>
      <c r="H20" t="inlineStr">
        <is>
          <t>APPOINTMENT OF A SERVICE PROVIDER FOR THE REPLACEMENT OF END-OF-LIFE , CISCO WIRELEESS CONTROLLER AND ACCESS POINTS, PALO ALTO FIREWALLS, SUPPORT AND MAINTENANCE OF EXISTING SERVER INFRASTRUCTURE AND RENEWAL OF SOFTWARE LICENSES FOR SERVER INFRASTRUCTURE FOR OHSC FOR A PERIOD OF TWO (2) YEARS.</t>
        </is>
      </c>
      <c r="I20" t="inlineStr">
        <is>
          <t>ETENDERS.GOV.ZA</t>
        </is>
      </c>
      <c r="J20" t="inlineStr">
        <is>
          <t>Office of Health Standards Compliance (OHSC)</t>
        </is>
      </c>
      <c r="K20" t="inlineStr">
        <is>
          <t>Gauteng</t>
        </is>
      </c>
      <c r="L20" t="inlineStr">
        <is>
          <t>No</t>
        </is>
      </c>
      <c r="M20" t="inlineStr">
        <is>
          <t>Computer programming, consultancy and related activities</t>
        </is>
      </c>
      <c r="N20" t="inlineStr">
        <is>
          <t>Yes</t>
        </is>
      </c>
      <c r="O20" s="2" t="n">
        <v>46176</v>
      </c>
      <c r="P20" t="inlineStr">
        <is>
          <t>Yes</t>
        </is>
      </c>
      <c r="Q20" t="inlineStr">
        <is>
          <t>OHSC BUILDING, 70 RIBBON GRASS STREET, HIGHVELD, ECO GLADES OFFICE PARK, CENTURION, PRETORIA 0157</t>
        </is>
      </c>
      <c r="R20" s="3" t="inlineStr">
        <is>
          <t>https://www.etenders.gov.za/home/Download/?blobName=c5be9fd0-d4ab-4796-b040-7b3741a7457c.pdf&amp;downloadedFileName=BID%20DOCUMENT%20IT%20INFRASTRUCTURE%20FOR%202%20YEARS%202026.FFA.pdf</t>
        </is>
      </c>
      <c r="S20" t="inlineStr"/>
      <c r="T20" t="inlineStr"/>
      <c r="U20" t="inlineStr"/>
      <c r="V20" t="inlineStr"/>
      <c r="W20" t="inlineStr"/>
    </row>
    <row r="21">
      <c r="A21" s="2" t="n">
        <v>46167</v>
      </c>
      <c r="B21" t="n">
        <v>183</v>
      </c>
      <c r="C21" t="inlineStr">
        <is>
          <t>RFP2026/13</t>
        </is>
      </c>
      <c r="D21" s="2" t="n">
        <v>46163</v>
      </c>
      <c r="E21" s="2" t="n">
        <v>46191</v>
      </c>
      <c r="F21" t="inlineStr">
        <is>
          <t>12:00</t>
        </is>
      </c>
      <c r="G21" t="inlineStr">
        <is>
          <t>Request for Proposal</t>
        </is>
      </c>
      <c r="H21" t="inlineStr">
        <is>
          <t>Consultant for the Business Transformation initiative for a period of 24 months</t>
        </is>
      </c>
      <c r="I21" t="inlineStr">
        <is>
          <t>ETENDERS.GOV.ZA</t>
        </is>
      </c>
      <c r="J21" t="inlineStr">
        <is>
          <t>SOUTH AFRICAN SPECIAL RISKS INSURANCE ASSOCIATION (Sasria Soc Ltd)</t>
        </is>
      </c>
      <c r="K21" t="inlineStr">
        <is>
          <t>Gauteng</t>
        </is>
      </c>
      <c r="L21" t="inlineStr">
        <is>
          <t>No</t>
        </is>
      </c>
      <c r="M21" t="inlineStr">
        <is>
          <t>Services: Professional</t>
        </is>
      </c>
      <c r="N21" t="inlineStr">
        <is>
          <t>Yes</t>
        </is>
      </c>
      <c r="O21" t="inlineStr"/>
      <c r="P21" t="inlineStr">
        <is>
          <t>Yes</t>
        </is>
      </c>
      <c r="Q21" t="inlineStr">
        <is>
          <t>https://teams.microsoft.com/meet/333025562168292?p=JrN5yDkyVeVHbFHSFf</t>
        </is>
      </c>
      <c r="R21" s="3" t="inlineStr">
        <is>
          <t>https://www.etenders.gov.za/home/Download/?blobName=9214e7a2-c8dc-429c-95c2-c0b754259089.pdf&amp;downloadedFileName=Business%20Transformation_RFP_21%20May%202026_Final.pdf</t>
        </is>
      </c>
      <c r="S21" t="inlineStr"/>
      <c r="T21" t="inlineStr"/>
      <c r="U21" t="inlineStr"/>
      <c r="V21" t="inlineStr"/>
      <c r="W21" t="inlineStr"/>
    </row>
    <row r="22">
      <c r="A22" s="2" t="n">
        <v>46167</v>
      </c>
      <c r="B22" t="n">
        <v>182</v>
      </c>
      <c r="C22" t="inlineStr">
        <is>
          <t>JHB 26/02</t>
        </is>
      </c>
      <c r="D22" s="2" t="n">
        <v>46163</v>
      </c>
      <c r="E22" s="2" t="n">
        <v>46184</v>
      </c>
      <c r="F22" t="inlineStr">
        <is>
          <t>11:00</t>
        </is>
      </c>
      <c r="G22" t="inlineStr">
        <is>
          <t>Request for Bid(Open-Tender)</t>
        </is>
      </c>
      <c r="H22" t="inlineStr">
        <is>
          <t>JHB REGIONAL OFFICE : VARIOUS GOVERNEMNT BUILDINGS : COMPREHENSIVE MONITORING, CERTIFYING, EVALUATION, APPROVAL AND REPORTING ON ALL WORK DONE PER LIFT FOR 174 LIFTS INCLUDING HOIST STAIR LIFTS FOR PARAPLEGIC EQUIPMENT FOR ALL CLIENTS WITHIN THE JURISDICTION OF JOHANNESBURG REGIONAL OFFICE FOR A PERIOD OF 24 MONTHS.</t>
        </is>
      </c>
      <c r="I22" t="inlineStr">
        <is>
          <t>ETENDERS.GOV.ZA</t>
        </is>
      </c>
      <c r="J22" t="inlineStr">
        <is>
          <t>Public Works</t>
        </is>
      </c>
      <c r="K22" t="inlineStr">
        <is>
          <t>Gauteng</t>
        </is>
      </c>
      <c r="L22" t="inlineStr">
        <is>
          <t>No</t>
        </is>
      </c>
      <c r="M22" t="inlineStr">
        <is>
          <t>Services: Professional</t>
        </is>
      </c>
      <c r="N22" t="inlineStr">
        <is>
          <t>No</t>
        </is>
      </c>
      <c r="O22" t="inlineStr"/>
      <c r="P22" t="inlineStr">
        <is>
          <t>No</t>
        </is>
      </c>
      <c r="Q22" t="inlineStr">
        <is>
          <t>N/A</t>
        </is>
      </c>
      <c r="R22" s="3" t="inlineStr">
        <is>
          <t>https://www.etenders.gov.za/home/Download/?blobName=5a62e11b-5d3d-40a8-80ab-90b2093bbf38.pdf&amp;downloadedFileName=JHB%2026.02%20Tender%20Document.pdf</t>
        </is>
      </c>
      <c r="S22" t="inlineStr"/>
      <c r="T22" t="inlineStr"/>
      <c r="U22" t="inlineStr"/>
      <c r="V22" t="inlineStr"/>
      <c r="W22" t="inlineStr"/>
    </row>
    <row r="23">
      <c r="A23" s="2" t="n">
        <v>46167</v>
      </c>
      <c r="B23" t="n">
        <v>181</v>
      </c>
      <c r="C23" t="inlineStr">
        <is>
          <t>RFQ-05-05-2026</t>
        </is>
      </c>
      <c r="D23" s="2" t="n">
        <v>46163</v>
      </c>
      <c r="E23" s="2" t="n">
        <v>46181</v>
      </c>
      <c r="F23" t="inlineStr">
        <is>
          <t>11:00</t>
        </is>
      </c>
      <c r="G23" t="inlineStr">
        <is>
          <t>Request for Quotation</t>
        </is>
      </c>
      <c r="H23" t="inlineStr">
        <is>
          <t>SUPPLY AND INSTALLATION OF INTERIOR DESIGN ITEMS AT NTSHODWE RESORT, MAIN LODGE, EZEMVELO KZN WILDLIFE</t>
        </is>
      </c>
      <c r="I23" t="inlineStr">
        <is>
          <t>ETENDERS.GOV.ZA</t>
        </is>
      </c>
      <c r="J23" t="inlineStr">
        <is>
          <t>Kwa-Zulu Natal - Ezemvelo KwaZulu-Natal Wildlife</t>
        </is>
      </c>
      <c r="K23" t="inlineStr">
        <is>
          <t>KwaZulu-Natal</t>
        </is>
      </c>
      <c r="L23" t="inlineStr">
        <is>
          <t>No</t>
        </is>
      </c>
      <c r="M23" t="inlineStr">
        <is>
          <t>Services: Professional</t>
        </is>
      </c>
      <c r="N23" t="inlineStr">
        <is>
          <t>Yes</t>
        </is>
      </c>
      <c r="O23" s="2" t="n">
        <v>46176</v>
      </c>
      <c r="P23" t="inlineStr">
        <is>
          <t>Yes</t>
        </is>
      </c>
      <c r="Q23" t="inlineStr">
        <is>
          <t>ITHALA GAME RESERVE (NTSHONDWE RESORT) LOUWSBURG</t>
        </is>
      </c>
      <c r="R23" s="3" t="inlineStr">
        <is>
          <t>https://www.etenders.gov.za/home/Download/?blobName=205ef9bc-ef58-47cc-8abb-743129a8606b.pdf&amp;downloadedFileName=Revised%20Final%20Version%202026%20RFQ%20SUPPLY%20AND%20DELIVERY%20OF%20INTERIOR%20DESIGN%20AT%20ITHALA%20MAIN%20HOUSE%20LODGE%20(003).pdf</t>
        </is>
      </c>
      <c r="S23" t="inlineStr"/>
      <c r="T23" t="inlineStr"/>
      <c r="U23" t="inlineStr"/>
      <c r="V23" t="inlineStr"/>
      <c r="W23" t="inlineStr"/>
    </row>
    <row r="24">
      <c r="A24" s="2" t="n">
        <v>46167</v>
      </c>
      <c r="B24" t="n">
        <v>180</v>
      </c>
      <c r="C24" t="inlineStr">
        <is>
          <t>23-2025/26</t>
        </is>
      </c>
      <c r="D24" s="2" t="n">
        <v>46163</v>
      </c>
      <c r="E24" s="2" t="n">
        <v>46196</v>
      </c>
      <c r="F24" t="inlineStr">
        <is>
          <t>11:00</t>
        </is>
      </c>
      <c r="G24" t="inlineStr">
        <is>
          <t>Request for Bid(Open-Tender)</t>
        </is>
      </c>
      <c r="H24" t="inlineStr">
        <is>
          <t>Service Provider for the supply, installation, configuration, support and maintenance of Biometric Access Control System for a Period of Three Years</t>
        </is>
      </c>
      <c r="I24" t="inlineStr">
        <is>
          <t>ETENDERS.GOV.ZA</t>
        </is>
      </c>
      <c r="J24" t="inlineStr">
        <is>
          <t>Musina Local Municipality</t>
        </is>
      </c>
      <c r="K24" t="inlineStr">
        <is>
          <t>Limpopo</t>
        </is>
      </c>
      <c r="L24" t="inlineStr">
        <is>
          <t>No</t>
        </is>
      </c>
      <c r="M24" t="inlineStr">
        <is>
          <t>Supplies: General</t>
        </is>
      </c>
      <c r="N24" t="inlineStr">
        <is>
          <t>No</t>
        </is>
      </c>
      <c r="O24" t="inlineStr"/>
      <c r="P24" t="inlineStr">
        <is>
          <t>No</t>
        </is>
      </c>
      <c r="Q24" t="inlineStr">
        <is>
          <t>N/A</t>
        </is>
      </c>
      <c r="R24" s="3" t="inlineStr">
        <is>
          <t>https://www.etenders.gov.za/home/Download/?blobName=73f7b10f-017b-4d81-bc6e-6710aa7a4bd6.pdf&amp;downloadedFileName=Notice%20to%20bidders...pdf</t>
        </is>
      </c>
      <c r="S24" t="inlineStr"/>
      <c r="T24" t="inlineStr"/>
      <c r="U24" t="inlineStr"/>
      <c r="V24" t="inlineStr"/>
      <c r="W24" t="inlineStr"/>
    </row>
    <row r="25">
      <c r="A25" s="2" t="n">
        <v>46167</v>
      </c>
      <c r="B25" t="n">
        <v>179</v>
      </c>
      <c r="C25" t="inlineStr">
        <is>
          <t>NKA/BTO05/25/26</t>
        </is>
      </c>
      <c r="D25" s="2" t="n">
        <v>46163</v>
      </c>
      <c r="E25" s="2" t="n">
        <v>46195</v>
      </c>
      <c r="F25" t="inlineStr">
        <is>
          <t>11:00</t>
        </is>
      </c>
      <c r="G25" t="inlineStr">
        <is>
          <t>Request for Bid(Open-Tender)</t>
        </is>
      </c>
      <c r="H25" t="inlineStr">
        <is>
          <t>PANEL OF ADVERTISING AGENCIES</t>
        </is>
      </c>
      <c r="I25" t="inlineStr">
        <is>
          <t>ETENDERS.GOV.ZA</t>
        </is>
      </c>
      <c r="J25" t="inlineStr">
        <is>
          <t>Nkandla Local Municipality</t>
        </is>
      </c>
      <c r="K25" t="inlineStr">
        <is>
          <t>KwaZulu-Natal</t>
        </is>
      </c>
      <c r="L25" t="inlineStr">
        <is>
          <t>No</t>
        </is>
      </c>
      <c r="M25" t="inlineStr">
        <is>
          <t>Advertising and market research</t>
        </is>
      </c>
      <c r="N25" t="inlineStr">
        <is>
          <t>No</t>
        </is>
      </c>
      <c r="O25" t="inlineStr"/>
      <c r="P25" t="inlineStr">
        <is>
          <t>No</t>
        </is>
      </c>
      <c r="Q25" t="inlineStr">
        <is>
          <t>N/A</t>
        </is>
      </c>
      <c r="R25" s="3" t="inlineStr">
        <is>
          <t>https://www.etenders.gov.za/home/Download/?blobName=abea147c-146f-4364-89e6-10d3b749d0c7.pdf&amp;downloadedFileName=ADVERT%20FOR%20THE%20PANEL%20OF%20ADVERTISING%20AGENCIES.pdf</t>
        </is>
      </c>
      <c r="S25" t="inlineStr"/>
      <c r="T25" t="inlineStr"/>
      <c r="U25" t="inlineStr"/>
      <c r="V25" t="inlineStr"/>
      <c r="W25" t="inlineStr"/>
    </row>
    <row r="26">
      <c r="A26" s="2" t="n">
        <v>46167</v>
      </c>
      <c r="B26" t="n">
        <v>178</v>
      </c>
      <c r="C26" t="inlineStr">
        <is>
          <t>NAMC RFQ1746</t>
        </is>
      </c>
      <c r="D26" s="2" t="n">
        <v>46163</v>
      </c>
      <c r="E26" s="2" t="n">
        <v>46171</v>
      </c>
      <c r="F26" t="inlineStr">
        <is>
          <t>11:00</t>
        </is>
      </c>
      <c r="G26" t="inlineStr">
        <is>
          <t>Request for Quotation</t>
        </is>
      </c>
      <c r="H26" t="inlineStr">
        <is>
          <t>NAMC RFQ1746 APPOINTMENT OF A SERVICE PROVIDER TO PROVIDE EXECUTIVE COACHING SERVICES TO THE CHIEF EXECUTIVE OFFICER (CEO) FOR THE 2026/2027 FINANCIAL YEAR FOR THE NATIONAL AGRICULTURAL MARKETING COUNCIL (NAMC)</t>
        </is>
      </c>
      <c r="I26" t="inlineStr">
        <is>
          <t>ETENDERS.GOV.ZA</t>
        </is>
      </c>
      <c r="J26" t="inlineStr">
        <is>
          <t>National Agricultural Marketing Council</t>
        </is>
      </c>
      <c r="K26" t="inlineStr">
        <is>
          <t>Gauteng</t>
        </is>
      </c>
      <c r="L26" t="inlineStr">
        <is>
          <t>No</t>
        </is>
      </c>
      <c r="M26" t="inlineStr">
        <is>
          <t>Human health and social work activities</t>
        </is>
      </c>
      <c r="N26" t="inlineStr">
        <is>
          <t>No</t>
        </is>
      </c>
      <c r="O26" t="inlineStr"/>
      <c r="P26" t="inlineStr">
        <is>
          <t>No</t>
        </is>
      </c>
      <c r="Q26" t="inlineStr">
        <is>
          <t>N/A</t>
        </is>
      </c>
      <c r="R26" s="3" t="inlineStr">
        <is>
          <t>https://www.etenders.gov.za/home/Download/?blobName=ad5d2e95-e0c9-4fce-9b79-4dec3c0594f1.docx&amp;downloadedFileName=SBD%206.1%20IN%20TERMS%20OF%20PPR2022.docx</t>
        </is>
      </c>
      <c r="S26" t="inlineStr"/>
      <c r="T26" t="inlineStr"/>
      <c r="U26" t="inlineStr"/>
      <c r="V26" t="inlineStr"/>
      <c r="W26" t="inlineStr"/>
    </row>
    <row r="27">
      <c r="A27" s="2" t="n">
        <v>46167</v>
      </c>
      <c r="B27" t="n">
        <v>177</v>
      </c>
      <c r="C27" t="inlineStr">
        <is>
          <t>ZDM014/2025-2026</t>
        </is>
      </c>
      <c r="D27" s="2" t="n">
        <v>46163</v>
      </c>
      <c r="E27" s="2" t="n">
        <v>46195</v>
      </c>
      <c r="F27" t="inlineStr">
        <is>
          <t>12:00</t>
        </is>
      </c>
      <c r="G27" t="inlineStr">
        <is>
          <t>Request for Bid(Open-Tender)</t>
        </is>
      </c>
      <c r="H27" t="inlineStr">
        <is>
          <t>PANEL OF SERVICE PROVIDERS FOR THE PROVISION OF LEGAL SERVICES FOR A PERIOD OF THIRTY-SIX (36) MONTHS</t>
        </is>
      </c>
      <c r="I27" t="inlineStr">
        <is>
          <t>ETENDERS.GOV.ZA</t>
        </is>
      </c>
      <c r="J27" t="inlineStr">
        <is>
          <t>Zululand District Municipality</t>
        </is>
      </c>
      <c r="K27" t="inlineStr">
        <is>
          <t>KwaZulu-Natal</t>
        </is>
      </c>
      <c r="L27" t="inlineStr">
        <is>
          <t>No</t>
        </is>
      </c>
      <c r="M27" t="inlineStr">
        <is>
          <t>Services: Professional</t>
        </is>
      </c>
      <c r="N27" t="inlineStr">
        <is>
          <t>No</t>
        </is>
      </c>
      <c r="O27" t="inlineStr"/>
      <c r="P27" t="inlineStr">
        <is>
          <t>No</t>
        </is>
      </c>
      <c r="Q27" t="inlineStr">
        <is>
          <t>N/A</t>
        </is>
      </c>
      <c r="R27" s="3" t="inlineStr">
        <is>
          <t>https://www.etenders.gov.za/home/Download/?blobName=9e28cabd-a15a-4322-a2af-4f59ca461496.pdf&amp;downloadedFileName=Legal%20Panel%20Tender%20ZDM014-2025-2026.pdf</t>
        </is>
      </c>
      <c r="S27" t="inlineStr"/>
      <c r="T27" t="inlineStr"/>
      <c r="U27" t="inlineStr"/>
      <c r="V27" t="inlineStr"/>
      <c r="W27" t="inlineStr"/>
    </row>
    <row r="28">
      <c r="A28" s="2" t="n">
        <v>46167</v>
      </c>
      <c r="B28" t="n">
        <v>176</v>
      </c>
      <c r="C28" t="inlineStr">
        <is>
          <t>PR10116200</t>
        </is>
      </c>
      <c r="D28" s="2" t="n">
        <v>46163</v>
      </c>
      <c r="E28" s="2" t="n">
        <v>46169</v>
      </c>
      <c r="F28" t="inlineStr">
        <is>
          <t>11:00</t>
        </is>
      </c>
      <c r="G28" t="inlineStr">
        <is>
          <t>Request for Quotation</t>
        </is>
      </c>
      <c r="H28" t="inlineStr">
        <is>
          <t>The Road Accident Fund (RAF) wishes to appoint a suitable service provider to provide ambulance services for RAF Sport Day Johannesburg</t>
        </is>
      </c>
      <c r="I28" t="inlineStr">
        <is>
          <t>ETENDERS.GOV.ZA</t>
        </is>
      </c>
      <c r="J28" t="inlineStr">
        <is>
          <t>Road Accident Fund</t>
        </is>
      </c>
      <c r="K28" t="inlineStr">
        <is>
          <t>Gauteng</t>
        </is>
      </c>
      <c r="L28" t="inlineStr">
        <is>
          <t>No</t>
        </is>
      </c>
      <c r="M28" t="inlineStr">
        <is>
          <t>Services: General</t>
        </is>
      </c>
      <c r="N28" t="inlineStr">
        <is>
          <t>No</t>
        </is>
      </c>
      <c r="O28" t="inlineStr"/>
      <c r="P28" t="inlineStr">
        <is>
          <t>No</t>
        </is>
      </c>
      <c r="Q28" t="inlineStr">
        <is>
          <t>N/A</t>
        </is>
      </c>
      <c r="R28" s="3" t="inlineStr">
        <is>
          <t>https://www.etenders.gov.za/home/Download/?blobName=35a3cdec-ea99-4d41-8a4a-095cd7f66d5a.pdf&amp;downloadedFileName=Standard%20Bidding%20Document%20(SDB)%204.pdf</t>
        </is>
      </c>
      <c r="S28" t="inlineStr"/>
      <c r="T28" t="inlineStr"/>
      <c r="U28" t="inlineStr"/>
      <c r="V28" t="inlineStr"/>
      <c r="W28" t="inlineStr"/>
    </row>
    <row r="29">
      <c r="A29" s="2" t="n">
        <v>46167</v>
      </c>
      <c r="B29" t="n">
        <v>175</v>
      </c>
      <c r="C29" t="inlineStr">
        <is>
          <t>JCPZ/RFQ/CID24/2025</t>
        </is>
      </c>
      <c r="D29" s="2" t="n">
        <v>46163</v>
      </c>
      <c r="E29" s="2" t="n">
        <v>46176</v>
      </c>
      <c r="F29" t="inlineStr">
        <is>
          <t>12:00</t>
        </is>
      </c>
      <c r="G29" t="inlineStr">
        <is>
          <t>Request for Quotation</t>
        </is>
      </c>
      <c r="H29" t="inlineStr">
        <is>
          <t>PROFESSIONAL SERVICES FIRMS IN LANDSCAPING ARCHITECTURE BUILT ENVIRONMENT - ALEXANDRA FAR EAST BANK PARK DEVELOPMENT</t>
        </is>
      </c>
      <c r="I29" t="inlineStr">
        <is>
          <t>ETENDERS.GOV.ZA</t>
        </is>
      </c>
      <c r="J29" t="inlineStr">
        <is>
          <t>Johannesburg City Parks and Zoo</t>
        </is>
      </c>
      <c r="K29" t="inlineStr">
        <is>
          <t>National</t>
        </is>
      </c>
      <c r="L29" t="inlineStr">
        <is>
          <t>No</t>
        </is>
      </c>
      <c r="M29" t="inlineStr">
        <is>
          <t>Other service activities</t>
        </is>
      </c>
      <c r="N29" t="inlineStr">
        <is>
          <t>Yes</t>
        </is>
      </c>
      <c r="O29" t="inlineStr"/>
      <c r="P29" t="inlineStr">
        <is>
          <t>Yes</t>
        </is>
      </c>
      <c r="Q29" t="inlineStr">
        <is>
          <t>https://teams.microsoft.com/meet/364668832595405?p=FIShlKAqZdyTMx5KQ3 Meeting ID: 364 668 832 595 40</t>
        </is>
      </c>
      <c r="R29" s="3" t="inlineStr">
        <is>
          <t>https://www.etenders.gov.za/home/Download/?blobName=73be5bf0-b5be-4608-b637-f71234e6e7af.pdf&amp;downloadedFileName=~$PZ-RFQ-CID24-2025%20-Updated%20(30).pdf</t>
        </is>
      </c>
      <c r="S29" t="inlineStr"/>
      <c r="T29" t="inlineStr"/>
      <c r="U29" t="inlineStr"/>
      <c r="V29" t="inlineStr"/>
      <c r="W29" t="inlineStr"/>
    </row>
    <row r="30">
      <c r="A30" s="2" t="n">
        <v>46167</v>
      </c>
      <c r="B30" t="n">
        <v>174</v>
      </c>
      <c r="C30" t="inlineStr">
        <is>
          <t>ULM - P N L G 007/23</t>
        </is>
      </c>
      <c r="D30" s="2" t="n">
        <v>46163</v>
      </c>
      <c r="E30" s="2" t="n">
        <v>46185</v>
      </c>
      <c r="F30" t="inlineStr">
        <is>
          <t>12:00</t>
        </is>
      </c>
      <c r="G30" t="inlineStr">
        <is>
          <t>Request for Bid(Open-Tender)</t>
        </is>
      </c>
      <c r="H30" t="inlineStr">
        <is>
          <t>Provision of Enforcement Plant and Services (24 Months Contract) re-advert</t>
        </is>
      </c>
      <c r="I30" t="inlineStr">
        <is>
          <t>ETENDERS.GOV.ZA</t>
        </is>
      </c>
      <c r="J30" t="inlineStr">
        <is>
          <t>Umzimkhulu Local Municipality</t>
        </is>
      </c>
      <c r="K30" t="inlineStr">
        <is>
          <t>KwaZulu-Natal</t>
        </is>
      </c>
      <c r="L30" t="inlineStr">
        <is>
          <t>No</t>
        </is>
      </c>
      <c r="M30" t="inlineStr">
        <is>
          <t>Services: General</t>
        </is>
      </c>
      <c r="N30" t="inlineStr">
        <is>
          <t>Yes</t>
        </is>
      </c>
      <c r="O30" s="2" t="n">
        <v>46175</v>
      </c>
      <c r="P30" t="inlineStr">
        <is>
          <t>No</t>
        </is>
      </c>
      <c r="Q30" t="inlineStr">
        <is>
          <t>uMzimkhulu Municipality Makhosini Building Boardroom,247 Mzimkhulu Mlonyana Street, uMzimkhulu 3297.</t>
        </is>
      </c>
      <c r="R30" s="3" t="inlineStr">
        <is>
          <t>https://www.etenders.gov.za/home/Download/?blobName=c732efd3-132f-4a4b-b783-76524baa0995.pdf&amp;downloadedFileName=21-05-2026%20TENDER%20RE-ADVERT%20PROVISION%20OF%20ENFORCEMENT%20PLANT%20AND%20SERVICES(24%20MONTHS%20CONTRACT)..pdf</t>
        </is>
      </c>
      <c r="S30" t="inlineStr"/>
      <c r="T30" t="inlineStr"/>
      <c r="U30" t="inlineStr"/>
      <c r="V30" t="inlineStr"/>
      <c r="W30" t="inlineStr"/>
    </row>
    <row r="31">
      <c r="A31" s="2" t="n">
        <v>46167</v>
      </c>
      <c r="B31" t="n">
        <v>173</v>
      </c>
      <c r="C31" t="inlineStr">
        <is>
          <t>ULM-CORP 0 02/26</t>
        </is>
      </c>
      <c r="D31" s="2" t="n">
        <v>46163</v>
      </c>
      <c r="E31" s="2" t="n">
        <v>46174</v>
      </c>
      <c r="F31" t="inlineStr">
        <is>
          <t>12:00</t>
        </is>
      </c>
      <c r="G31" t="inlineStr">
        <is>
          <t>Request for Quotation</t>
        </is>
      </c>
      <c r="H31" t="inlineStr">
        <is>
          <t>Provision of Screening of Educational Qualification (24 Months Contract) re-advert</t>
        </is>
      </c>
      <c r="I31" t="inlineStr">
        <is>
          <t>ETENDERS.GOV.ZA</t>
        </is>
      </c>
      <c r="J31" t="inlineStr">
        <is>
          <t>Umzimkhulu Local Municipality</t>
        </is>
      </c>
      <c r="K31" t="inlineStr">
        <is>
          <t>KwaZulu-Natal</t>
        </is>
      </c>
      <c r="L31" t="inlineStr">
        <is>
          <t>No</t>
        </is>
      </c>
      <c r="M31" t="inlineStr">
        <is>
          <t>Services: General</t>
        </is>
      </c>
      <c r="N31" t="inlineStr">
        <is>
          <t>Yes</t>
        </is>
      </c>
      <c r="O31" s="2" t="n">
        <v>46169</v>
      </c>
      <c r="P31" t="inlineStr">
        <is>
          <t>No</t>
        </is>
      </c>
      <c r="Q31" t="inlineStr">
        <is>
          <t>uMzimkhulu Municipality Makhosini Building Boardroom,247 Mzimkhulu Mlonyana Street, uMzimkhulu 3297.</t>
        </is>
      </c>
      <c r="R31" s="3" t="inlineStr">
        <is>
          <t>https://www.etenders.gov.za/home/Download/?blobName=a2497528-f0cc-4054-b5b9-72469274db27.pdf&amp;downloadedFileName=21-05-2026%20QUOTATION%20%20RE-ADVERT%20-%20PROVISION%20OF%20SCREENING%20OF%20EDUCATIONAL%20QUALIFICATION%20(24%20MONTHS%20CONTRACT)%20(002).pdf</t>
        </is>
      </c>
      <c r="S31" t="inlineStr"/>
      <c r="T31" t="inlineStr"/>
      <c r="U31" t="inlineStr"/>
      <c r="V31" t="inlineStr"/>
      <c r="W31" t="inlineStr"/>
    </row>
    <row r="32">
      <c r="A32" s="2" t="n">
        <v>46167</v>
      </c>
      <c r="B32" t="n">
        <v>172</v>
      </c>
      <c r="C32" t="inlineStr">
        <is>
          <t>HOAC-PRC-57725 CIDB</t>
        </is>
      </c>
      <c r="D32" s="2" t="n">
        <v>46163</v>
      </c>
      <c r="E32" s="2" t="n">
        <v>46185</v>
      </c>
      <c r="F32" t="inlineStr">
        <is>
          <t>11:00</t>
        </is>
      </c>
      <c r="G32" t="inlineStr">
        <is>
          <t>Request for Proposal</t>
        </is>
      </c>
      <c r="H32" t="inlineStr">
        <is>
          <t>FOR THE SUPPLY, DELIVERY AND INSTALLATION OF PARKHOMES FOR THE LABORATORY WORKSPACE ACCOMMODATION FOR THE ROLLING STOCK TECHNOLOGY DEPARTMENT.</t>
        </is>
      </c>
      <c r="I32" t="inlineStr">
        <is>
          <t>ETENDERS.GOV.ZA</t>
        </is>
      </c>
      <c r="J32" t="inlineStr">
        <is>
          <t>Transnet SOC Ltd</t>
        </is>
      </c>
      <c r="K32" t="inlineStr">
        <is>
          <t>Gauteng</t>
        </is>
      </c>
      <c r="L32" t="inlineStr">
        <is>
          <t>No</t>
        </is>
      </c>
      <c r="M32" t="inlineStr">
        <is>
          <t>Services: General</t>
        </is>
      </c>
      <c r="N32" t="inlineStr">
        <is>
          <t>Yes</t>
        </is>
      </c>
      <c r="O32" s="2" t="n">
        <v>46175</v>
      </c>
      <c r="P32" t="inlineStr">
        <is>
          <t>Yes</t>
        </is>
      </c>
      <c r="Q32" t="inlineStr">
        <is>
          <t>Pretoria</t>
        </is>
      </c>
      <c r="R32" s="3" t="inlineStr">
        <is>
          <t>https://www.etenders.gov.za/home/Download/?blobName=4c5dd70d-a079-4b88-934b-4beaf6f0fc84.pdf&amp;downloadedFileName=1.%20RFP%20Docs-%20ECC%20Cover%20Page%20CPM%202020%20Rev%20001%20Khathu..pdf</t>
        </is>
      </c>
      <c r="S32" t="inlineStr"/>
      <c r="T32" t="inlineStr"/>
      <c r="U32" t="inlineStr"/>
      <c r="V32" t="inlineStr"/>
      <c r="W32" t="inlineStr"/>
    </row>
    <row r="33">
      <c r="A33" s="2" t="n">
        <v>46167</v>
      </c>
      <c r="B33" t="n">
        <v>171</v>
      </c>
      <c r="C33" t="inlineStr">
        <is>
          <t>E2866GXLPMAT Cancellation</t>
        </is>
      </c>
      <c r="D33" s="2" t="n">
        <v>46163</v>
      </c>
      <c r="E33" s="2" t="n">
        <v>46174</v>
      </c>
      <c r="F33" t="inlineStr">
        <is>
          <t>10:00</t>
        </is>
      </c>
      <c r="G33" t="inlineStr">
        <is>
          <t>Request for Bid(Open-Tender)</t>
        </is>
      </c>
      <c r="H33" t="inlineStr">
        <is>
          <t>Cancellation of the service and calibration of laboratory and online instruments for period of 5 years.</t>
        </is>
      </c>
      <c r="I33" t="inlineStr">
        <is>
          <t>ETENDERS.GOV.ZA</t>
        </is>
      </c>
      <c r="J33" t="inlineStr">
        <is>
          <t>ESKOM</t>
        </is>
      </c>
      <c r="K33" t="inlineStr">
        <is>
          <t>Limpopo</t>
        </is>
      </c>
      <c r="L33" t="inlineStr">
        <is>
          <t>No</t>
        </is>
      </c>
      <c r="M33" t="inlineStr">
        <is>
          <t>Manufacture of chemicals and chemical products</t>
        </is>
      </c>
      <c r="N33" t="inlineStr">
        <is>
          <t>No</t>
        </is>
      </c>
      <c r="O33" t="inlineStr"/>
      <c r="P33" t="inlineStr">
        <is>
          <t>No</t>
        </is>
      </c>
      <c r="Q33" t="inlineStr">
        <is>
          <t>Matimba Power Station Lapa Auditorium.</t>
        </is>
      </c>
      <c r="R33" s="3" t="inlineStr">
        <is>
          <t>https://www.etenders.gov.za/home/Download/?blobName=0927fa29-4443-4ce4-929c-0c4cf137c3ed.pdf&amp;downloadedFileName=Tender%20Cancellation%20Letter%20-%20Online%20analyser%2013.05.2026.pdf</t>
        </is>
      </c>
      <c r="S33" t="inlineStr"/>
      <c r="T33" t="inlineStr"/>
      <c r="U33" t="inlineStr"/>
      <c r="V33" t="inlineStr"/>
      <c r="W33" t="inlineStr"/>
    </row>
    <row r="34">
      <c r="A34" s="2" t="n">
        <v>46167</v>
      </c>
      <c r="B34" t="n">
        <v>170</v>
      </c>
      <c r="C34" t="inlineStr">
        <is>
          <t>NKA/BTO04/25/26</t>
        </is>
      </c>
      <c r="D34" s="2" t="n">
        <v>46163</v>
      </c>
      <c r="E34" s="2" t="n">
        <v>46195</v>
      </c>
      <c r="F34" t="inlineStr">
        <is>
          <t>11:00</t>
        </is>
      </c>
      <c r="G34" t="inlineStr">
        <is>
          <t>Request for Bid(Open-Tender)</t>
        </is>
      </c>
      <c r="H34" t="inlineStr">
        <is>
          <t>PANEL OF TRAVELLING AGENCIES</t>
        </is>
      </c>
      <c r="I34" t="inlineStr">
        <is>
          <t>ETENDERS.GOV.ZA</t>
        </is>
      </c>
      <c r="J34" t="inlineStr">
        <is>
          <t>Nkandla Local Municipality</t>
        </is>
      </c>
      <c r="K34" t="inlineStr">
        <is>
          <t>KwaZulu-Natal</t>
        </is>
      </c>
      <c r="L34" t="inlineStr">
        <is>
          <t>No</t>
        </is>
      </c>
      <c r="M34" t="inlineStr">
        <is>
          <t>Accommodation</t>
        </is>
      </c>
      <c r="N34" t="inlineStr">
        <is>
          <t>No</t>
        </is>
      </c>
      <c r="O34" t="inlineStr"/>
      <c r="P34" t="inlineStr">
        <is>
          <t>No</t>
        </is>
      </c>
      <c r="Q34" t="inlineStr">
        <is>
          <t>N/A</t>
        </is>
      </c>
      <c r="R34" s="3" t="inlineStr">
        <is>
          <t>https://www.etenders.gov.za/home/Download/?blobName=05af4090-0a79-466a-a98c-a164418a2da6.pdf&amp;downloadedFileName=ADVERT%20FOR%20THE%20PANEL%20OF%20TRAVELLING%20AGENCIES.pdf</t>
        </is>
      </c>
      <c r="S34" t="inlineStr"/>
      <c r="T34" t="inlineStr"/>
      <c r="U34" t="inlineStr"/>
      <c r="V34" t="inlineStr"/>
      <c r="W34" t="inlineStr"/>
    </row>
    <row r="35">
      <c r="A35" s="2" t="n">
        <v>46167</v>
      </c>
      <c r="B35" t="n">
        <v>169</v>
      </c>
      <c r="C35" t="inlineStr">
        <is>
          <t>T01-05-26</t>
        </is>
      </c>
      <c r="D35" s="2" t="n">
        <v>46163</v>
      </c>
      <c r="E35" s="2" t="n">
        <v>46192</v>
      </c>
      <c r="F35" t="inlineStr">
        <is>
          <t>11:00</t>
        </is>
      </c>
      <c r="G35" t="inlineStr">
        <is>
          <t>Request for Bid(Open-Tender)</t>
        </is>
      </c>
      <c r="H35" t="inlineStr">
        <is>
          <t>Appointment of a service provider for the Panel Real Estate Agents Refresher for Three Years</t>
        </is>
      </c>
      <c r="I35" t="inlineStr">
        <is>
          <t>ETENDERS.GOV.ZA</t>
        </is>
      </c>
      <c r="J35" t="inlineStr">
        <is>
          <t>Land and Agricultural Development Bank of South Africa</t>
        </is>
      </c>
      <c r="K35" t="inlineStr">
        <is>
          <t>Gauteng</t>
        </is>
      </c>
      <c r="L35" t="inlineStr">
        <is>
          <t>No</t>
        </is>
      </c>
      <c r="M35" t="inlineStr">
        <is>
          <t>Real estate activities</t>
        </is>
      </c>
      <c r="N35" t="inlineStr">
        <is>
          <t>No</t>
        </is>
      </c>
      <c r="O35" t="inlineStr"/>
      <c r="P35" t="inlineStr">
        <is>
          <t>No</t>
        </is>
      </c>
      <c r="Q35" t="inlineStr">
        <is>
          <t>N/A</t>
        </is>
      </c>
      <c r="R35" s="3" t="inlineStr">
        <is>
          <t>https://www.etenders.gov.za/home/Download/?blobName=b3a41ce4-ab17-4f81-96a7-f56ff975c77c.pdf&amp;downloadedFileName=T01-05-26%20Panel%20of%20Real%20Estate%20Agents%20Refresher.pdf</t>
        </is>
      </c>
      <c r="S35" t="inlineStr"/>
      <c r="T35" t="inlineStr"/>
      <c r="U35" t="inlineStr"/>
      <c r="V35" t="inlineStr"/>
      <c r="W35" t="inlineStr"/>
    </row>
    <row r="36">
      <c r="A36" s="2" t="n">
        <v>46167</v>
      </c>
      <c r="B36" t="n">
        <v>168</v>
      </c>
      <c r="C36" t="inlineStr">
        <is>
          <t>E2555DXECOUR</t>
        </is>
      </c>
      <c r="D36" s="2" t="n">
        <v>46163</v>
      </c>
      <c r="E36" s="2" t="n">
        <v>46188</v>
      </c>
      <c r="F36" t="inlineStr">
        <is>
          <t>10:00</t>
        </is>
      </c>
      <c r="G36" t="inlineStr">
        <is>
          <t>Request for Bid(Open-Tender)</t>
        </is>
      </c>
      <c r="H36" t="inlineStr">
        <is>
          <t>Request for information for Provision of Food and Beverage services Cape Coastal Cluster – Eastern Cape (Sunilaws Office Park in East London and Zimbane Complex in Mthatha)</t>
        </is>
      </c>
      <c r="I36" t="inlineStr">
        <is>
          <t>ETENDERS.GOV.ZA</t>
        </is>
      </c>
      <c r="J36" t="inlineStr">
        <is>
          <t>ESKOM</t>
        </is>
      </c>
      <c r="K36" t="inlineStr">
        <is>
          <t>Eastern Cape</t>
        </is>
      </c>
      <c r="L36" t="inlineStr">
        <is>
          <t>No</t>
        </is>
      </c>
      <c r="M36" t="inlineStr">
        <is>
          <t>Services: General</t>
        </is>
      </c>
      <c r="N36" t="inlineStr">
        <is>
          <t>No</t>
        </is>
      </c>
      <c r="O36" t="inlineStr"/>
      <c r="P36" t="inlineStr">
        <is>
          <t>No</t>
        </is>
      </c>
      <c r="Q36" t="inlineStr">
        <is>
          <t>N/A</t>
        </is>
      </c>
      <c r="R36" s="3" t="inlineStr">
        <is>
          <t>https://www.etenders.gov.za/home/Download/?blobName=58bdd16e-c038-49f7-bf1a-44efd929ce86.pdf&amp;downloadedFileName=Eskom%20General%20Conditions%20of%20Purchase%20-%20July%202022.pdf</t>
        </is>
      </c>
      <c r="S36" t="inlineStr"/>
      <c r="T36" t="inlineStr"/>
      <c r="U36" t="inlineStr"/>
      <c r="V36" t="inlineStr"/>
      <c r="W36" t="inlineStr"/>
    </row>
    <row r="37">
      <c r="A37" s="2" t="n">
        <v>46167</v>
      </c>
      <c r="B37" t="n">
        <v>167</v>
      </c>
      <c r="C37" t="inlineStr">
        <is>
          <t>ULM-INFR 017/26</t>
        </is>
      </c>
      <c r="D37" s="2" t="n">
        <v>46163</v>
      </c>
      <c r="E37" s="2" t="n">
        <v>46185</v>
      </c>
      <c r="F37" t="inlineStr">
        <is>
          <t>12:00</t>
        </is>
      </c>
      <c r="G37" t="inlineStr">
        <is>
          <t>Request for Bid(Open-Tender)</t>
        </is>
      </c>
      <c r="H37" t="inlineStr">
        <is>
          <t>Rural Electrification of Mbuzweni Ward 12</t>
        </is>
      </c>
      <c r="I37" t="inlineStr">
        <is>
          <t>ETENDERS.GOV.ZA</t>
        </is>
      </c>
      <c r="J37" t="inlineStr">
        <is>
          <t>Umzimkhulu Local Municipality</t>
        </is>
      </c>
      <c r="K37" t="inlineStr">
        <is>
          <t>KwaZulu-Natal</t>
        </is>
      </c>
      <c r="L37" t="inlineStr">
        <is>
          <t>No</t>
        </is>
      </c>
      <c r="M37" t="inlineStr">
        <is>
          <t>Services: Electrical</t>
        </is>
      </c>
      <c r="N37" t="inlineStr">
        <is>
          <t>Yes</t>
        </is>
      </c>
      <c r="O37" s="2" t="n">
        <v>46177</v>
      </c>
      <c r="P37" t="inlineStr">
        <is>
          <t>Yes</t>
        </is>
      </c>
      <c r="Q37" t="inlineStr">
        <is>
          <t>uMzimkhulu Municipality Makhosini Building Boardroom,247 Mzimkhulu Mlonyana Street, uMzimkhulu 3297.</t>
        </is>
      </c>
      <c r="R37" s="3" t="inlineStr">
        <is>
          <t>https://www.etenders.gov.za/home/Download/?blobName=2965ceee-42a5-427b-a936-b6f0d85c553f.pdf&amp;downloadedFileName=21-05-2026%20-%20TENDER%20ADVERT%20-%20RURAL%20ELECTRIFICATION%20OF%20MBUZWENI%20WARD%2012.pdf</t>
        </is>
      </c>
      <c r="S37" t="inlineStr"/>
      <c r="T37" t="inlineStr"/>
      <c r="U37" t="inlineStr"/>
      <c r="V37" t="inlineStr"/>
      <c r="W37" t="inlineStr"/>
    </row>
    <row r="38">
      <c r="A38" s="2" t="n">
        <v>46167</v>
      </c>
      <c r="B38" t="n">
        <v>166</v>
      </c>
      <c r="C38" t="inlineStr">
        <is>
          <t>TFR/2026/05/0005/114451/RFP -ERACET-NPG-57720</t>
        </is>
      </c>
      <c r="D38" s="2" t="n">
        <v>46163</v>
      </c>
      <c r="E38" s="2" t="n">
        <v>46171</v>
      </c>
      <c r="F38" t="inlineStr">
        <is>
          <t>10:00</t>
        </is>
      </c>
      <c r="G38" t="inlineStr">
        <is>
          <t>Request for Proposal</t>
        </is>
      </c>
      <c r="H38" t="inlineStr">
        <is>
          <t>FOR THE PROVISION OF EARTHMOVING EQUIPMENT FOR THE EASTERN REGION SHUTDOWN FOR A PERIOD OF TWO MONTHS.</t>
        </is>
      </c>
      <c r="I38" t="inlineStr">
        <is>
          <t>ETENDERS.GOV.ZA</t>
        </is>
      </c>
      <c r="J38" t="inlineStr">
        <is>
          <t>Transnet SOC Ltd</t>
        </is>
      </c>
      <c r="K38" t="inlineStr">
        <is>
          <t>Mpumalanga</t>
        </is>
      </c>
      <c r="L38" t="inlineStr">
        <is>
          <t>No</t>
        </is>
      </c>
      <c r="M38" t="inlineStr">
        <is>
          <t>Construction</t>
        </is>
      </c>
      <c r="N38" t="inlineStr">
        <is>
          <t>No</t>
        </is>
      </c>
      <c r="O38" t="inlineStr"/>
      <c r="P38" t="inlineStr">
        <is>
          <t>No</t>
        </is>
      </c>
      <c r="Q38" t="inlineStr">
        <is>
          <t>N/A</t>
        </is>
      </c>
      <c r="R38" s="3" t="inlineStr">
        <is>
          <t>https://www.etenders.gov.za/home/Download/?blobName=c3049e95-17a0-4e51-a694-f1a68c8a31c6.pdf&amp;downloadedFileName=RFP-ERACET-NPG-57720%20-%20EARTHMOVING%20EQUIPMENT%20FOR%20THE%20EASTERN%20REGION.pdf</t>
        </is>
      </c>
      <c r="S38" t="inlineStr"/>
      <c r="T38" t="inlineStr"/>
      <c r="U38" t="inlineStr"/>
      <c r="V38" t="inlineStr"/>
      <c r="W38" t="inlineStr"/>
    </row>
    <row r="39">
      <c r="A39" s="2" t="n">
        <v>46167</v>
      </c>
      <c r="B39" t="n">
        <v>165</v>
      </c>
      <c r="C39" t="inlineStr">
        <is>
          <t>RFQ 201975</t>
        </is>
      </c>
      <c r="D39" s="2" t="n">
        <v>46163</v>
      </c>
      <c r="E39" s="2" t="n">
        <v>46169</v>
      </c>
      <c r="F39" t="inlineStr">
        <is>
          <t>11:00</t>
        </is>
      </c>
      <c r="G39" t="inlineStr">
        <is>
          <t>Request for Quotation</t>
        </is>
      </c>
      <c r="H39" t="inlineStr">
        <is>
          <t>APPOINTMENT OF A SERVICE PROVIDER TO FACILITATE PROJECT MANAGEMENT TRAINING.</t>
        </is>
      </c>
      <c r="I39" t="inlineStr">
        <is>
          <t>ETENDERS.GOV.ZA</t>
        </is>
      </c>
      <c r="J39" t="inlineStr">
        <is>
          <t>The South African Bureau of Standards (SABS)</t>
        </is>
      </c>
      <c r="K39" t="inlineStr">
        <is>
          <t>Gauteng</t>
        </is>
      </c>
      <c r="L39" t="inlineStr">
        <is>
          <t>No</t>
        </is>
      </c>
      <c r="M39" t="inlineStr">
        <is>
          <t>Services: Professional</t>
        </is>
      </c>
      <c r="N39" t="inlineStr">
        <is>
          <t>No</t>
        </is>
      </c>
      <c r="O39" t="inlineStr"/>
      <c r="P39" t="inlineStr">
        <is>
          <t>No</t>
        </is>
      </c>
      <c r="Q39" t="inlineStr">
        <is>
          <t>N/A</t>
        </is>
      </c>
      <c r="R39" s="3" t="inlineStr">
        <is>
          <t>https://www.etenders.gov.za/home/Download/?blobName=710327d6-e450-4c18-8cff-638bb98e3a18.pdf&amp;downloadedFileName=RFQ%20201975%20Project%20Management%20Training%20(002).pdf</t>
        </is>
      </c>
      <c r="S39" t="inlineStr"/>
      <c r="T39" t="inlineStr"/>
      <c r="U39" t="inlineStr"/>
      <c r="V39" t="inlineStr"/>
      <c r="W39" t="inlineStr"/>
    </row>
    <row r="40">
      <c r="A40" s="2" t="n">
        <v>46167</v>
      </c>
      <c r="B40" t="n">
        <v>164</v>
      </c>
      <c r="C40" t="inlineStr">
        <is>
          <t>MLM 26/2025/26</t>
        </is>
      </c>
      <c r="D40" s="2" t="n">
        <v>46163</v>
      </c>
      <c r="E40" s="2" t="n">
        <v>46195</v>
      </c>
      <c r="F40" t="inlineStr">
        <is>
          <t>11:00</t>
        </is>
      </c>
      <c r="G40" t="inlineStr">
        <is>
          <t>Request for Information</t>
        </is>
      </c>
      <c r="H40" t="inlineStr">
        <is>
          <t>APPOINTMENT OF PANEL OF CONSULTANTS FOR TOWN PLANNING, LAND SURVEYING, ARCHITECTURAL SERVICES, GEO-TECHNICAL INVESTIGATION, ENVIROMENTAL IMPACT ASSESSMENT WITHIN METSIMAHOLO LOCAL MUNICIPALITY FOR ON AN AS-AND- WHEN REQUIRED BASIS FOR A PERIOD OF THREE YEARS.</t>
        </is>
      </c>
      <c r="I40" t="inlineStr">
        <is>
          <t>ETENDERS.GOV.ZA</t>
        </is>
      </c>
      <c r="J40" t="inlineStr">
        <is>
          <t>Metsimaholo Local Municipality</t>
        </is>
      </c>
      <c r="K40" t="inlineStr">
        <is>
          <t>Free State</t>
        </is>
      </c>
      <c r="L40" t="inlineStr">
        <is>
          <t>No</t>
        </is>
      </c>
      <c r="M40" t="inlineStr">
        <is>
          <t>Services: Professional</t>
        </is>
      </c>
      <c r="N40" t="inlineStr">
        <is>
          <t>Yes</t>
        </is>
      </c>
      <c r="O40" s="2" t="n">
        <v>46171</v>
      </c>
      <c r="P40" t="inlineStr">
        <is>
          <t>Yes</t>
        </is>
      </c>
      <c r="Q40" t="inlineStr">
        <is>
          <t>METSIMAHOLO LOCAL MUNICIPALITY, 10 FICHARDT STREET, SASOLBURG, FINANCE BUILDING, 2ND FLOOR, FOYER</t>
        </is>
      </c>
      <c r="R40" s="3" t="inlineStr">
        <is>
          <t>https://www.etenders.gov.za/home/Download/?blobName=8dfd10a9-6ffa-4b19-adf2-6347810f5d0b.pdf&amp;downloadedFileName=Tender%20Advert%20MAY%202026%204TH%20VERSION%20-%2020%20MAY%202026.pdf</t>
        </is>
      </c>
      <c r="S40" t="inlineStr"/>
      <c r="T40" t="inlineStr"/>
      <c r="U40" t="inlineStr"/>
      <c r="V40" t="inlineStr"/>
      <c r="W40" t="inlineStr"/>
    </row>
    <row r="41">
      <c r="A41" s="2" t="n">
        <v>46167</v>
      </c>
      <c r="B41" t="n">
        <v>163</v>
      </c>
      <c r="C41" t="inlineStr">
        <is>
          <t>KRLM/TEC/BID: 05/2025-26</t>
        </is>
      </c>
      <c r="D41" s="2" t="n">
        <v>46163</v>
      </c>
      <c r="E41" s="2" t="n">
        <v>46182</v>
      </c>
      <c r="F41" t="inlineStr">
        <is>
          <t>12:00</t>
        </is>
      </c>
      <c r="G41" t="inlineStr">
        <is>
          <t>Request for Bid(Open-Tender)</t>
        </is>
      </c>
      <c r="H41" t="inlineStr">
        <is>
          <t>APPOINTMENT OF A CONTRACTOR FOR THE UPGRADE OF 11KV KOSTER SWITCHING SUBSTATION.</t>
        </is>
      </c>
      <c r="I41" t="inlineStr">
        <is>
          <t>ETENDERS.GOV.ZA</t>
        </is>
      </c>
      <c r="J41" t="inlineStr">
        <is>
          <t>Kgetlengrivier Local municipality</t>
        </is>
      </c>
      <c r="K41" t="inlineStr">
        <is>
          <t>North West</t>
        </is>
      </c>
      <c r="L41" t="inlineStr">
        <is>
          <t>No</t>
        </is>
      </c>
      <c r="M41" t="inlineStr">
        <is>
          <t>Services: Electrical</t>
        </is>
      </c>
      <c r="N41" t="inlineStr">
        <is>
          <t>Yes</t>
        </is>
      </c>
      <c r="O41" s="2" t="n">
        <v>46171</v>
      </c>
      <c r="P41" t="inlineStr">
        <is>
          <t>Yes</t>
        </is>
      </c>
      <c r="Q41" t="inlineStr">
        <is>
          <t>KOSTER TOWN HALL</t>
        </is>
      </c>
      <c r="R41" s="3" t="inlineStr">
        <is>
          <t>https://www.etenders.gov.za/home/Download/?blobName=8db10a46-3b4f-4078-965d-c4ffcd32bf94.pdf&amp;downloadedFileName=Koster%20Substation%20Costing%20BOQ%20(1).pdf</t>
        </is>
      </c>
      <c r="S41" t="inlineStr"/>
      <c r="T41" t="inlineStr"/>
      <c r="U41" t="inlineStr"/>
      <c r="V41" t="inlineStr"/>
      <c r="W41" t="inlineStr"/>
    </row>
    <row r="42">
      <c r="A42" s="2" t="n">
        <v>46167</v>
      </c>
      <c r="B42" t="n">
        <v>162</v>
      </c>
      <c r="C42" t="inlineStr">
        <is>
          <t>13 DARD 01/2026</t>
        </is>
      </c>
      <c r="D42" s="2" t="n">
        <v>46163</v>
      </c>
      <c r="E42" s="2" t="n">
        <v>46185</v>
      </c>
      <c r="F42" t="inlineStr">
        <is>
          <t>11:00</t>
        </is>
      </c>
      <c r="G42" t="inlineStr">
        <is>
          <t>Request for Bid(Open-Tender)</t>
        </is>
      </c>
      <c r="H42" t="inlineStr">
        <is>
          <t>PROVISION OF 24-HOUR PHYSICAL SECURITY SERVICES AT DR KENNETH.KAUNDA DISTRICT SITES FOR A PERIOD OF THIRTY-SIX (36) MONTHS-DEPARTMENT OF AGRICULTURE AND RURAL DEVELOPMENT</t>
        </is>
      </c>
      <c r="I42" t="inlineStr">
        <is>
          <t>ETENDERS.GOV.ZA</t>
        </is>
      </c>
      <c r="J42" t="inlineStr">
        <is>
          <t>North West - Department of Agriculture and Rural Development</t>
        </is>
      </c>
      <c r="K42" t="inlineStr">
        <is>
          <t>North West</t>
        </is>
      </c>
      <c r="L42" t="inlineStr">
        <is>
          <t>No</t>
        </is>
      </c>
      <c r="M42" t="inlineStr">
        <is>
          <t>Other service activities</t>
        </is>
      </c>
      <c r="N42" t="inlineStr">
        <is>
          <t>No</t>
        </is>
      </c>
      <c r="O42" t="inlineStr"/>
      <c r="P42" t="inlineStr">
        <is>
          <t>No</t>
        </is>
      </c>
      <c r="Q42" t="inlineStr">
        <is>
          <t>N/A</t>
        </is>
      </c>
      <c r="R42" s="3" t="inlineStr">
        <is>
          <t>https://www.etenders.gov.za/home/Download/?blobName=66b66e76-9168-4118-a3f5-6a063f2f9086.pdf&amp;downloadedFileName=SECURITY%20TENDER%20FOR%20DR%20KK-36%20MONTHS.pdf</t>
        </is>
      </c>
      <c r="S42" t="inlineStr"/>
      <c r="T42" t="inlineStr"/>
      <c r="U42" t="inlineStr"/>
      <c r="V42" t="inlineStr"/>
      <c r="W42" t="inlineStr"/>
    </row>
    <row r="43">
      <c r="A43" s="2" t="n">
        <v>46167</v>
      </c>
      <c r="B43" t="n">
        <v>161</v>
      </c>
      <c r="C43" t="inlineStr">
        <is>
          <t>FB-SETA (26-27) T0001</t>
        </is>
      </c>
      <c r="D43" s="2" t="n">
        <v>46163</v>
      </c>
      <c r="E43" s="2" t="n">
        <v>46184</v>
      </c>
      <c r="F43" t="inlineStr">
        <is>
          <t>12:00</t>
        </is>
      </c>
      <c r="G43" t="inlineStr">
        <is>
          <t>Request for Bid(Open-Tender)</t>
        </is>
      </c>
      <c r="H43" t="inlineStr">
        <is>
          <t>The Appointment of a Project Management Service Provider to oversee the design, sourcing, build, and implementation of the National Khetha Career Summit &amp; Expo Programme</t>
        </is>
      </c>
      <c r="I43" t="inlineStr">
        <is>
          <t>ETENDERS.GOV.ZA</t>
        </is>
      </c>
      <c r="J43" t="inlineStr">
        <is>
          <t>Food and Beverages Manufacturing Industry</t>
        </is>
      </c>
      <c r="K43" t="inlineStr">
        <is>
          <t>National</t>
        </is>
      </c>
      <c r="L43" t="inlineStr">
        <is>
          <t>No</t>
        </is>
      </c>
      <c r="M43" t="inlineStr">
        <is>
          <t>Professional, scientific and technical activities</t>
        </is>
      </c>
      <c r="N43" t="inlineStr">
        <is>
          <t>Yes</t>
        </is>
      </c>
      <c r="O43" s="2" t="n">
        <v>46169</v>
      </c>
      <c r="P43" t="inlineStr">
        <is>
          <t>Yes</t>
        </is>
      </c>
      <c r="Q43" t="inlineStr">
        <is>
          <t>Microsoft Teams:https://teams.microsoft.com/meet/325296268814158?p=BL3BmBNB3NuRv1Tsa6</t>
        </is>
      </c>
      <c r="R43" s="3" t="inlineStr">
        <is>
          <t>https://www.etenders.gov.za/home/Download/?blobName=45db0be5-a603-4c79-b226-86fc57d74a38.pdf&amp;downloadedFileName=Annexure-B-and-C-2026.pdf</t>
        </is>
      </c>
      <c r="S43" t="inlineStr"/>
      <c r="T43" t="inlineStr"/>
      <c r="U43" t="inlineStr"/>
      <c r="V43" t="inlineStr"/>
      <c r="W43" t="inlineStr"/>
    </row>
    <row r="44">
      <c r="A44" s="2" t="n">
        <v>46167</v>
      </c>
      <c r="B44" t="n">
        <v>160</v>
      </c>
      <c r="C44" t="inlineStr">
        <is>
          <t>RFP2026/12</t>
        </is>
      </c>
      <c r="D44" s="2" t="n">
        <v>46163</v>
      </c>
      <c r="E44" s="2" t="n">
        <v>46184</v>
      </c>
      <c r="F44" t="inlineStr">
        <is>
          <t>11:00</t>
        </is>
      </c>
      <c r="G44" t="inlineStr">
        <is>
          <t>Request for Proposal</t>
        </is>
      </c>
      <c r="H44" t="inlineStr">
        <is>
          <t>Subscription of Human Resources Management Research and Toolkit Services</t>
        </is>
      </c>
      <c r="I44" t="inlineStr">
        <is>
          <t>ETENDERS.GOV.ZA</t>
        </is>
      </c>
      <c r="J44" t="inlineStr">
        <is>
          <t>SOUTH AFRICAN SPECIAL RISKS INSURANCE ASSOCIATION (Sasria Soc Ltd)</t>
        </is>
      </c>
      <c r="K44" t="inlineStr">
        <is>
          <t>Gauteng</t>
        </is>
      </c>
      <c r="L44" t="inlineStr">
        <is>
          <t>No</t>
        </is>
      </c>
      <c r="M44" t="inlineStr">
        <is>
          <t>Services: Professional</t>
        </is>
      </c>
      <c r="N44" t="inlineStr">
        <is>
          <t>No</t>
        </is>
      </c>
      <c r="O44" t="inlineStr"/>
      <c r="P44" t="inlineStr">
        <is>
          <t>No</t>
        </is>
      </c>
      <c r="Q44" t="inlineStr">
        <is>
          <t>N/A</t>
        </is>
      </c>
      <c r="R44" s="3" t="inlineStr">
        <is>
          <t>https://www.etenders.gov.za/home/Download/?blobName=271596bc-6af6-405c-b2ad-26081ee0ebac.pdf&amp;downloadedFileName=RFP%20Subscription%20of%20Human%20Resources%20Management%20Research%20and%20Toolkit%20Services.pdf</t>
        </is>
      </c>
      <c r="S44" t="inlineStr"/>
      <c r="T44" t="inlineStr"/>
      <c r="U44" t="inlineStr"/>
      <c r="V44" t="inlineStr"/>
      <c r="W44" t="inlineStr"/>
    </row>
    <row r="45">
      <c r="A45" s="2" t="n">
        <v>46167</v>
      </c>
      <c r="B45" t="n">
        <v>159</v>
      </c>
      <c r="C45" t="inlineStr">
        <is>
          <t>09-2025/26 Re-advertisement</t>
        </is>
      </c>
      <c r="D45" s="2" t="n">
        <v>46163</v>
      </c>
      <c r="E45" s="2" t="n">
        <v>46196</v>
      </c>
      <c r="F45" t="inlineStr">
        <is>
          <t>11:00</t>
        </is>
      </c>
      <c r="G45" t="inlineStr">
        <is>
          <t>Request for Bid(Open-Tender)</t>
        </is>
      </c>
      <c r="H45" t="inlineStr">
        <is>
          <t>Contractor for the construction of pedestrian side walk in ward 05</t>
        </is>
      </c>
      <c r="I45" t="inlineStr">
        <is>
          <t>ETENDERS.GOV.ZA</t>
        </is>
      </c>
      <c r="J45" t="inlineStr">
        <is>
          <t>Musina Local Municipality</t>
        </is>
      </c>
      <c r="K45" t="inlineStr">
        <is>
          <t>Limpopo</t>
        </is>
      </c>
      <c r="L45" t="inlineStr">
        <is>
          <t>No</t>
        </is>
      </c>
      <c r="M45" t="inlineStr">
        <is>
          <t>Construction</t>
        </is>
      </c>
      <c r="N45" t="inlineStr">
        <is>
          <t>No</t>
        </is>
      </c>
      <c r="O45" t="inlineStr"/>
      <c r="P45" t="inlineStr">
        <is>
          <t>No</t>
        </is>
      </c>
      <c r="Q45" t="inlineStr">
        <is>
          <t>N/A</t>
        </is>
      </c>
      <c r="R45" s="3" t="inlineStr">
        <is>
          <t>https://www.etenders.gov.za/home/Download/?blobName=cf295f76-b824-43ac-8edb-c0d5f36bc16d.pdf&amp;downloadedFileName=Notice%20to%20bidders...pdf</t>
        </is>
      </c>
      <c r="S45" t="inlineStr"/>
      <c r="T45" t="inlineStr"/>
      <c r="U45" t="inlineStr"/>
      <c r="V45" t="inlineStr"/>
      <c r="W45" t="inlineStr"/>
    </row>
    <row r="46">
      <c r="A46" s="2" t="n">
        <v>46167</v>
      </c>
      <c r="B46" t="n">
        <v>158</v>
      </c>
      <c r="C46" t="inlineStr">
        <is>
          <t>30-2025/26</t>
        </is>
      </c>
      <c r="D46" s="2" t="n">
        <v>46163</v>
      </c>
      <c r="E46" s="2" t="n">
        <v>46196</v>
      </c>
      <c r="F46" t="inlineStr">
        <is>
          <t>11:00</t>
        </is>
      </c>
      <c r="G46" t="inlineStr">
        <is>
          <t>Request for Bid(Open-Tender)</t>
        </is>
      </c>
      <c r="H46" t="inlineStr">
        <is>
          <t>Supply and Delivery of Toner Cartridges for a Period of Three Years</t>
        </is>
      </c>
      <c r="I46" t="inlineStr">
        <is>
          <t>ETENDERS.GOV.ZA</t>
        </is>
      </c>
      <c r="J46" t="inlineStr">
        <is>
          <t>Musina Local Municipality</t>
        </is>
      </c>
      <c r="K46" t="inlineStr">
        <is>
          <t>Limpopo</t>
        </is>
      </c>
      <c r="L46" t="inlineStr">
        <is>
          <t>No</t>
        </is>
      </c>
      <c r="M46" t="inlineStr">
        <is>
          <t>Services: General</t>
        </is>
      </c>
      <c r="N46" t="inlineStr">
        <is>
          <t>No</t>
        </is>
      </c>
      <c r="O46" t="inlineStr"/>
      <c r="P46" t="inlineStr">
        <is>
          <t>No</t>
        </is>
      </c>
      <c r="Q46" t="inlineStr">
        <is>
          <t>N/A</t>
        </is>
      </c>
      <c r="R46" s="3" t="inlineStr">
        <is>
          <t>https://www.etenders.gov.za/home/Download/?blobName=5cb276c1-56a5-4777-aecc-a70211a58a60.pdf&amp;downloadedFileName=Notice%20to%20bidders...pdf</t>
        </is>
      </c>
      <c r="S46" t="inlineStr"/>
      <c r="T46" t="inlineStr"/>
      <c r="U46" t="inlineStr"/>
      <c r="V46" t="inlineStr"/>
      <c r="W46" t="inlineStr"/>
    </row>
    <row r="47">
      <c r="A47" s="2" t="n">
        <v>46167</v>
      </c>
      <c r="B47" t="n">
        <v>157</v>
      </c>
      <c r="C47" t="inlineStr">
        <is>
          <t>ZNQ 04/26/27</t>
        </is>
      </c>
      <c r="D47" s="2" t="n">
        <v>46163</v>
      </c>
      <c r="E47" s="2" t="n">
        <v>46169</v>
      </c>
      <c r="F47" t="inlineStr">
        <is>
          <t>11:00</t>
        </is>
      </c>
      <c r="G47" t="inlineStr">
        <is>
          <t>Request for Bid(Open-Tender)</t>
        </is>
      </c>
      <c r="H47" t="inlineStr">
        <is>
          <t>SITA Accredited service providers on RFB 740 Transversal Contract are hereby invited to quote for a laptop and Accessories for the KZN Department of Public Works &amp; Infrastructure, 191 Prince Alfred Street, Oliver Tambo House Head Office, Pietermaritzburg 3201</t>
        </is>
      </c>
      <c r="I47" t="inlineStr">
        <is>
          <t>ETENDERS.GOV.ZA</t>
        </is>
      </c>
      <c r="J47" t="inlineStr">
        <is>
          <t>Kwazulu Natal - Public Works (Head Office)</t>
        </is>
      </c>
      <c r="K47" t="inlineStr">
        <is>
          <t>KwaZulu-Natal</t>
        </is>
      </c>
      <c r="L47" t="inlineStr">
        <is>
          <t>No</t>
        </is>
      </c>
      <c r="M47" t="inlineStr">
        <is>
          <t>Information and communication</t>
        </is>
      </c>
      <c r="N47" t="inlineStr">
        <is>
          <t>No</t>
        </is>
      </c>
      <c r="O47" t="inlineStr"/>
      <c r="P47" t="inlineStr">
        <is>
          <t>No</t>
        </is>
      </c>
      <c r="Q47" t="inlineStr">
        <is>
          <t>N/A</t>
        </is>
      </c>
      <c r="R47" s="3" t="inlineStr">
        <is>
          <t>https://www.etenders.gov.za/home/Download/?blobName=dd587877-588d-463e-bf92-5697838fc3e9.pdf&amp;downloadedFileName=Znq%2004.26.27%20Bid%20Quo%20Doc.pdf</t>
        </is>
      </c>
      <c r="S47" t="inlineStr"/>
      <c r="T47" t="inlineStr"/>
      <c r="U47" t="inlineStr"/>
      <c r="V47" t="inlineStr"/>
      <c r="W47" t="inlineStr"/>
    </row>
    <row r="48">
      <c r="A48" s="2" t="n">
        <v>46167</v>
      </c>
      <c r="B48" t="n">
        <v>156</v>
      </c>
      <c r="C48" t="inlineStr">
        <is>
          <t>E2740GXLPMED001</t>
        </is>
      </c>
      <c r="D48" s="2" t="n">
        <v>46163</v>
      </c>
      <c r="E48" s="2" t="n">
        <v>46178</v>
      </c>
      <c r="F48" t="inlineStr">
        <is>
          <t>11:00</t>
        </is>
      </c>
      <c r="G48" t="inlineStr">
        <is>
          <t>Participation</t>
        </is>
      </c>
      <c r="H48" t="inlineStr">
        <is>
          <t>Proof of Publication of Names of Bidders for Supply &amp; Delivery of C&amp;I Cables</t>
        </is>
      </c>
      <c r="I48" t="inlineStr">
        <is>
          <t>ETENDERS.GOV.ZA</t>
        </is>
      </c>
      <c r="J48" t="inlineStr">
        <is>
          <t>ESKOM</t>
        </is>
      </c>
      <c r="K48" t="inlineStr">
        <is>
          <t>Limpopo</t>
        </is>
      </c>
      <c r="L48" t="inlineStr">
        <is>
          <t>No</t>
        </is>
      </c>
      <c r="M48" t="inlineStr">
        <is>
          <t>Publishing activities</t>
        </is>
      </c>
      <c r="N48" t="inlineStr">
        <is>
          <t>No</t>
        </is>
      </c>
      <c r="O48" t="inlineStr"/>
      <c r="P48" t="inlineStr">
        <is>
          <t>No</t>
        </is>
      </c>
      <c r="Q48" t="inlineStr">
        <is>
          <t>N/A</t>
        </is>
      </c>
      <c r="R48" s="3" t="inlineStr">
        <is>
          <t>https://www.etenders.gov.za/home/Download/?blobName=7c9cf466-c487-4977-8d29-e935c201a2e9.pdf&amp;downloadedFileName=Publication%20of%20Names%20of%20Bidders%20for%20Supply%20&amp;%20Delivery%20of%20C&amp;I%20Cables.pdf</t>
        </is>
      </c>
      <c r="S48" t="inlineStr"/>
      <c r="T48" t="inlineStr"/>
      <c r="U48" t="inlineStr"/>
      <c r="V48" t="inlineStr"/>
      <c r="W48" t="inlineStr"/>
    </row>
    <row r="49">
      <c r="A49" s="2" t="n">
        <v>46167</v>
      </c>
      <c r="B49" t="n">
        <v>155</v>
      </c>
      <c r="C49" t="inlineStr">
        <is>
          <t>AHT26648</t>
        </is>
      </c>
      <c r="D49" s="2" t="n">
        <v>46163</v>
      </c>
      <c r="E49" s="2" t="n">
        <v>46184</v>
      </c>
      <c r="F49" t="inlineStr">
        <is>
          <t>12:00</t>
        </is>
      </c>
      <c r="G49" t="inlineStr">
        <is>
          <t>Request for Bid(Open-Tender)</t>
        </is>
      </c>
      <c r="H49" t="inlineStr">
        <is>
          <t>SUPPLY AND DELIVERY OF ANALYZER ICP-OES SPECROMETER PPB-PPM CC TO PetroSA IN MOSSEL BAY, WESTERN CAPE</t>
        </is>
      </c>
      <c r="I49" t="inlineStr">
        <is>
          <t>ETENDERS.GOV.ZA</t>
        </is>
      </c>
      <c r="J49" t="inlineStr">
        <is>
          <t>PetroSA</t>
        </is>
      </c>
      <c r="K49" t="inlineStr">
        <is>
          <t>Western Cape</t>
        </is>
      </c>
      <c r="L49" t="inlineStr">
        <is>
          <t>No</t>
        </is>
      </c>
      <c r="M49" t="inlineStr">
        <is>
          <t>Services: Professional</t>
        </is>
      </c>
      <c r="N49" t="inlineStr">
        <is>
          <t>No</t>
        </is>
      </c>
      <c r="O49" t="inlineStr"/>
      <c r="P49" t="inlineStr">
        <is>
          <t>No</t>
        </is>
      </c>
      <c r="Q49" t="inlineStr">
        <is>
          <t>N/A</t>
        </is>
      </c>
      <c r="R49" s="3" t="inlineStr">
        <is>
          <t>https://www.etenders.gov.za/home/Download/?blobName=e479be98-d0cf-45dd-98d4-ae5ad27a6853.pdf&amp;downloadedFileName=HOW%20TO%20SUBMIT%20A%20TENDER%20OR%20QUOTATION.pdf</t>
        </is>
      </c>
      <c r="S49" t="inlineStr"/>
      <c r="T49" t="inlineStr"/>
      <c r="U49" t="inlineStr"/>
      <c r="V49" t="inlineStr"/>
      <c r="W49" t="inlineStr"/>
    </row>
    <row r="50">
      <c r="A50" s="2" t="n">
        <v>46167</v>
      </c>
      <c r="B50" t="n">
        <v>154</v>
      </c>
      <c r="C50" t="inlineStr">
        <is>
          <t>8/3-68/2024</t>
        </is>
      </c>
      <c r="D50" s="2" t="n">
        <v>46163</v>
      </c>
      <c r="E50" s="2" t="n">
        <v>46195</v>
      </c>
      <c r="F50" t="inlineStr">
        <is>
          <t>12:00</t>
        </is>
      </c>
      <c r="G50" t="inlineStr">
        <is>
          <t>Request for Bid(Open-Tender)</t>
        </is>
      </c>
      <c r="H50" t="inlineStr">
        <is>
          <t>Appointment of a panel of electrical contractors for emergency electrical network breakdown assistance for 36 months.</t>
        </is>
      </c>
      <c r="I50" t="inlineStr">
        <is>
          <t>ETENDERS.GOV.ZA</t>
        </is>
      </c>
      <c r="J50" t="inlineStr">
        <is>
          <t>Msukaligwa Local Municipality</t>
        </is>
      </c>
      <c r="K50" t="inlineStr">
        <is>
          <t>Mpumalanga</t>
        </is>
      </c>
      <c r="L50" t="inlineStr">
        <is>
          <t>No</t>
        </is>
      </c>
      <c r="M50" t="inlineStr">
        <is>
          <t>Other service activities</t>
        </is>
      </c>
      <c r="N50" t="inlineStr">
        <is>
          <t>Yes</t>
        </is>
      </c>
      <c r="O50" s="2" t="n">
        <v>46176</v>
      </c>
      <c r="P50" t="inlineStr">
        <is>
          <t>Yes</t>
        </is>
      </c>
      <c r="Q50" t="inlineStr">
        <is>
          <t>Technical Boardroom 3rd Floor</t>
        </is>
      </c>
      <c r="R50" s="3" t="inlineStr">
        <is>
          <t>https://www.etenders.gov.za/home/Download/?blobName=0f118689-fc8b-43e6-8ecf-01c39c89a20c.pdf&amp;downloadedFileName=TENDER%20ADVERT%20MAY%202026.pdf</t>
        </is>
      </c>
      <c r="S50" t="inlineStr"/>
      <c r="T50" t="inlineStr"/>
      <c r="U50" t="inlineStr"/>
      <c r="V50" t="inlineStr"/>
      <c r="W50" t="inlineStr"/>
    </row>
    <row r="51">
      <c r="A51" s="2" t="n">
        <v>46167</v>
      </c>
      <c r="B51" t="n">
        <v>153</v>
      </c>
      <c r="C51" t="inlineStr">
        <is>
          <t>MLM 28/2025/26</t>
        </is>
      </c>
      <c r="D51" s="2" t="n">
        <v>46163</v>
      </c>
      <c r="E51" s="2" t="n">
        <v>46195</v>
      </c>
      <c r="F51" t="inlineStr">
        <is>
          <t>11:00</t>
        </is>
      </c>
      <c r="G51" t="inlineStr">
        <is>
          <t>Request for Quotation</t>
        </is>
      </c>
      <c r="H51" t="inlineStr">
        <is>
          <t>OF MAXIMUM FIVE (5) SERVICE PROVIDERS FOR LEASING OF PLANT OR MACHINERY FOR AREAS WITHIN THE JURISDICTION OF METSIMAHOLO LOCAL MUNICIPALITY FOR ON AN AS-AND- WHEN REQUIRED BASIS FOR A PERIOD OF THREE YEARS.</t>
        </is>
      </c>
      <c r="I51" t="inlineStr">
        <is>
          <t>ETENDERS.GOV.ZA</t>
        </is>
      </c>
      <c r="J51" t="inlineStr">
        <is>
          <t>Metsimaholo Local Municipality</t>
        </is>
      </c>
      <c r="K51" t="inlineStr">
        <is>
          <t>Free State</t>
        </is>
      </c>
      <c r="L51" t="inlineStr">
        <is>
          <t>No</t>
        </is>
      </c>
      <c r="M51" t="inlineStr">
        <is>
          <t>Services: General</t>
        </is>
      </c>
      <c r="N51" t="inlineStr">
        <is>
          <t>Yes</t>
        </is>
      </c>
      <c r="O51" t="inlineStr"/>
      <c r="P51" t="inlineStr">
        <is>
          <t>Yes</t>
        </is>
      </c>
      <c r="Q51" t="inlineStr">
        <is>
          <t>METSIMAHOLO LOCAL MUNICIPALITY, 10 FICHARDT STREET, SASOLBURG, FINANCE BUILDING, 2ND FLOOR, FOYER</t>
        </is>
      </c>
      <c r="R51" s="3" t="inlineStr">
        <is>
          <t>https://www.etenders.gov.za/home/Download/?blobName=e3c9958d-9e52-4428-b3d2-2f12064b22c7.pdf&amp;downloadedFileName=Tender%20Advert%20MAY%202026%204TH%20VERSION%20-%2020%20MAY%202026.pdf</t>
        </is>
      </c>
      <c r="S51" t="inlineStr"/>
      <c r="T51" t="inlineStr"/>
      <c r="U51" t="inlineStr"/>
      <c r="V51" t="inlineStr"/>
      <c r="W51" t="inlineStr"/>
    </row>
    <row r="52">
      <c r="A52" s="2" t="n">
        <v>46167</v>
      </c>
      <c r="B52" t="n">
        <v>152</v>
      </c>
      <c r="C52" t="inlineStr">
        <is>
          <t>BTO 03/2025/2026</t>
        </is>
      </c>
      <c r="D52" s="2" t="n">
        <v>46163</v>
      </c>
      <c r="E52" s="2" t="n">
        <v>46196</v>
      </c>
      <c r="F52" t="inlineStr">
        <is>
          <t>12:00</t>
        </is>
      </c>
      <c r="G52" t="inlineStr">
        <is>
          <t>Request for Bid(Open-Tender)</t>
        </is>
      </c>
      <c r="H52" t="inlineStr">
        <is>
          <t>Appointment of a service provider for printing and distribution of Municipal Consumer Account Statement for Lekwa Local Municipality over a period of 36 months.</t>
        </is>
      </c>
      <c r="I52" t="inlineStr">
        <is>
          <t>ETENDERS.GOV.ZA</t>
        </is>
      </c>
      <c r="J52" t="inlineStr">
        <is>
          <t>Lekwa Local Municipality</t>
        </is>
      </c>
      <c r="K52" t="inlineStr">
        <is>
          <t>Mpumalanga</t>
        </is>
      </c>
      <c r="L52" t="inlineStr">
        <is>
          <t>No</t>
        </is>
      </c>
      <c r="M52" t="inlineStr">
        <is>
          <t>Administrative and support activities</t>
        </is>
      </c>
      <c r="N52" t="inlineStr">
        <is>
          <t>No</t>
        </is>
      </c>
      <c r="O52" t="inlineStr"/>
      <c r="P52" t="inlineStr">
        <is>
          <t>No</t>
        </is>
      </c>
      <c r="Q52" t="inlineStr">
        <is>
          <t>N/A</t>
        </is>
      </c>
      <c r="R52" s="3" t="inlineStr">
        <is>
          <t>https://www.etenders.gov.za/home/Download/?blobName=69242ddb-94ad-446a-a6e0-bf9f00ff963e.pdf&amp;downloadedFileName=Signed%20Tender%20Advert%20May%202026.pdf</t>
        </is>
      </c>
      <c r="S52" t="inlineStr"/>
      <c r="T52" t="inlineStr"/>
      <c r="U52" t="inlineStr"/>
      <c r="V52" t="inlineStr"/>
      <c r="W52" t="inlineStr"/>
    </row>
    <row r="53">
      <c r="A53" s="2" t="n">
        <v>46167</v>
      </c>
      <c r="B53" t="n">
        <v>151</v>
      </c>
      <c r="C53" t="inlineStr">
        <is>
          <t>RFQJW00061DM26</t>
        </is>
      </c>
      <c r="D53" s="2" t="n">
        <v>46163</v>
      </c>
      <c r="E53" s="2" t="n">
        <v>46170</v>
      </c>
      <c r="F53" t="inlineStr">
        <is>
          <t>16:00</t>
        </is>
      </c>
      <c r="G53" t="inlineStr">
        <is>
          <t>Request for Quotation</t>
        </is>
      </c>
      <c r="H53" t="inlineStr">
        <is>
          <t>RFQJW0061DM26 - 2026-2027FY Disaster Management Plan</t>
        </is>
      </c>
      <c r="I53" t="inlineStr">
        <is>
          <t>ETENDERS.GOV.ZA</t>
        </is>
      </c>
      <c r="J53" t="inlineStr">
        <is>
          <t>Johannesburg Water</t>
        </is>
      </c>
      <c r="K53" t="inlineStr">
        <is>
          <t>Gauteng</t>
        </is>
      </c>
      <c r="L53" t="inlineStr">
        <is>
          <t>No</t>
        </is>
      </c>
      <c r="M53" t="inlineStr">
        <is>
          <t>Water supply; sewerage, waste management and remediation activities</t>
        </is>
      </c>
      <c r="N53" t="inlineStr">
        <is>
          <t>No</t>
        </is>
      </c>
      <c r="O53" t="inlineStr"/>
      <c r="P53" t="inlineStr">
        <is>
          <t>No</t>
        </is>
      </c>
      <c r="Q53" t="inlineStr">
        <is>
          <t>N/A</t>
        </is>
      </c>
      <c r="R53" s="3" t="inlineStr">
        <is>
          <t>https://www.etenders.gov.za/home/Download/?blobName=dce017b8-2eb8-4d5d-a157-54259cb2964e.pdf&amp;downloadedFileName=RFQJW0061DM26%20-%20%20%202026-2027FY%20Disaster%20Management%20Plan.pdf</t>
        </is>
      </c>
      <c r="S53" t="inlineStr"/>
      <c r="T53" t="inlineStr"/>
      <c r="U53" t="inlineStr"/>
      <c r="V53" t="inlineStr"/>
      <c r="W53" t="inlineStr"/>
    </row>
    <row r="54">
      <c r="A54" s="2" t="n">
        <v>46167</v>
      </c>
      <c r="B54" t="n">
        <v>150</v>
      </c>
      <c r="C54" t="inlineStr">
        <is>
          <t>TFR/2026/03/0230/2297/RFQ</t>
        </is>
      </c>
      <c r="D54" s="2" t="n">
        <v>46163</v>
      </c>
      <c r="E54" s="2" t="n">
        <v>46182</v>
      </c>
      <c r="F54" t="inlineStr">
        <is>
          <t>10:00</t>
        </is>
      </c>
      <c r="G54" t="inlineStr">
        <is>
          <t>Request for Quotation</t>
        </is>
      </c>
      <c r="H54" t="inlineStr">
        <is>
          <t>Radiography testing of thermite welds, Beaconsfield - Hotazel.</t>
        </is>
      </c>
      <c r="I54" t="inlineStr">
        <is>
          <t>ETENDERS.GOV.ZA</t>
        </is>
      </c>
      <c r="J54" t="inlineStr">
        <is>
          <t>Transnet SOC Ltd</t>
        </is>
      </c>
      <c r="K54" t="inlineStr">
        <is>
          <t>Northern Cape</t>
        </is>
      </c>
      <c r="L54" t="inlineStr">
        <is>
          <t>No</t>
        </is>
      </c>
      <c r="M54" t="inlineStr">
        <is>
          <t>Real estate activities</t>
        </is>
      </c>
      <c r="N54" t="inlineStr">
        <is>
          <t>No</t>
        </is>
      </c>
      <c r="O54" t="inlineStr"/>
      <c r="P54" t="inlineStr">
        <is>
          <t>No</t>
        </is>
      </c>
      <c r="Q54" t="inlineStr">
        <is>
          <t>N/A</t>
        </is>
      </c>
      <c r="R54" s="3" t="inlineStr">
        <is>
          <t>https://www.etenders.gov.za/home/Download/?blobName=d8e62d79-095d-4384-be26-5ba4700d8b8e.pdf&amp;downloadedFileName=TFR%202026%2003%200230%202297%20RFQ.pdf</t>
        </is>
      </c>
      <c r="S54" t="inlineStr"/>
      <c r="T54" t="inlineStr"/>
      <c r="U54" t="inlineStr"/>
      <c r="V54" t="inlineStr"/>
      <c r="W54" t="inlineStr"/>
    </row>
    <row r="55">
      <c r="A55" s="2" t="n">
        <v>46167</v>
      </c>
      <c r="B55" t="n">
        <v>149</v>
      </c>
      <c r="C55" t="inlineStr">
        <is>
          <t>MLM 23/2025/26</t>
        </is>
      </c>
      <c r="D55" s="2" t="n">
        <v>46163</v>
      </c>
      <c r="E55" s="2" t="n">
        <v>46184</v>
      </c>
      <c r="F55" t="inlineStr">
        <is>
          <t>11:00</t>
        </is>
      </c>
      <c r="G55" t="inlineStr">
        <is>
          <t>Request for Quotation</t>
        </is>
      </c>
      <c r="H55" t="inlineStr">
        <is>
          <t>APPOINTMENT OF A SERVICE PROVIDER FOR DATA CLEANSING AND REVENUE DATA PURIFICATION TO CLEANSE, VALIDATE, STANDARDISE AND INTEGRATED MUNICIPAL BILLING AND DEBTOR DATA FOR METSIMAHOLO LOCAL MUNUCIPALITY FOR A PERIOD OF 12 MONTHS.</t>
        </is>
      </c>
      <c r="I55" t="inlineStr">
        <is>
          <t>ETENDERS.GOV.ZA</t>
        </is>
      </c>
      <c r="J55" t="inlineStr">
        <is>
          <t>Metsimaholo Local Municipality</t>
        </is>
      </c>
      <c r="K55" t="inlineStr">
        <is>
          <t>Free State</t>
        </is>
      </c>
      <c r="L55" t="inlineStr">
        <is>
          <t>No</t>
        </is>
      </c>
      <c r="M55" t="inlineStr">
        <is>
          <t>Services: General</t>
        </is>
      </c>
      <c r="N55" t="inlineStr">
        <is>
          <t>Yes</t>
        </is>
      </c>
      <c r="O55" s="2" t="n">
        <v>46170</v>
      </c>
      <c r="P55" t="inlineStr">
        <is>
          <t>Yes</t>
        </is>
      </c>
      <c r="Q55" t="inlineStr">
        <is>
          <t>METSIMAHOLO LOCAL MUNICIPALITY, 10 FICHARDT STREET, SASOLBURG, FINANCE BUILDING, 2ND FLOOR, FOYER</t>
        </is>
      </c>
      <c r="R55" s="3" t="inlineStr">
        <is>
          <t>https://www.etenders.gov.za/home/Download/?blobName=e9f3da10-f920-405b-b211-2d1e721b47b2.pdf&amp;downloadedFileName=Tender%20Advert%20MAY%202026%204TH%20VERSION%20-%2020%20MAY%202026.pdf</t>
        </is>
      </c>
      <c r="S55" t="inlineStr"/>
      <c r="T55" t="inlineStr"/>
      <c r="U55" t="inlineStr"/>
      <c r="V55" t="inlineStr"/>
      <c r="W55" t="inlineStr"/>
    </row>
    <row r="56">
      <c r="A56" s="2" t="n">
        <v>46167</v>
      </c>
      <c r="B56" t="n">
        <v>148</v>
      </c>
      <c r="C56" t="inlineStr">
        <is>
          <t>IZIKO-RFQ-CSM-NMPH-ABUTION 21/05/2026/R</t>
        </is>
      </c>
      <c r="D56" s="2" t="n">
        <v>46163</v>
      </c>
      <c r="E56" s="2" t="n">
        <v>46190</v>
      </c>
      <c r="F56" t="inlineStr">
        <is>
          <t>11:00</t>
        </is>
      </c>
      <c r="G56" t="inlineStr">
        <is>
          <t>Request for Quotation</t>
        </is>
      </c>
      <c r="H56" t="inlineStr">
        <is>
          <t>REQUEST FOR QUOTATION (RFQ) FOR RENTAL OF MOBILE PORTABLE ABLUSION SERVICES FOR A PERIOD OF 24 MONTHS (2 YEARS)</t>
        </is>
      </c>
      <c r="I56" t="inlineStr">
        <is>
          <t>ETENDERS.GOV.ZA</t>
        </is>
      </c>
      <c r="J56" t="inlineStr">
        <is>
          <t>Iziko Museums of Cape Town</t>
        </is>
      </c>
      <c r="K56" t="inlineStr">
        <is>
          <t>Western Cape</t>
        </is>
      </c>
      <c r="L56" t="inlineStr">
        <is>
          <t>No</t>
        </is>
      </c>
      <c r="M56" t="inlineStr">
        <is>
          <t>Rental and leasing activities</t>
        </is>
      </c>
      <c r="N56" t="inlineStr">
        <is>
          <t>No</t>
        </is>
      </c>
      <c r="O56" t="inlineStr"/>
      <c r="P56" t="inlineStr">
        <is>
          <t>No</t>
        </is>
      </c>
      <c r="Q56" t="inlineStr">
        <is>
          <t>N/A</t>
        </is>
      </c>
      <c r="R56" s="3" t="inlineStr">
        <is>
          <t>https://www.etenders.gov.za/home/Download/?blobName=49d6f719-fdc9-4398-b05a-c46e38bcf530.pdf&amp;downloadedFileName=RFQ%20NMPH%20Ablutions%20rental.pdf</t>
        </is>
      </c>
      <c r="S56" t="inlineStr"/>
      <c r="T56" t="inlineStr"/>
      <c r="U56" t="inlineStr"/>
      <c r="V56" t="inlineStr"/>
      <c r="W56" t="inlineStr"/>
    </row>
    <row r="57">
      <c r="A57" s="2" t="n">
        <v>46167</v>
      </c>
      <c r="B57" t="n">
        <v>147</v>
      </c>
      <c r="C57" t="inlineStr">
        <is>
          <t>IZIKO RFQ-CSM-NMPH-CONTAINERS 21/05/2026/R</t>
        </is>
      </c>
      <c r="D57" s="2" t="n">
        <v>46163</v>
      </c>
      <c r="E57" s="2" t="n">
        <v>46177</v>
      </c>
      <c r="F57" t="inlineStr">
        <is>
          <t>11:00</t>
        </is>
      </c>
      <c r="G57" t="inlineStr">
        <is>
          <t>Request for Quotation</t>
        </is>
      </c>
      <c r="H57" t="inlineStr">
        <is>
          <t>REQUEST FOR QUOTATION (RFQ) FOR A SERVICE PROVIDER TO SUPPLY RENTAL OF 4 CONTAINERS OF VARIOUS CONFIGURATIONS FOR A PERIOD OF 24 MONTHS (2 YEARS).</t>
        </is>
      </c>
      <c r="I57" t="inlineStr">
        <is>
          <t>ETENDERS.GOV.ZA</t>
        </is>
      </c>
      <c r="J57" t="inlineStr">
        <is>
          <t>Iziko Museums of Cape Town</t>
        </is>
      </c>
      <c r="K57" t="inlineStr">
        <is>
          <t>Western Cape</t>
        </is>
      </c>
      <c r="L57" t="inlineStr">
        <is>
          <t>No</t>
        </is>
      </c>
      <c r="M57" t="inlineStr">
        <is>
          <t>Rental and leasing activities</t>
        </is>
      </c>
      <c r="N57" t="inlineStr">
        <is>
          <t>No</t>
        </is>
      </c>
      <c r="O57" t="inlineStr"/>
      <c r="P57" t="inlineStr">
        <is>
          <t>No</t>
        </is>
      </c>
      <c r="Q57" t="inlineStr">
        <is>
          <t>N/A</t>
        </is>
      </c>
      <c r="R57" s="3" t="inlineStr">
        <is>
          <t>https://www.etenders.gov.za/home/Download/?blobName=b98a6901-43eb-4eac-a52f-9207425ca1c4.pdf&amp;downloadedFileName=IZIKO-RFQ-CSM-NMPH-Container%20%2022-05-2026.pdf</t>
        </is>
      </c>
      <c r="S57" t="inlineStr"/>
      <c r="T57" t="inlineStr"/>
      <c r="U57" t="inlineStr"/>
      <c r="V57" t="inlineStr"/>
      <c r="W57" t="inlineStr"/>
    </row>
    <row r="58">
      <c r="A58" s="2" t="n">
        <v>46167</v>
      </c>
      <c r="B58" t="n">
        <v>146</v>
      </c>
      <c r="C58" t="inlineStr">
        <is>
          <t>MLM 31/2025/26</t>
        </is>
      </c>
      <c r="D58" s="2" t="n">
        <v>46163</v>
      </c>
      <c r="E58" s="2" t="n">
        <v>46177</v>
      </c>
      <c r="F58" t="inlineStr">
        <is>
          <t>11:00</t>
        </is>
      </c>
      <c r="G58" t="inlineStr">
        <is>
          <t>Request for Quotation</t>
        </is>
      </c>
      <c r="H58" t="inlineStr">
        <is>
          <t>READVERTISEMENT-APPOINTMENT OF A SERVICE PROVIDER FOR PROVISION OF LANGUAGE SERVICES DURING THE COUNCIL MEETINGS FOR ON AN AS-AND- WHEN REQUIRED BASIS FOR A PERIOD OF THREE YEARS.</t>
        </is>
      </c>
      <c r="I58" t="inlineStr">
        <is>
          <t>ETENDERS.GOV.ZA</t>
        </is>
      </c>
      <c r="J58" t="inlineStr">
        <is>
          <t>Metsimaholo Local Municipality</t>
        </is>
      </c>
      <c r="K58" t="inlineStr">
        <is>
          <t>Free State</t>
        </is>
      </c>
      <c r="L58" t="inlineStr">
        <is>
          <t>No</t>
        </is>
      </c>
      <c r="M58" t="inlineStr">
        <is>
          <t>Services: General</t>
        </is>
      </c>
      <c r="N58" t="inlineStr">
        <is>
          <t>No</t>
        </is>
      </c>
      <c r="O58" t="inlineStr"/>
      <c r="P58" t="inlineStr">
        <is>
          <t>No</t>
        </is>
      </c>
      <c r="Q58" t="inlineStr">
        <is>
          <t>N/A</t>
        </is>
      </c>
      <c r="R58" s="3" t="inlineStr">
        <is>
          <t>https://www.etenders.gov.za/home/Download/?blobName=d748fb46-e5c6-4816-9be2-f2fd454bd988.pdf&amp;downloadedFileName=MLM%2031.2025.26%20LANGUAGE%20SERVICES%20-%20READVERT.pdf</t>
        </is>
      </c>
      <c r="S58" t="inlineStr"/>
      <c r="T58" t="inlineStr"/>
      <c r="U58" t="inlineStr"/>
      <c r="V58" t="inlineStr"/>
      <c r="W58" t="inlineStr"/>
    </row>
    <row r="59">
      <c r="A59" s="2" t="n">
        <v>46167</v>
      </c>
      <c r="B59" t="n">
        <v>145</v>
      </c>
      <c r="C59" t="inlineStr">
        <is>
          <t>ERW2506/02</t>
        </is>
      </c>
      <c r="D59" s="2" t="n">
        <v>46163</v>
      </c>
      <c r="E59" s="2" t="n">
        <v>46195</v>
      </c>
      <c r="F59" t="inlineStr">
        <is>
          <t>12:00</t>
        </is>
      </c>
      <c r="G59" t="inlineStr">
        <is>
          <t>Request for Bid(Open-Tender)</t>
        </is>
      </c>
      <c r="H59" t="inlineStr">
        <is>
          <t>APPOINTMENT OF SERVICE PROVIDER/S TO SUPPLY, DELIVERY INSTALLATION OF PUMPS AT ERWAT WATER CARE WORKS ON AN ‘ AS &amp; WHEN REQUIRED’ BASIS FOR A PERIOD OF THIRTY SIX (36) MONTHS</t>
        </is>
      </c>
      <c r="I59" t="inlineStr">
        <is>
          <t>ETENDERS.GOV.ZA</t>
        </is>
      </c>
      <c r="J59" t="inlineStr">
        <is>
          <t>Ekurhuleni Water Care Company (ERWAT)</t>
        </is>
      </c>
      <c r="K59" t="inlineStr">
        <is>
          <t>Gauteng</t>
        </is>
      </c>
      <c r="L59" t="inlineStr">
        <is>
          <t>No</t>
        </is>
      </c>
      <c r="M59" t="inlineStr">
        <is>
          <t>Supplies: Electrical Equipment</t>
        </is>
      </c>
      <c r="N59" t="inlineStr">
        <is>
          <t>Yes</t>
        </is>
      </c>
      <c r="O59" s="2" t="n">
        <v>46182</v>
      </c>
      <c r="P59" t="inlineStr">
        <is>
          <t>Yes</t>
        </is>
      </c>
      <c r="Q59" t="inlineStr">
        <is>
          <t>https://events.teams.microsoft.com/event/e427d994-6724-45fe-86c1-e1be42675160@1d9cdadc-ce7f-46d7-b30</t>
        </is>
      </c>
      <c r="R59" s="3" t="inlineStr">
        <is>
          <t>https://www.etenders.gov.za/home/Download/?blobName=22723ab3-9864-4ff8-81e4-338974a7154c.pdf&amp;downloadedFileName=VARIOUS%20-%20IPAP%20&amp;%20OPS%20(ERW2506.02).pdf</t>
        </is>
      </c>
      <c r="S59" t="inlineStr"/>
      <c r="T59" t="inlineStr"/>
      <c r="U59" t="inlineStr"/>
      <c r="V59" t="inlineStr"/>
      <c r="W59" t="inlineStr"/>
    </row>
    <row r="60">
      <c r="A60" s="2" t="n">
        <v>46167</v>
      </c>
      <c r="B60" t="n">
        <v>144</v>
      </c>
      <c r="C60" t="inlineStr">
        <is>
          <t>217694 Renewal of Manage Engine AD Manager and AD</t>
        </is>
      </c>
      <c r="D60" s="2" t="n">
        <v>46163</v>
      </c>
      <c r="E60" s="2" t="n">
        <v>46169</v>
      </c>
      <c r="F60" t="inlineStr">
        <is>
          <t>10:00</t>
        </is>
      </c>
      <c r="G60" t="inlineStr">
        <is>
          <t>Request for Quotation</t>
        </is>
      </c>
      <c r="H60" t="inlineStr">
        <is>
          <t>217694 Renewal of Manage Engine AD Manager and AD Audit Plus software</t>
        </is>
      </c>
      <c r="I60" t="inlineStr">
        <is>
          <t>ETENDERS.GOV.ZA</t>
        </is>
      </c>
      <c r="J60" t="inlineStr">
        <is>
          <t>Commission for Conciliation Mediation &amp; Arbitration</t>
        </is>
      </c>
      <c r="K60" t="inlineStr">
        <is>
          <t>Gauteng</t>
        </is>
      </c>
      <c r="L60" t="inlineStr">
        <is>
          <t>No</t>
        </is>
      </c>
      <c r="M60" t="inlineStr">
        <is>
          <t>Information and communication</t>
        </is>
      </c>
      <c r="N60" t="inlineStr">
        <is>
          <t>No</t>
        </is>
      </c>
      <c r="O60" t="inlineStr"/>
      <c r="P60" t="inlineStr">
        <is>
          <t>No</t>
        </is>
      </c>
      <c r="Q60" t="inlineStr">
        <is>
          <t>N/A</t>
        </is>
      </c>
      <c r="R60" s="3" t="inlineStr">
        <is>
          <t>https://www.etenders.gov.za/home/Download/?blobName=dc4c41fc-5b05-40b8-b803-f5e52f25ba7f.pdf&amp;downloadedFileName=RFQ217694%20-Renewal%20of%20Manage%20Engine%20AD%20Manager%20and%20AD%20Audit%20Plus%20software.pdf</t>
        </is>
      </c>
      <c r="S60" t="inlineStr"/>
      <c r="T60" t="inlineStr"/>
      <c r="U60" t="inlineStr"/>
      <c r="V60" t="inlineStr"/>
      <c r="W60" t="inlineStr"/>
    </row>
    <row r="61">
      <c r="A61" s="2" t="n">
        <v>46167</v>
      </c>
      <c r="B61" t="n">
        <v>143</v>
      </c>
      <c r="C61" t="inlineStr">
        <is>
          <t>IM1022026</t>
        </is>
      </c>
      <c r="D61" s="2" t="n">
        <v>46163</v>
      </c>
      <c r="E61" s="2" t="n">
        <v>46169</v>
      </c>
      <c r="F61" t="inlineStr">
        <is>
          <t>11:00</t>
        </is>
      </c>
      <c r="G61" t="inlineStr">
        <is>
          <t>Request for Quotation</t>
        </is>
      </c>
      <c r="H61" t="inlineStr">
        <is>
          <t>Request for quote of BEE Verification IM1022026</t>
        </is>
      </c>
      <c r="I61" t="inlineStr">
        <is>
          <t>ETENDERS.GOV.ZA</t>
        </is>
      </c>
      <c r="J61" t="inlineStr">
        <is>
          <t>Tourism</t>
        </is>
      </c>
      <c r="K61" t="inlineStr">
        <is>
          <t>Gauteng</t>
        </is>
      </c>
      <c r="L61" t="inlineStr">
        <is>
          <t>No</t>
        </is>
      </c>
      <c r="M61" t="inlineStr">
        <is>
          <t>Activities auxiliary to financial service and insurance activities.</t>
        </is>
      </c>
      <c r="N61" t="inlineStr">
        <is>
          <t>No</t>
        </is>
      </c>
      <c r="O61" t="inlineStr"/>
      <c r="P61" t="inlineStr">
        <is>
          <t>No</t>
        </is>
      </c>
      <c r="Q61" t="inlineStr">
        <is>
          <t>N/A</t>
        </is>
      </c>
      <c r="R61" s="3" t="inlineStr">
        <is>
          <t>https://www.etenders.gov.za/home/Download/?blobName=3f5da2b3-af26-4e34-83dc-28e5cd46d4e0.pdf&amp;downloadedFileName=SBD4.pdf</t>
        </is>
      </c>
      <c r="S61" t="inlineStr"/>
      <c r="T61" t="inlineStr"/>
      <c r="U61" t="inlineStr"/>
      <c r="V61" t="inlineStr"/>
      <c r="W61" t="inlineStr"/>
    </row>
    <row r="62">
      <c r="A62" s="2" t="n">
        <v>46167</v>
      </c>
      <c r="B62" t="n">
        <v>142</v>
      </c>
      <c r="C62" t="inlineStr">
        <is>
          <t>5-2-1-1-2026-2027-032</t>
        </is>
      </c>
      <c r="D62" s="2" t="n">
        <v>46163</v>
      </c>
      <c r="E62" s="2" t="n">
        <v>46171</v>
      </c>
      <c r="F62" t="inlineStr">
        <is>
          <t>11:00</t>
        </is>
      </c>
      <c r="G62" t="inlineStr">
        <is>
          <t>Request for Quotation</t>
        </is>
      </c>
      <c r="H62" t="inlineStr">
        <is>
          <t>APPOINTMENT OF A SERVICE PROVIDER TO SUPPLY AND DELIVER (12V X 35AH) BATTERIES FOR UNINTERRUPTIBLE POWER SUPPLY (UPS) FOR THE DEPARTMENT OF AGRICULTURE DIRECTORATE: ICT SERVICE DELIVERY &amp; OPERATIONS.</t>
        </is>
      </c>
      <c r="I62" t="inlineStr">
        <is>
          <t>ETENDERS.GOV.ZA</t>
        </is>
      </c>
      <c r="J62" t="inlineStr">
        <is>
          <t>National - Department of Agriculture</t>
        </is>
      </c>
      <c r="K62" t="inlineStr">
        <is>
          <t>Gauteng</t>
        </is>
      </c>
      <c r="L62" t="inlineStr">
        <is>
          <t>No</t>
        </is>
      </c>
      <c r="M62" t="inlineStr">
        <is>
          <t>Supplies: General</t>
        </is>
      </c>
      <c r="N62" t="inlineStr">
        <is>
          <t>No</t>
        </is>
      </c>
      <c r="O62" t="inlineStr"/>
      <c r="P62" t="inlineStr">
        <is>
          <t>No</t>
        </is>
      </c>
      <c r="Q62" t="inlineStr">
        <is>
          <t>N/A</t>
        </is>
      </c>
      <c r="R62" s="3" t="inlineStr">
        <is>
          <t>https://www.etenders.gov.za/home/Download/?blobName=b8ed8849-8081-419a-9b78-2cb090c0ff51.pdf&amp;downloadedFileName=5-2-1-1-2026-2027-032.pdf</t>
        </is>
      </c>
      <c r="S62" t="inlineStr"/>
      <c r="T62" t="inlineStr"/>
      <c r="U62" t="inlineStr"/>
      <c r="V62" t="inlineStr"/>
      <c r="W62" t="inlineStr"/>
    </row>
    <row r="63">
      <c r="A63" s="2" t="n">
        <v>46167</v>
      </c>
      <c r="B63" t="n">
        <v>141</v>
      </c>
      <c r="C63" t="inlineStr">
        <is>
          <t>INF/TEH01/2026</t>
        </is>
      </c>
      <c r="D63" s="2" t="n">
        <v>46163</v>
      </c>
      <c r="E63" s="2" t="n">
        <v>46195</v>
      </c>
      <c r="F63" t="inlineStr">
        <is>
          <t>10:00</t>
        </is>
      </c>
      <c r="G63" t="inlineStr">
        <is>
          <t>Request for Bid(Open-Tender)</t>
        </is>
      </c>
      <c r="H63" t="inlineStr">
        <is>
          <t>BI-ENNUAL CONTRACT FOR THE EXTERNAL HIRE OF VEHICLES &amp; MACHINERY</t>
        </is>
      </c>
      <c r="I63" t="inlineStr">
        <is>
          <t>ETENDERS.GOV.ZA</t>
        </is>
      </c>
      <c r="J63" t="inlineStr">
        <is>
          <t>Solplaatje Local Municipality</t>
        </is>
      </c>
      <c r="K63" t="inlineStr">
        <is>
          <t>Northern Cape</t>
        </is>
      </c>
      <c r="L63" t="inlineStr">
        <is>
          <t>No</t>
        </is>
      </c>
      <c r="M63" t="inlineStr">
        <is>
          <t>Other service activities</t>
        </is>
      </c>
      <c r="N63" t="inlineStr">
        <is>
          <t>No</t>
        </is>
      </c>
      <c r="O63" t="inlineStr"/>
      <c r="P63" t="inlineStr">
        <is>
          <t>No</t>
        </is>
      </c>
      <c r="Q63" t="inlineStr">
        <is>
          <t>N/A</t>
        </is>
      </c>
      <c r="R63" s="3" t="inlineStr">
        <is>
          <t>https://www.etenders.gov.za/home/Download/?blobName=7bdea14c-2329-461f-beee-e9e2b9720b6f.pdf&amp;downloadedFileName=INF%20TEH01%202026%20-%20BIENNUAL%20CONTRACT%20FOR%20THE%20EXTERNAL%20HIRE%20OF%20VEHICLES%20MACHINERY.pdf</t>
        </is>
      </c>
      <c r="S63" t="inlineStr"/>
      <c r="T63" t="inlineStr"/>
      <c r="U63" t="inlineStr"/>
      <c r="V63" t="inlineStr"/>
      <c r="W63" t="inlineStr"/>
    </row>
    <row r="64">
      <c r="A64" s="2" t="n">
        <v>46167</v>
      </c>
      <c r="B64" t="n">
        <v>140</v>
      </c>
      <c r="C64" t="inlineStr">
        <is>
          <t>T22/2026</t>
        </is>
      </c>
      <c r="D64" s="2" t="n">
        <v>46163</v>
      </c>
      <c r="E64" s="2" t="n">
        <v>46178</v>
      </c>
      <c r="F64" t="inlineStr">
        <is>
          <t>12:00</t>
        </is>
      </c>
      <c r="G64" t="inlineStr">
        <is>
          <t>Request for Bid(Open-Tender)</t>
        </is>
      </c>
      <c r="H64" t="inlineStr">
        <is>
          <t>APPOINTMENT OF A CONTRACTOR FOR THE CONSTRUCTION OF WATERBORNE TOILETS WITH TOP STRUCTURES IN PERDEKOP/ SIYAZENZELA – WARD 6.</t>
        </is>
      </c>
      <c r="I64" t="inlineStr">
        <is>
          <t>ETENDERS.GOV.ZA</t>
        </is>
      </c>
      <c r="J64" t="inlineStr">
        <is>
          <t>Dr Pixley Ka Isaka Seme Local Municipality</t>
        </is>
      </c>
      <c r="K64" t="inlineStr">
        <is>
          <t>Mpumalanga</t>
        </is>
      </c>
      <c r="L64" t="inlineStr">
        <is>
          <t>No</t>
        </is>
      </c>
      <c r="M64" t="inlineStr">
        <is>
          <t>Civil engineering</t>
        </is>
      </c>
      <c r="N64" t="inlineStr">
        <is>
          <t>No</t>
        </is>
      </c>
      <c r="O64" t="inlineStr"/>
      <c r="P64" t="inlineStr">
        <is>
          <t>No</t>
        </is>
      </c>
      <c r="Q64" t="inlineStr">
        <is>
          <t>N/A</t>
        </is>
      </c>
      <c r="R64" s="3" t="inlineStr">
        <is>
          <t>https://www.etenders.gov.za/home/Download/?blobName=347ea61d-8efe-4480-a197-bc51f90f4e70.pdf&amp;downloadedFileName=TENDER%20ADVERT.pdf</t>
        </is>
      </c>
      <c r="S64" t="inlineStr"/>
      <c r="T64" t="inlineStr"/>
      <c r="U64" t="inlineStr"/>
      <c r="V64" t="inlineStr"/>
      <c r="W64" t="inlineStr"/>
    </row>
    <row r="65">
      <c r="A65" s="2" t="n">
        <v>46167</v>
      </c>
      <c r="B65" t="n">
        <v>139</v>
      </c>
      <c r="C65" t="inlineStr">
        <is>
          <t>ULM-INFR 016/26</t>
        </is>
      </c>
      <c r="D65" s="2" t="n">
        <v>46163</v>
      </c>
      <c r="E65" s="2" t="n">
        <v>46185</v>
      </c>
      <c r="F65" t="inlineStr">
        <is>
          <t>12:00</t>
        </is>
      </c>
      <c r="G65" t="inlineStr">
        <is>
          <t>Request for Bid(Open-Tender)</t>
        </is>
      </c>
      <c r="H65" t="inlineStr">
        <is>
          <t>Supply and Deliver of Personal Protective Clothing ( PPE) Uniform (12 Months Contract)</t>
        </is>
      </c>
      <c r="I65" t="inlineStr">
        <is>
          <t>ETENDERS.GOV.ZA</t>
        </is>
      </c>
      <c r="J65" t="inlineStr">
        <is>
          <t>Umzimkhulu Local Municipality</t>
        </is>
      </c>
      <c r="K65" t="inlineStr">
        <is>
          <t>KwaZulu-Natal</t>
        </is>
      </c>
      <c r="L65" t="inlineStr">
        <is>
          <t>No</t>
        </is>
      </c>
      <c r="M65" t="inlineStr">
        <is>
          <t>Supplies: Clothing/Textiles/Footwear</t>
        </is>
      </c>
      <c r="N65" t="inlineStr">
        <is>
          <t>Yes</t>
        </is>
      </c>
      <c r="O65" s="2" t="n">
        <v>46175</v>
      </c>
      <c r="P65" t="inlineStr">
        <is>
          <t>Yes</t>
        </is>
      </c>
      <c r="Q65" t="inlineStr">
        <is>
          <t>uMzimkhulu Municipality Makhosini Building Boardroom,247 Mzimkhulu Mlonyana Street, uMzimkhulu 3297.</t>
        </is>
      </c>
      <c r="R65" s="3" t="inlineStr">
        <is>
          <t>https://www.etenders.gov.za/home/Download/?blobName=c4ec135d-99ce-4604-8519-b9b62bbc6ac0.pdf&amp;downloadedFileName=21-05-2026%20TENDER%20ADVERT%20-SUPPLY%20AND%20DELIVER%20OF%20PERSONAL%20PROCTIVE%20CLOTHING%20(%20PPE)%20UNIFORM%20(12%20MONTHS).pdf</t>
        </is>
      </c>
      <c r="S65" t="inlineStr"/>
      <c r="T65" t="inlineStr"/>
      <c r="U65" t="inlineStr"/>
      <c r="V65" t="inlineStr"/>
      <c r="W65" t="inlineStr"/>
    </row>
    <row r="66">
      <c r="A66" s="2" t="n">
        <v>46167</v>
      </c>
      <c r="B66" t="n">
        <v>138</v>
      </c>
      <c r="C66" t="inlineStr">
        <is>
          <t>SENT-005-2026-27</t>
        </is>
      </c>
      <c r="D66" s="2" t="n">
        <v>46163</v>
      </c>
      <c r="E66" s="2" t="n">
        <v>46184</v>
      </c>
      <c r="F66" t="inlineStr">
        <is>
          <t>12:00</t>
        </is>
      </c>
      <c r="G66" t="inlineStr">
        <is>
          <t>Request for Proposal</t>
        </is>
      </c>
      <c r="H66" t="inlineStr">
        <is>
          <t>Appointment of Service Provider(s) into a Framework Agreement for the Repairs, Maintenance and Technical Support for Standby Generators and Control Panels at Various Sentech Transmitter Sites, on an “As and When Required” basis for the Period of three (3) years.</t>
        </is>
      </c>
      <c r="I66" t="inlineStr">
        <is>
          <t>ETENDERS.GOV.ZA</t>
        </is>
      </c>
      <c r="J66" t="inlineStr">
        <is>
          <t>Sentech Limited</t>
        </is>
      </c>
      <c r="K66" t="inlineStr">
        <is>
          <t>National</t>
        </is>
      </c>
      <c r="L66" t="inlineStr">
        <is>
          <t>No</t>
        </is>
      </c>
      <c r="M66" t="inlineStr">
        <is>
          <t>Services: Professional</t>
        </is>
      </c>
      <c r="N66" t="inlineStr">
        <is>
          <t>Yes</t>
        </is>
      </c>
      <c r="O66" s="2" t="n">
        <v>46170</v>
      </c>
      <c r="P66" t="inlineStr">
        <is>
          <t>No</t>
        </is>
      </c>
      <c r="Q66" t="inlineStr">
        <is>
          <t>Microsoft Teams</t>
        </is>
      </c>
      <c r="R66" s="3" t="inlineStr">
        <is>
          <t>https://www.etenders.gov.za/home/Download/?blobName=1ad94282-a25d-4c52-8875-c4218b10db5f.zip&amp;downloadedFileName=BID%20PACK%202.zip</t>
        </is>
      </c>
      <c r="S66" t="inlineStr"/>
      <c r="T66" t="inlineStr"/>
      <c r="U66" t="inlineStr"/>
      <c r="V66" t="inlineStr"/>
      <c r="W66" t="inlineStr"/>
    </row>
    <row r="67">
      <c r="A67" s="2" t="n">
        <v>46167</v>
      </c>
      <c r="B67" t="n">
        <v>137</v>
      </c>
      <c r="C67" t="inlineStr">
        <is>
          <t>BSM 105/26</t>
        </is>
      </c>
      <c r="D67" s="2" t="n">
        <v>46163</v>
      </c>
      <c r="E67" s="2" t="n">
        <v>46195</v>
      </c>
      <c r="F67" t="inlineStr">
        <is>
          <t>12:00</t>
        </is>
      </c>
      <c r="G67" t="inlineStr">
        <is>
          <t>Request for Bid(Open-Tender)</t>
        </is>
      </c>
      <c r="H67" t="inlineStr">
        <is>
          <t>HORTICULTURAL MAINTENANCE, CLEANING, CLEARING, WEEDING AND LITTER PICKING OF VARIOUS MUNICIPAL GARDENS AND PLAYGROUNDS WITHIN STELLENBOSCH MUNICIPALITY (WC024) FOR A PERIOD ENDING 30 JUNE 2029</t>
        </is>
      </c>
      <c r="I67" t="inlineStr">
        <is>
          <t>ETENDERS.GOV.ZA</t>
        </is>
      </c>
      <c r="J67" t="inlineStr">
        <is>
          <t>Stellenbosch Municipality</t>
        </is>
      </c>
      <c r="K67" t="inlineStr">
        <is>
          <t>Western Cape</t>
        </is>
      </c>
      <c r="L67" t="inlineStr">
        <is>
          <t>No</t>
        </is>
      </c>
      <c r="M67" t="inlineStr">
        <is>
          <t>Services: Functional (Including Cleaning and Security Services)</t>
        </is>
      </c>
      <c r="N67" t="inlineStr">
        <is>
          <t>Yes</t>
        </is>
      </c>
      <c r="O67" t="inlineStr"/>
      <c r="P67" t="inlineStr">
        <is>
          <t>Yes</t>
        </is>
      </c>
      <c r="Q67" t="inlineStr">
        <is>
          <t>at Town Hall, 17 Plein Street in Stellenbosch</t>
        </is>
      </c>
      <c r="R67" s="3" t="inlineStr">
        <is>
          <t>https://www.etenders.gov.za/home/Download/?blobName=53a18520-cb40-4c52-be3d-f34751b756ce.pdf&amp;downloadedFileName=Tender%20BSM%20105%2026%20Horticultural%20maintenance%20%20of%20municipal%20gardens%20&amp;%20playgrounds%20in%20WC024%20to%2030%20June%202029.pdf</t>
        </is>
      </c>
      <c r="S67" t="inlineStr"/>
      <c r="T67" t="inlineStr"/>
      <c r="U67" t="inlineStr"/>
      <c r="V67" t="inlineStr"/>
      <c r="W67" t="inlineStr"/>
    </row>
    <row r="68">
      <c r="A68" s="2" t="n">
        <v>46167</v>
      </c>
      <c r="B68" t="n">
        <v>136</v>
      </c>
      <c r="C68" t="inlineStr">
        <is>
          <t>RFP/W-PAHBL/202605/WC Ceres</t>
        </is>
      </c>
      <c r="D68" s="2" t="n">
        <v>46163</v>
      </c>
      <c r="E68" s="2" t="n">
        <v>46255</v>
      </c>
      <c r="F68" t="inlineStr">
        <is>
          <t>23:00</t>
        </is>
      </c>
      <c r="G68" t="inlineStr">
        <is>
          <t>Request for Proposal</t>
        </is>
      </c>
      <c r="H68" t="inlineStr">
        <is>
          <t>Request For Proposal for the Concessioning of Transnet Rail Infrastructure Manager B-Network line for a minimum period of Twenty (25) years.</t>
        </is>
      </c>
      <c r="I68" t="inlineStr">
        <is>
          <t>ETENDERS.GOV.ZA</t>
        </is>
      </c>
      <c r="J68" t="inlineStr">
        <is>
          <t>Transnet SOC Ltd</t>
        </is>
      </c>
      <c r="K68" t="inlineStr">
        <is>
          <t>Western Cape</t>
        </is>
      </c>
      <c r="L68" t="inlineStr">
        <is>
          <t>No</t>
        </is>
      </c>
      <c r="M68" t="inlineStr">
        <is>
          <t>Services: Professional</t>
        </is>
      </c>
      <c r="N68" t="inlineStr">
        <is>
          <t>Yes</t>
        </is>
      </c>
      <c r="O68" s="2" t="n">
        <v>46169</v>
      </c>
      <c r="P68" t="inlineStr">
        <is>
          <t>No</t>
        </is>
      </c>
      <c r="Q68" t="inlineStr">
        <is>
          <t>Microsoft Teams</t>
        </is>
      </c>
      <c r="R68" s="3" t="inlineStr">
        <is>
          <t>https://www.etenders.gov.za/home/Download/?blobName=491fb4d4-5f67-44e3-82c5-a0f0f5ca8120.zip&amp;downloadedFileName=Ceres.zip</t>
        </is>
      </c>
      <c r="S68" t="inlineStr"/>
      <c r="T68" t="inlineStr"/>
      <c r="U68" t="inlineStr"/>
      <c r="V68" t="inlineStr"/>
      <c r="W68" t="inlineStr"/>
    </row>
    <row r="69">
      <c r="A69" s="2" t="n">
        <v>46167</v>
      </c>
      <c r="B69" t="n">
        <v>135</v>
      </c>
      <c r="C69" t="inlineStr">
        <is>
          <t>OHSC/RFQ1/MAY/2026</t>
        </is>
      </c>
      <c r="D69" s="2" t="n">
        <v>46163</v>
      </c>
      <c r="E69" s="2" t="n">
        <v>46171</v>
      </c>
      <c r="F69" t="inlineStr">
        <is>
          <t>11:00</t>
        </is>
      </c>
      <c r="G69" t="inlineStr">
        <is>
          <t>Request for Quotation</t>
        </is>
      </c>
      <c r="H69" t="inlineStr">
        <is>
          <t>PROCUREMENT OF SUPPORT, MAINTENANCE AND ENHANCEMENT OF THE OFFICE OF HEALTH STANDARDS COMPLIANCE (OHSC) CALL CENTER SOLUTIONS FOR A PERIOD OF 12 MONTHS</t>
        </is>
      </c>
      <c r="I69" t="inlineStr">
        <is>
          <t>ETENDERS.GOV.ZA</t>
        </is>
      </c>
      <c r="J69" t="inlineStr">
        <is>
          <t>Office of Health Standards Compliance (OHSC)</t>
        </is>
      </c>
      <c r="K69" t="inlineStr">
        <is>
          <t>Gauteng</t>
        </is>
      </c>
      <c r="L69" t="inlineStr">
        <is>
          <t>No</t>
        </is>
      </c>
      <c r="M69" t="inlineStr">
        <is>
          <t>Administrative and support activities</t>
        </is>
      </c>
      <c r="N69" t="inlineStr">
        <is>
          <t>No</t>
        </is>
      </c>
      <c r="O69" t="inlineStr"/>
      <c r="P69" t="inlineStr">
        <is>
          <t>No</t>
        </is>
      </c>
      <c r="Q69" t="inlineStr">
        <is>
          <t>N/A</t>
        </is>
      </c>
      <c r="R69" s="3" t="inlineStr">
        <is>
          <t>https://www.etenders.gov.za/home/Download/?blobName=d1ad5806-6362-4c2c-a048-21fd21b346d2.pdf&amp;downloadedFileName=REQUEST%20QUOTATIONS%20FOR%20SUPPORT%20AND%20MAINTENANCE%20OF%20OHSC%20CALL%20CENTRE%20OHSC.FF.pdf</t>
        </is>
      </c>
      <c r="S69" t="inlineStr"/>
      <c r="T69" t="inlineStr"/>
      <c r="U69" t="inlineStr"/>
      <c r="V69" t="inlineStr"/>
      <c r="W69" t="inlineStr"/>
    </row>
    <row r="70">
      <c r="A70" s="2" t="n">
        <v>46167</v>
      </c>
      <c r="B70" t="n">
        <v>134</v>
      </c>
      <c r="C70" t="inlineStr">
        <is>
          <t>8/3-67/2024</t>
        </is>
      </c>
      <c r="D70" s="2" t="n">
        <v>46163</v>
      </c>
      <c r="E70" s="2" t="n">
        <v>46195</v>
      </c>
      <c r="F70" t="inlineStr">
        <is>
          <t>12:00</t>
        </is>
      </c>
      <c r="G70" t="inlineStr">
        <is>
          <t>Request for Bid(Open-Tender)</t>
        </is>
      </c>
      <c r="H70" t="inlineStr">
        <is>
          <t>Appointment of a contractor for the installation of 1ml steel elevated tank and construction of booster pump station at Everest Park.</t>
        </is>
      </c>
      <c r="I70" t="inlineStr">
        <is>
          <t>ETENDERS.GOV.ZA</t>
        </is>
      </c>
      <c r="J70" t="inlineStr">
        <is>
          <t>Msukaligwa Local Municipality</t>
        </is>
      </c>
      <c r="K70" t="inlineStr">
        <is>
          <t>Mpumalanga</t>
        </is>
      </c>
      <c r="L70" t="inlineStr">
        <is>
          <t>No</t>
        </is>
      </c>
      <c r="M70" t="inlineStr">
        <is>
          <t>Construction</t>
        </is>
      </c>
      <c r="N70" t="inlineStr">
        <is>
          <t>Yes</t>
        </is>
      </c>
      <c r="O70" s="2" t="n">
        <v>46176</v>
      </c>
      <c r="P70" t="inlineStr">
        <is>
          <t>Yes</t>
        </is>
      </c>
      <c r="Q70" t="inlineStr">
        <is>
          <t>Technical Boardroom 3rd Floor</t>
        </is>
      </c>
      <c r="R70" s="3" t="inlineStr">
        <is>
          <t>https://www.etenders.gov.za/home/Download/?blobName=5fab2eeb-642a-4a34-9228-c58d9b405c45.pdf&amp;downloadedFileName=TENDER%20ADVERT%20MAY%202026.pdf</t>
        </is>
      </c>
      <c r="S70" t="inlineStr"/>
      <c r="T70" t="inlineStr"/>
      <c r="U70" t="inlineStr"/>
      <c r="V70" t="inlineStr"/>
      <c r="W70" t="inlineStr"/>
    </row>
    <row r="71">
      <c r="A71" s="2" t="n">
        <v>46167</v>
      </c>
      <c r="B71" t="n">
        <v>133</v>
      </c>
      <c r="C71" t="inlineStr">
        <is>
          <t>RFQ/SAEON/ELWANDLE/METAL SPECIATION CHEMICALS/46/2</t>
        </is>
      </c>
      <c r="D71" s="2" t="n">
        <v>46163</v>
      </c>
      <c r="E71" s="2" t="n">
        <v>46169</v>
      </c>
      <c r="F71" t="inlineStr">
        <is>
          <t>11:00</t>
        </is>
      </c>
      <c r="G71" t="inlineStr">
        <is>
          <t>Request for Quotation</t>
        </is>
      </c>
      <c r="H71" t="inlineStr">
        <is>
          <t>APPOINTMENT OF A SERVICE PROVIDER FOR THE ONCE-OFF SUPPLY AND DELIVERY OF METAL SPECIATION CHEMICALS AT THE SAEON ELWANDLE NODE, SUMMERSTRAND.</t>
        </is>
      </c>
      <c r="I71" t="inlineStr">
        <is>
          <t>ETENDERS.GOV.ZA</t>
        </is>
      </c>
      <c r="J71" t="inlineStr">
        <is>
          <t>National Research Foundation</t>
        </is>
      </c>
      <c r="K71" t="inlineStr">
        <is>
          <t>Eastern Cape</t>
        </is>
      </c>
      <c r="L71" t="inlineStr">
        <is>
          <t>No</t>
        </is>
      </c>
      <c r="M71" t="inlineStr">
        <is>
          <t>Scientific research and development</t>
        </is>
      </c>
      <c r="N71" t="inlineStr">
        <is>
          <t>No</t>
        </is>
      </c>
      <c r="O71" t="inlineStr"/>
      <c r="P71" t="inlineStr">
        <is>
          <t>No</t>
        </is>
      </c>
      <c r="Q71" t="inlineStr">
        <is>
          <t>N/A</t>
        </is>
      </c>
      <c r="R71" s="3" t="inlineStr">
        <is>
          <t>https://www.etenders.gov.za/home/Download/?blobName=fa8f8cca-fad2-478d-8215-0fd7bb5c3f20.pdf&amp;downloadedFileName=RFQ%20for%20Metal%20Chemicals.pdf</t>
        </is>
      </c>
      <c r="S71" t="inlineStr"/>
      <c r="T71" t="inlineStr"/>
      <c r="U71" t="inlineStr"/>
      <c r="V71" t="inlineStr"/>
      <c r="W71" t="inlineStr"/>
    </row>
    <row r="72">
      <c r="A72" s="2" t="n">
        <v>46167</v>
      </c>
      <c r="B72" t="n">
        <v>132</v>
      </c>
      <c r="C72" t="inlineStr">
        <is>
          <t>NLC/2026-005</t>
        </is>
      </c>
      <c r="D72" s="2" t="n">
        <v>46163</v>
      </c>
      <c r="E72" s="2" t="n">
        <v>46191</v>
      </c>
      <c r="F72" t="inlineStr">
        <is>
          <t>11:00</t>
        </is>
      </c>
      <c r="G72" t="inlineStr">
        <is>
          <t>Request for Bid(Open-Tender)</t>
        </is>
      </c>
      <c r="H72" t="inlineStr">
        <is>
          <t>APPOINTMENT OF A SUITABLY QUALIFIED AND EXPERIENCED SERVICE PROVIDER TO PROVIDE COMPREHENSIVE EMPLOYEE WELLNESS PRORAMME FOR THE NATIONAL LOTTERIES COMMISSION FOR A PERIOD OF THREE YEARS</t>
        </is>
      </c>
      <c r="I72" t="inlineStr">
        <is>
          <t>ETENDERS.GOV.ZA</t>
        </is>
      </c>
      <c r="J72" t="inlineStr">
        <is>
          <t>National Lotteries Commission</t>
        </is>
      </c>
      <c r="K72" t="inlineStr">
        <is>
          <t>National</t>
        </is>
      </c>
      <c r="L72" t="inlineStr">
        <is>
          <t>No</t>
        </is>
      </c>
      <c r="M72" t="inlineStr">
        <is>
          <t>Activities of head offices; management consultancy activities</t>
        </is>
      </c>
      <c r="N72" t="inlineStr">
        <is>
          <t>No</t>
        </is>
      </c>
      <c r="O72" t="inlineStr"/>
      <c r="P72" t="inlineStr">
        <is>
          <t>No</t>
        </is>
      </c>
      <c r="Q72" t="inlineStr">
        <is>
          <t>N/A</t>
        </is>
      </c>
      <c r="R72" s="3" t="inlineStr">
        <is>
          <t>https://www.etenders.gov.za/home/Download/?blobName=638677fb-5d14-4505-8f0d-883a1372035a.pdf&amp;downloadedFileName=NLC2026-005%20NLC%20Employee%20Wellness%20Programme%20for%20a%20period%20of%203%20Years.pdf</t>
        </is>
      </c>
      <c r="S72" t="inlineStr"/>
      <c r="T72" t="inlineStr"/>
      <c r="U72" t="inlineStr"/>
      <c r="V72" t="inlineStr"/>
      <c r="W72" t="inlineStr"/>
    </row>
    <row r="73">
      <c r="A73" s="2" t="n">
        <v>46167</v>
      </c>
      <c r="B73" t="n">
        <v>131</v>
      </c>
      <c r="C73" t="inlineStr">
        <is>
          <t>RFQ NO. 006-26</t>
        </is>
      </c>
      <c r="D73" s="2" t="n">
        <v>46163</v>
      </c>
      <c r="E73" s="2" t="n">
        <v>46170</v>
      </c>
      <c r="F73" t="inlineStr">
        <is>
          <t>11:00</t>
        </is>
      </c>
      <c r="G73" t="inlineStr">
        <is>
          <t>Request for Quotation</t>
        </is>
      </c>
      <c r="H73" t="inlineStr">
        <is>
          <t>APPOINTMENT OF A SERVICE PROVIDER TO SUPPLY AND DELIVER STATIONERY TO THE NRCS BLOEMFONTEIN OFFICES.</t>
        </is>
      </c>
      <c r="I73" t="inlineStr">
        <is>
          <t>ETENDERS.GOV.ZA</t>
        </is>
      </c>
      <c r="J73" t="inlineStr">
        <is>
          <t>National Regulator for Compulsory Specifications</t>
        </is>
      </c>
      <c r="K73" t="inlineStr">
        <is>
          <t>Free State</t>
        </is>
      </c>
      <c r="L73" t="inlineStr">
        <is>
          <t>No</t>
        </is>
      </c>
      <c r="M73" t="inlineStr">
        <is>
          <t>Supplies: Stationery/Printing</t>
        </is>
      </c>
      <c r="N73" t="inlineStr">
        <is>
          <t>No</t>
        </is>
      </c>
      <c r="O73" t="inlineStr"/>
      <c r="P73" t="inlineStr">
        <is>
          <t>No</t>
        </is>
      </c>
      <c r="Q73" t="inlineStr">
        <is>
          <t>N/A</t>
        </is>
      </c>
      <c r="R73" s="3" t="inlineStr">
        <is>
          <t>https://www.etenders.gov.za/home/Download/?blobName=4dd2f746-c079-4490-8395-fe50285c569c.pdf&amp;downloadedFileName=__RFQ006-26%20-%20Bloemfontein%20Stationery.pdf</t>
        </is>
      </c>
      <c r="S73" t="inlineStr"/>
      <c r="T73" t="inlineStr"/>
      <c r="U73" t="inlineStr"/>
      <c r="V73" t="inlineStr"/>
      <c r="W73" t="inlineStr"/>
    </row>
    <row r="74">
      <c r="A74" s="2" t="n">
        <v>46167</v>
      </c>
      <c r="B74" t="n">
        <v>130</v>
      </c>
      <c r="C74" t="inlineStr">
        <is>
          <t>366833</t>
        </is>
      </c>
      <c r="D74" s="2" t="n">
        <v>46163</v>
      </c>
      <c r="E74" s="2" t="n">
        <v>46185</v>
      </c>
      <c r="F74" t="inlineStr">
        <is>
          <t>12:00</t>
        </is>
      </c>
      <c r="G74" t="inlineStr">
        <is>
          <t>Request for Bid(Open-Tender)</t>
        </is>
      </c>
      <c r="H74" t="inlineStr">
        <is>
          <t>Invitation to suitably accredited and experienced certification bodies to submit bids for the provision of ISO Management System Certification Services (ISO 9001:2015, ISO 14001:2015 and ISO 45001:2018) for the organisation’s management system.</t>
        </is>
      </c>
      <c r="I74" t="inlineStr">
        <is>
          <t>ETENDERS.GOV.ZA</t>
        </is>
      </c>
      <c r="J74" t="inlineStr">
        <is>
          <t>DENEL (Pty) Ltd</t>
        </is>
      </c>
      <c r="K74" t="inlineStr">
        <is>
          <t>Gauteng</t>
        </is>
      </c>
      <c r="L74" t="inlineStr">
        <is>
          <t>No</t>
        </is>
      </c>
      <c r="M74" t="inlineStr">
        <is>
          <t>Manufacturing</t>
        </is>
      </c>
      <c r="N74" t="inlineStr">
        <is>
          <t>No</t>
        </is>
      </c>
      <c r="O74" t="inlineStr"/>
      <c r="P74" t="inlineStr">
        <is>
          <t>No</t>
        </is>
      </c>
      <c r="Q74" t="inlineStr">
        <is>
          <t>N/A</t>
        </is>
      </c>
      <c r="R74" s="3" t="inlineStr">
        <is>
          <t>https://www.etenders.gov.za/home/Download/?blobName=44264a3f-6d68-479f-90e3-2af078aa7251.pdf&amp;downloadedFileName=Specification%20for%20ISO%20Management%20System%20Certification%20Services.pdf</t>
        </is>
      </c>
      <c r="S74" t="inlineStr"/>
      <c r="T74" t="inlineStr"/>
      <c r="U74" t="inlineStr"/>
      <c r="V74" t="inlineStr"/>
      <c r="W74" t="inlineStr"/>
    </row>
    <row r="75">
      <c r="A75" s="2" t="n">
        <v>46167</v>
      </c>
      <c r="B75" t="n">
        <v>129</v>
      </c>
      <c r="C75" t="inlineStr">
        <is>
          <t>RFQ 26/27/25</t>
        </is>
      </c>
      <c r="D75" s="2" t="n">
        <v>46163</v>
      </c>
      <c r="E75" s="2" t="n">
        <v>46178</v>
      </c>
      <c r="F75" t="inlineStr">
        <is>
          <t>11:00</t>
        </is>
      </c>
      <c r="G75" t="inlineStr">
        <is>
          <t>Request for Quotation</t>
        </is>
      </c>
      <c r="H75" t="inlineStr">
        <is>
          <t>To secure services of Civil Engineering service provider (Assess and Re-pair, Cracked Pillar) @ Pietermaritzburg Post Office</t>
        </is>
      </c>
      <c r="I75" t="inlineStr">
        <is>
          <t>ETENDERS.GOV.ZA</t>
        </is>
      </c>
      <c r="J75" t="inlineStr">
        <is>
          <t>South African Post Office Limited</t>
        </is>
      </c>
      <c r="K75" t="inlineStr">
        <is>
          <t>KwaZulu-Natal</t>
        </is>
      </c>
      <c r="L75" t="inlineStr">
        <is>
          <t>No</t>
        </is>
      </c>
      <c r="M75" t="inlineStr">
        <is>
          <t>Other personal service activities</t>
        </is>
      </c>
      <c r="N75" t="inlineStr">
        <is>
          <t>Yes</t>
        </is>
      </c>
      <c r="O75" s="2" t="n">
        <v>46170</v>
      </c>
      <c r="P75" t="inlineStr">
        <is>
          <t>Yes</t>
        </is>
      </c>
      <c r="Q75" t="inlineStr">
        <is>
          <t>21 Willowton Road, Pietermaritzburg, 3201, Post office Hub</t>
        </is>
      </c>
      <c r="R75" s="3" t="inlineStr">
        <is>
          <t>https://www.etenders.gov.za/home/Download/?blobName=5fe0c27f-ad1e-44c0-9301-f017145659e4.pdf&amp;downloadedFileName=RFQ_26-27-25_Pietermaritzburg%20Post%20Office%20_%20LM.pdf</t>
        </is>
      </c>
      <c r="S75" t="inlineStr"/>
      <c r="T75" t="inlineStr"/>
      <c r="U75" t="inlineStr"/>
      <c r="V75" t="inlineStr"/>
      <c r="W75" t="inlineStr"/>
    </row>
    <row r="76">
      <c r="A76" s="2" t="n">
        <v>46167</v>
      </c>
      <c r="B76" t="n">
        <v>128</v>
      </c>
      <c r="C76" t="inlineStr">
        <is>
          <t>ASA 05/05/2026</t>
        </is>
      </c>
      <c r="D76" s="2" t="n">
        <v>46163</v>
      </c>
      <c r="E76" s="2" t="n">
        <v>46170</v>
      </c>
      <c r="F76" t="inlineStr">
        <is>
          <t>12:00</t>
        </is>
      </c>
      <c r="G76" t="inlineStr">
        <is>
          <t>Request for Quotation</t>
        </is>
      </c>
      <c r="H76" t="inlineStr">
        <is>
          <t>Request to procure a service provider to provide Psychometric Assessments for (2) two candidates (Executive Manager: Corporate Services) EMCS</t>
        </is>
      </c>
      <c r="I76" t="inlineStr">
        <is>
          <t>ETENDERS.GOV.ZA</t>
        </is>
      </c>
      <c r="J76" t="inlineStr">
        <is>
          <t>Agrément South Africa</t>
        </is>
      </c>
      <c r="K76" t="inlineStr">
        <is>
          <t>National</t>
        </is>
      </c>
      <c r="L76" t="inlineStr">
        <is>
          <t>No</t>
        </is>
      </c>
      <c r="M76" t="inlineStr">
        <is>
          <t>Activities of head offices; management consultancy activities</t>
        </is>
      </c>
      <c r="N76" t="inlineStr">
        <is>
          <t>No</t>
        </is>
      </c>
      <c r="O76" t="inlineStr"/>
      <c r="P76" t="inlineStr">
        <is>
          <t>No</t>
        </is>
      </c>
      <c r="Q76" t="inlineStr">
        <is>
          <t>N/A</t>
        </is>
      </c>
      <c r="R76" s="3" t="inlineStr">
        <is>
          <t>https://www.etenders.gov.za/home/Download/?blobName=ec45a2df-b15f-40fb-b1d0-83cae93cc123.pdf&amp;downloadedFileName=General%20Conditions%20of%20Contract.pdf</t>
        </is>
      </c>
      <c r="S76" t="inlineStr"/>
      <c r="T76" t="inlineStr"/>
      <c r="U76" t="inlineStr"/>
      <c r="V76" t="inlineStr"/>
      <c r="W76" t="inlineStr"/>
    </row>
    <row r="77">
      <c r="A77" s="2" t="n">
        <v>46167</v>
      </c>
      <c r="B77" t="n">
        <v>127</v>
      </c>
      <c r="C77" t="inlineStr">
        <is>
          <t>26-2025/26</t>
        </is>
      </c>
      <c r="D77" s="2" t="n">
        <v>46163</v>
      </c>
      <c r="E77" s="2" t="n">
        <v>46196</v>
      </c>
      <c r="F77" t="inlineStr">
        <is>
          <t>11:00</t>
        </is>
      </c>
      <c r="G77" t="inlineStr">
        <is>
          <t>Request for Bid(Open-Tender)</t>
        </is>
      </c>
      <c r="H77" t="inlineStr">
        <is>
          <t>Panel of Attorneys(legal panel) for the Provision of Specialized Legal Services for a period of three (03) years</t>
        </is>
      </c>
      <c r="I77" t="inlineStr">
        <is>
          <t>ETENDERS.GOV.ZA</t>
        </is>
      </c>
      <c r="J77" t="inlineStr">
        <is>
          <t>Musina Local Municipality</t>
        </is>
      </c>
      <c r="K77" t="inlineStr">
        <is>
          <t>Limpopo</t>
        </is>
      </c>
      <c r="L77" t="inlineStr">
        <is>
          <t>No</t>
        </is>
      </c>
      <c r="M77" t="inlineStr">
        <is>
          <t>Legal and accounting activities</t>
        </is>
      </c>
      <c r="N77" t="inlineStr">
        <is>
          <t>No</t>
        </is>
      </c>
      <c r="O77" t="inlineStr"/>
      <c r="P77" t="inlineStr">
        <is>
          <t>No</t>
        </is>
      </c>
      <c r="Q77" t="inlineStr">
        <is>
          <t>N/A</t>
        </is>
      </c>
      <c r="R77" s="3" t="inlineStr">
        <is>
          <t>https://www.etenders.gov.za/home/Download/?blobName=9fb0d04a-c2e1-4907-bc8f-a7f3fed7a283.pdf&amp;downloadedFileName=Notice%20to%20bidders...pdf</t>
        </is>
      </c>
      <c r="S77" t="inlineStr"/>
      <c r="T77" t="inlineStr"/>
      <c r="U77" t="inlineStr"/>
      <c r="V77" t="inlineStr"/>
      <c r="W77" t="inlineStr"/>
    </row>
    <row r="78">
      <c r="A78" s="2" t="n">
        <v>46167</v>
      </c>
      <c r="B78" t="n">
        <v>126</v>
      </c>
      <c r="C78" t="inlineStr">
        <is>
          <t>ERW2510/02</t>
        </is>
      </c>
      <c r="D78" s="2" t="n">
        <v>46163</v>
      </c>
      <c r="E78" s="2" t="n">
        <v>46198</v>
      </c>
      <c r="F78" t="inlineStr">
        <is>
          <t>12:00</t>
        </is>
      </c>
      <c r="G78" t="inlineStr">
        <is>
          <t>Request for Bid(Open-Tender)</t>
        </is>
      </c>
      <c r="H78" t="inlineStr">
        <is>
          <t>RE-TENDER APPOINTMENT OF PANEL SERVICE PROVIDER/S IN A FRAMEWORK CONTRACT FOR THE SUPPLY, INSTALLATION &amp; COMMISSIONING OF ELECTRICAL DISTRIBUTION SWITCHBOARDS &amp; MOTOR CONTROL CENTRES FOR VARIOUS SITES AT EKURHULENI WATER CARE COMPANY ON AN ‘AS &amp; WHEN REQUIRED’ BASIS FOR A PERIOD OF THIRTY SIX (36) MONTHS</t>
        </is>
      </c>
      <c r="I78" t="inlineStr">
        <is>
          <t>ETENDERS.GOV.ZA</t>
        </is>
      </c>
      <c r="J78" t="inlineStr">
        <is>
          <t>Ekurhuleni Water Care Company (ERWAT)</t>
        </is>
      </c>
      <c r="K78" t="inlineStr">
        <is>
          <t>Gauteng</t>
        </is>
      </c>
      <c r="L78" t="inlineStr">
        <is>
          <t>No</t>
        </is>
      </c>
      <c r="M78" t="inlineStr">
        <is>
          <t>Supplies: Electrical Equipment</t>
        </is>
      </c>
      <c r="N78" t="inlineStr">
        <is>
          <t>Yes</t>
        </is>
      </c>
      <c r="O78" s="2" t="n">
        <v>46184</v>
      </c>
      <c r="P78" t="inlineStr">
        <is>
          <t>Yes</t>
        </is>
      </c>
      <c r="Q78" t="inlineStr">
        <is>
          <t>https://events.teams.microsoft.com/event/1b466f90-7006-4d70-b447-33a3aa02f28c@1d9cdadc-ce7f-46d7-b30</t>
        </is>
      </c>
      <c r="R78" s="3" t="inlineStr">
        <is>
          <t>https://www.etenders.gov.za/home/Download/?blobName=4bc50ef3-56d0-4383-b388-3671b0555271.pdf&amp;downloadedFileName=VARIOUS%20-%20IPAP%20&amp;%20OPS%20(ERW2510.02).pdf</t>
        </is>
      </c>
      <c r="S78" t="inlineStr"/>
      <c r="T78" t="inlineStr"/>
      <c r="U78" t="inlineStr"/>
      <c r="V78" t="inlineStr"/>
      <c r="W78" t="inlineStr"/>
    </row>
    <row r="79">
      <c r="A79" s="2" t="n">
        <v>46167</v>
      </c>
      <c r="B79" t="n">
        <v>125</v>
      </c>
      <c r="C79" t="inlineStr">
        <is>
          <t>E2021DXGP - Tender Validity extension</t>
        </is>
      </c>
      <c r="D79" s="2" t="n">
        <v>46163</v>
      </c>
      <c r="E79" s="2" t="n">
        <v>46171</v>
      </c>
      <c r="F79" t="inlineStr">
        <is>
          <t>10:00</t>
        </is>
      </c>
      <c r="G79" t="inlineStr">
        <is>
          <t>Participation</t>
        </is>
      </c>
      <c r="H79" t="inlineStr">
        <is>
          <t>Tender Validity Extension for The Supply and Delivery of various Vehicles Accessories (including: canopies, single ridder ladders, front roll bars, toolboxes, tow bars and link stick holder) for a period of 36 months on “an as and when required” basis within Gauteng Cluster.</t>
        </is>
      </c>
      <c r="I79" t="inlineStr">
        <is>
          <t>ETENDERS.GOV.ZA</t>
        </is>
      </c>
      <c r="J79" t="inlineStr">
        <is>
          <t>ESKOM</t>
        </is>
      </c>
      <c r="K79" t="inlineStr">
        <is>
          <t>Gauteng</t>
        </is>
      </c>
      <c r="L79" t="inlineStr">
        <is>
          <t>No</t>
        </is>
      </c>
      <c r="M79" t="inlineStr">
        <is>
          <t>Supplies: General</t>
        </is>
      </c>
      <c r="N79" t="inlineStr">
        <is>
          <t>No</t>
        </is>
      </c>
      <c r="O79" t="inlineStr"/>
      <c r="P79" t="inlineStr">
        <is>
          <t>No</t>
        </is>
      </c>
      <c r="Q79" t="inlineStr">
        <is>
          <t>N/A</t>
        </is>
      </c>
      <c r="R79" s="3" t="inlineStr">
        <is>
          <t>https://www.etenders.gov.za/home/Download/?blobName=44442598-bbc1-4e2e-bbe9-c1f14c5d321c.pdf&amp;downloadedFileName=Letter%20to%20Extend%20validity%20period%20of%20Tender%20-%20Vehicle%20Accessories%20(E2021DXGP).pdf</t>
        </is>
      </c>
      <c r="S79" t="inlineStr"/>
      <c r="T79" t="inlineStr"/>
      <c r="U79" t="inlineStr"/>
      <c r="V79" t="inlineStr"/>
      <c r="W79" t="inlineStr"/>
    </row>
    <row r="80">
      <c r="A80" s="2" t="n">
        <v>46167</v>
      </c>
      <c r="B80" t="n">
        <v>124</v>
      </c>
      <c r="C80" t="inlineStr">
        <is>
          <t>RFQ 201977</t>
        </is>
      </c>
      <c r="D80" s="2" t="n">
        <v>46163</v>
      </c>
      <c r="E80" s="2" t="n">
        <v>46168</v>
      </c>
      <c r="F80" t="inlineStr">
        <is>
          <t>11:00</t>
        </is>
      </c>
      <c r="G80" t="inlineStr">
        <is>
          <t>Request for Quotation</t>
        </is>
      </c>
      <c r="H80" t="inlineStr">
        <is>
          <t>The appointment of a service provider to conduct the analysis Fire resistance test in accordance with SANS 10177:2</t>
        </is>
      </c>
      <c r="I80" t="inlineStr">
        <is>
          <t>ETENDERS.GOV.ZA</t>
        </is>
      </c>
      <c r="J80" t="inlineStr">
        <is>
          <t>SA Bureau of Standards</t>
        </is>
      </c>
      <c r="K80" t="inlineStr">
        <is>
          <t>Gauteng</t>
        </is>
      </c>
      <c r="L80" t="inlineStr">
        <is>
          <t>No</t>
        </is>
      </c>
      <c r="M80" t="inlineStr">
        <is>
          <t>Other service activities</t>
        </is>
      </c>
      <c r="N80" t="inlineStr">
        <is>
          <t>No</t>
        </is>
      </c>
      <c r="O80" t="inlineStr"/>
      <c r="P80" t="inlineStr">
        <is>
          <t>No</t>
        </is>
      </c>
      <c r="Q80" t="inlineStr">
        <is>
          <t>N/A</t>
        </is>
      </c>
      <c r="R80" s="3" t="inlineStr">
        <is>
          <t>https://www.etenders.gov.za/home/Download/?blobName=8dd0a49c-8860-4f10-9a42-5b558405fe60.pdf&amp;downloadedFileName=RFQ%20201977%20The%20appointment%20of%20a%20service%20provider%20to%20conduct%20the%20analysis%20Fire%20resistance%20test%20in%20accordance%20with%20SANS.pdf</t>
        </is>
      </c>
      <c r="S80" t="inlineStr"/>
      <c r="T80" t="inlineStr"/>
      <c r="U80" t="inlineStr"/>
      <c r="V80" t="inlineStr"/>
      <c r="W80" t="inlineStr"/>
    </row>
    <row r="81">
      <c r="A81" s="2" t="n">
        <v>46167</v>
      </c>
      <c r="B81" t="n">
        <v>123</v>
      </c>
      <c r="C81" t="inlineStr">
        <is>
          <t>DFFE-RFQ001(26-27)</t>
        </is>
      </c>
      <c r="D81" s="2" t="n">
        <v>46163</v>
      </c>
      <c r="E81" s="2" t="n">
        <v>46185</v>
      </c>
      <c r="F81" t="inlineStr">
        <is>
          <t>11:00</t>
        </is>
      </c>
      <c r="G81" t="inlineStr">
        <is>
          <t>Request for Quotation</t>
        </is>
      </c>
      <c r="H81" t="inlineStr">
        <is>
          <t>THE APPOINTMENT OF A SERVICE PROVIDER TO MAP BUSINESS PROCESSES AND DEVELOP STANDARD OPERATING PROCEDURES (SOPS) FOR ALL SERVICES IN THE DEPARTMENT OF FORESTRY, FISHERIES AND THE ENVIRONMENT FOR A PERIOD OF TWELVE (12) MONTHS</t>
        </is>
      </c>
      <c r="I81" t="inlineStr">
        <is>
          <t>ETENDERS.GOV.ZA</t>
        </is>
      </c>
      <c r="J81" t="inlineStr">
        <is>
          <t>National - Environment, Forestry and Fisheries</t>
        </is>
      </c>
      <c r="K81" t="inlineStr">
        <is>
          <t>National</t>
        </is>
      </c>
      <c r="L81" t="inlineStr">
        <is>
          <t>No</t>
        </is>
      </c>
      <c r="M81" t="inlineStr">
        <is>
          <t>Other service activities</t>
        </is>
      </c>
      <c r="N81" t="inlineStr">
        <is>
          <t>Yes</t>
        </is>
      </c>
      <c r="O81" t="inlineStr"/>
      <c r="P81" t="inlineStr">
        <is>
          <t>No</t>
        </is>
      </c>
      <c r="Q81" t="inlineStr">
        <is>
          <t>teams</t>
        </is>
      </c>
      <c r="R81" s="3" t="inlineStr">
        <is>
          <t>https://www.etenders.gov.za/home/Download/?blobName=f0eeee5f-9918-49a0-a109-5ecab8afaccf.pdf&amp;downloadedFileName=RFQ001(26-27)Advert.pdf</t>
        </is>
      </c>
      <c r="S81" t="inlineStr"/>
      <c r="T81" t="inlineStr"/>
      <c r="U81" t="inlineStr"/>
      <c r="V81" t="inlineStr"/>
      <c r="W81" t="inlineStr"/>
    </row>
    <row r="82">
      <c r="A82" s="2" t="n">
        <v>46167</v>
      </c>
      <c r="B82" t="n">
        <v>122</v>
      </c>
      <c r="C82" t="inlineStr">
        <is>
          <t>TRIM/2026/04/0808/4808/RFQ</t>
        </is>
      </c>
      <c r="D82" s="2" t="n">
        <v>46163</v>
      </c>
      <c r="E82" s="2" t="n">
        <v>46178</v>
      </c>
      <c r="F82" t="inlineStr">
        <is>
          <t>12:00</t>
        </is>
      </c>
      <c r="G82" t="inlineStr">
        <is>
          <t>Request for Quotation</t>
        </is>
      </c>
      <c r="H82" t="inlineStr">
        <is>
          <t>FOR THE REMOVAL, SUPPLY AND INSTALLATION OF ALUMINIUM DOORS AND BLINDS AT EAST LONDON.</t>
        </is>
      </c>
      <c r="I82" t="inlineStr">
        <is>
          <t>ETENDERS.GOV.ZA</t>
        </is>
      </c>
      <c r="J82" t="inlineStr">
        <is>
          <t>Transnet SOC Ltd</t>
        </is>
      </c>
      <c r="K82" t="inlineStr">
        <is>
          <t>Eastern Cape</t>
        </is>
      </c>
      <c r="L82" t="inlineStr">
        <is>
          <t>No</t>
        </is>
      </c>
      <c r="M82" t="inlineStr">
        <is>
          <t>Supplies: General</t>
        </is>
      </c>
      <c r="N82" t="inlineStr">
        <is>
          <t>Yes</t>
        </is>
      </c>
      <c r="O82" s="2" t="n">
        <v>46171</v>
      </c>
      <c r="P82" t="inlineStr">
        <is>
          <t>Yes</t>
        </is>
      </c>
      <c r="Q82" t="inlineStr">
        <is>
          <t>1 Cambridge Street, East London, Eastern Cape</t>
        </is>
      </c>
      <c r="R82" s="3" t="inlineStr">
        <is>
          <t>https://www.etenders.gov.za/home/Download/?blobName=45cd3f09-b491-4910-ae79-b4d260f75575.pdf&amp;downloadedFileName=RFQ%20TRIM-2026-04-0808-4808-RFQ.pdf</t>
        </is>
      </c>
      <c r="S82" t="inlineStr"/>
      <c r="T82" t="inlineStr"/>
      <c r="U82" t="inlineStr"/>
      <c r="V82" t="inlineStr"/>
      <c r="W82" t="inlineStr"/>
    </row>
    <row r="83">
      <c r="A83" s="2" t="n">
        <v>46167</v>
      </c>
      <c r="B83" t="n">
        <v>121</v>
      </c>
      <c r="C83" t="inlineStr">
        <is>
          <t>MLM 29/2025/26</t>
        </is>
      </c>
      <c r="D83" s="2" t="n">
        <v>46163</v>
      </c>
      <c r="E83" s="2" t="n">
        <v>46177</v>
      </c>
      <c r="F83" t="inlineStr">
        <is>
          <t>11:00</t>
        </is>
      </c>
      <c r="G83" t="inlineStr">
        <is>
          <t>Request for Quotation</t>
        </is>
      </c>
      <c r="H83" t="inlineStr">
        <is>
          <t>APPOINTMENT OF A SERVICE PROVIDER TO RENDER VAT RECOVERY SERVICES FOR A PERIOD OF 12 MONTHS.</t>
        </is>
      </c>
      <c r="I83" t="inlineStr">
        <is>
          <t>ETENDERS.GOV.ZA</t>
        </is>
      </c>
      <c r="J83" t="inlineStr">
        <is>
          <t>Metsimaholo Local Municipality</t>
        </is>
      </c>
      <c r="K83" t="inlineStr">
        <is>
          <t>Free State</t>
        </is>
      </c>
      <c r="L83" t="inlineStr">
        <is>
          <t>No</t>
        </is>
      </c>
      <c r="M83" t="inlineStr">
        <is>
          <t>Services: Professional</t>
        </is>
      </c>
      <c r="N83" t="inlineStr">
        <is>
          <t>No</t>
        </is>
      </c>
      <c r="O83" t="inlineStr"/>
      <c r="P83" t="inlineStr">
        <is>
          <t>No</t>
        </is>
      </c>
      <c r="Q83" t="inlineStr">
        <is>
          <t>N/A</t>
        </is>
      </c>
      <c r="R83" s="3" t="inlineStr">
        <is>
          <t>https://www.etenders.gov.za/home/Download/?blobName=4c911990-23c5-4b16-a417-bc944dd0704c.pdf&amp;downloadedFileName=Tender%20Advert%20MAY%202026%204TH%20VERSION%20-%2020%20MAY%202026.pdf</t>
        </is>
      </c>
      <c r="S83" t="inlineStr"/>
      <c r="T83" t="inlineStr"/>
      <c r="U83" t="inlineStr"/>
      <c r="V83" t="inlineStr"/>
      <c r="W83" t="inlineStr"/>
    </row>
    <row r="84">
      <c r="A84" s="2" t="n">
        <v>46167</v>
      </c>
      <c r="B84" t="n">
        <v>120</v>
      </c>
      <c r="C84" t="inlineStr">
        <is>
          <t>1171</t>
        </is>
      </c>
      <c r="D84" s="2" t="n">
        <v>46164</v>
      </c>
      <c r="E84" s="2" t="n">
        <v>46175</v>
      </c>
      <c r="F84" t="inlineStr">
        <is>
          <t>11:00</t>
        </is>
      </c>
      <c r="G84" t="inlineStr">
        <is>
          <t>Request for Quotation</t>
        </is>
      </c>
      <c r="H84" t="inlineStr">
        <is>
          <t>REQUEST FOR THE SAFETY GEAR FOR THE NATIONAL OFFICE AND THE PROVINCES AS PER THE OHS REQUIREMENTS</t>
        </is>
      </c>
      <c r="I84" t="inlineStr">
        <is>
          <t>ETENDERS.GOV.ZA</t>
        </is>
      </c>
      <c r="J84" t="inlineStr">
        <is>
          <t>South African Local Government Association</t>
        </is>
      </c>
      <c r="K84" t="inlineStr">
        <is>
          <t>National</t>
        </is>
      </c>
      <c r="L84" t="inlineStr">
        <is>
          <t>No</t>
        </is>
      </c>
      <c r="M84" t="inlineStr">
        <is>
          <t>Supplies: General</t>
        </is>
      </c>
      <c r="N84" t="inlineStr">
        <is>
          <t>No</t>
        </is>
      </c>
      <c r="O84" t="inlineStr"/>
      <c r="P84" t="inlineStr">
        <is>
          <t>No</t>
        </is>
      </c>
      <c r="Q84" t="inlineStr">
        <is>
          <t>N/A</t>
        </is>
      </c>
      <c r="R84" s="3" t="inlineStr">
        <is>
          <t>https://www.etenders.gov.za/home/Download/?blobName=9ae1ccb8-5441-4b29-87b6-914b584772a0.pdf&amp;downloadedFileName=RFQ%20SPECIFICATION.pdf</t>
        </is>
      </c>
      <c r="S84" t="inlineStr"/>
      <c r="T84" t="inlineStr"/>
      <c r="U84" t="inlineStr"/>
      <c r="V84" t="inlineStr"/>
      <c r="W84" t="inlineStr"/>
    </row>
    <row r="85">
      <c r="A85" s="2" t="n">
        <v>46167</v>
      </c>
      <c r="B85" t="n">
        <v>119</v>
      </c>
      <c r="C85" t="inlineStr">
        <is>
          <t>RFB SAHRA 01/2026</t>
        </is>
      </c>
      <c r="D85" s="2" t="n">
        <v>46164</v>
      </c>
      <c r="E85" s="2" t="n">
        <v>46185</v>
      </c>
      <c r="F85" t="inlineStr">
        <is>
          <t>11:00</t>
        </is>
      </c>
      <c r="G85" t="inlineStr">
        <is>
          <t>Request for Bid(Open-Tender)</t>
        </is>
      </c>
      <c r="H85" t="inlineStr">
        <is>
          <t>TEMPORARY FITTED-OUT OFFICE ACCOMMODATION FOR A PERIOD OF THREE YEARS IN THE CAPE TOWN CITY CENTRE</t>
        </is>
      </c>
      <c r="I85" t="inlineStr">
        <is>
          <t>ETENDERS.GOV.ZA</t>
        </is>
      </c>
      <c r="J85" t="inlineStr">
        <is>
          <t>South African Heritage Resources Agency</t>
        </is>
      </c>
      <c r="K85" t="inlineStr">
        <is>
          <t>Western Cape</t>
        </is>
      </c>
      <c r="L85" t="inlineStr">
        <is>
          <t>No</t>
        </is>
      </c>
      <c r="M85" t="inlineStr">
        <is>
          <t>Accommodation</t>
        </is>
      </c>
      <c r="N85" t="inlineStr">
        <is>
          <t>No</t>
        </is>
      </c>
      <c r="O85" t="inlineStr"/>
      <c r="P85" t="inlineStr">
        <is>
          <t>No</t>
        </is>
      </c>
      <c r="Q85" t="inlineStr">
        <is>
          <t>N/A</t>
        </is>
      </c>
      <c r="R85" s="3" t="inlineStr">
        <is>
          <t>https://www.etenders.gov.za/home/Download/?blobName=c7bc4a2f-ab4c-4c20-8dc8-0bfd5d57411d.pdf&amp;downloadedFileName=TOR%20-Temporary%20Fitted%20Out%20Office%20Accommodation_SAHRA.pdf</t>
        </is>
      </c>
      <c r="S85" t="inlineStr"/>
      <c r="T85" t="inlineStr"/>
      <c r="U85" t="inlineStr"/>
      <c r="V85" t="inlineStr"/>
      <c r="W85" t="inlineStr"/>
    </row>
    <row r="86">
      <c r="A86" s="2" t="n">
        <v>46167</v>
      </c>
      <c r="B86" t="n">
        <v>118</v>
      </c>
      <c r="C86" t="inlineStr">
        <is>
          <t>217695 Headsets &amp; laptop chargers</t>
        </is>
      </c>
      <c r="D86" s="2" t="n">
        <v>46164</v>
      </c>
      <c r="E86" s="2" t="n">
        <v>46170</v>
      </c>
      <c r="F86" t="inlineStr">
        <is>
          <t>10:00</t>
        </is>
      </c>
      <c r="G86" t="inlineStr">
        <is>
          <t>Request for Quotation</t>
        </is>
      </c>
      <c r="H86" t="inlineStr">
        <is>
          <t>217695 Headsets &amp; laptop chargers</t>
        </is>
      </c>
      <c r="I86" t="inlineStr">
        <is>
          <t>ETENDERS.GOV.ZA</t>
        </is>
      </c>
      <c r="J86" t="inlineStr">
        <is>
          <t>Commission for Conciliation Mediation &amp; Arbitration</t>
        </is>
      </c>
      <c r="K86" t="inlineStr">
        <is>
          <t>Gauteng</t>
        </is>
      </c>
      <c r="L86" t="inlineStr">
        <is>
          <t>No</t>
        </is>
      </c>
      <c r="M86" t="inlineStr">
        <is>
          <t>Information and communication</t>
        </is>
      </c>
      <c r="N86" t="inlineStr">
        <is>
          <t>No</t>
        </is>
      </c>
      <c r="O86" t="inlineStr"/>
      <c r="P86" t="inlineStr">
        <is>
          <t>No</t>
        </is>
      </c>
      <c r="Q86" t="inlineStr">
        <is>
          <t>N/A</t>
        </is>
      </c>
      <c r="R86" s="3" t="inlineStr">
        <is>
          <t>https://www.etenders.gov.za/home/Download/?blobName=2f022153-00d4-4ae4-843c-e4b6f74726e3.pdf&amp;downloadedFileName=RFQ%20217695%20-Headsets%20%20and%20Laptop%20chargers.pdf</t>
        </is>
      </c>
      <c r="S86" t="inlineStr"/>
      <c r="T86" t="inlineStr"/>
      <c r="U86" t="inlineStr"/>
      <c r="V86" t="inlineStr"/>
      <c r="W86" t="inlineStr"/>
    </row>
    <row r="87">
      <c r="A87" s="2" t="n">
        <v>46167</v>
      </c>
      <c r="B87" t="n">
        <v>117</v>
      </c>
      <c r="C87" t="inlineStr">
        <is>
          <t>GEP RFP-01-2026</t>
        </is>
      </c>
      <c r="D87" s="2" t="n">
        <v>46164</v>
      </c>
      <c r="E87" s="2" t="n">
        <v>46185</v>
      </c>
      <c r="F87" t="inlineStr">
        <is>
          <t>11:00</t>
        </is>
      </c>
      <c r="G87" t="inlineStr">
        <is>
          <t>Request for Bid(Open-Tender)</t>
        </is>
      </c>
      <c r="H87" t="inlineStr">
        <is>
          <t>REQUEST FOR PROPOSALS (RFP) FOR APPOINTMENT OF A SERVICE PROVIDER TO PRODUCE THE GEP ANNUAL REPORTS FOR THE 2025/2026, 2026/2027, 2027/2028 FINANCIAL YEARS</t>
        </is>
      </c>
      <c r="I87" t="inlineStr">
        <is>
          <t>ETENDERS.GOV.ZA</t>
        </is>
      </c>
      <c r="J87" t="inlineStr">
        <is>
          <t>Gauteng - Gauteng Enterprise Propeller</t>
        </is>
      </c>
      <c r="K87" t="inlineStr">
        <is>
          <t>Gauteng</t>
        </is>
      </c>
      <c r="L87" t="inlineStr">
        <is>
          <t>No</t>
        </is>
      </c>
      <c r="M87" t="inlineStr">
        <is>
          <t>Services: General</t>
        </is>
      </c>
      <c r="N87" t="inlineStr">
        <is>
          <t>Yes</t>
        </is>
      </c>
      <c r="O87" s="2" t="n">
        <v>46171</v>
      </c>
      <c r="P87" t="inlineStr">
        <is>
          <t>Yes</t>
        </is>
      </c>
      <c r="Q87" t="inlineStr">
        <is>
          <t>Microsoft Teams: https://teams.microsoft.com/meet/376363672803438?p=Zpt1wO97ODLU3wz</t>
        </is>
      </c>
      <c r="R87" s="3" t="inlineStr">
        <is>
          <t>https://www.etenders.gov.za/home/Download/?blobName=9a14e4b7-5671-4f5d-94c7-d05f7e725ebc.pdf&amp;downloadedFileName=TENDER%20DOCUMENT%20GEP%20RFP%2001%202026.pdf</t>
        </is>
      </c>
      <c r="S87" t="inlineStr"/>
      <c r="T87" t="inlineStr"/>
      <c r="U87" t="inlineStr"/>
      <c r="V87" t="inlineStr"/>
      <c r="W87" t="inlineStr"/>
    </row>
    <row r="88">
      <c r="A88" s="2" t="n">
        <v>46167</v>
      </c>
      <c r="B88" t="n">
        <v>116</v>
      </c>
      <c r="C88" t="inlineStr">
        <is>
          <t>247Q/2025/26</t>
        </is>
      </c>
      <c r="D88" s="2" t="n">
        <v>46164</v>
      </c>
      <c r="E88" s="2" t="n">
        <v>46210</v>
      </c>
      <c r="F88" t="inlineStr">
        <is>
          <t>10:00</t>
        </is>
      </c>
      <c r="G88" t="inlineStr">
        <is>
          <t>Request for Bid(Open-Tender)</t>
        </is>
      </c>
      <c r="H88" t="inlineStr">
        <is>
          <t>DESIGN, MANUFACTURE, SUPPLY AND INSTALLATION OF 132 KV UNDERGROUND CABLE AND ACCESSORIES FOR GUGULETHU - MITCHELLS PLAIN</t>
        </is>
      </c>
      <c r="I88" t="inlineStr">
        <is>
          <t>ETENDERS.GOV.ZA</t>
        </is>
      </c>
      <c r="J88" t="inlineStr">
        <is>
          <t>City of Cape Town</t>
        </is>
      </c>
      <c r="K88" t="inlineStr">
        <is>
          <t>Western Cape</t>
        </is>
      </c>
      <c r="L88" t="inlineStr">
        <is>
          <t>No</t>
        </is>
      </c>
      <c r="M88" t="inlineStr">
        <is>
          <t>Services: Electrical</t>
        </is>
      </c>
      <c r="N88" t="inlineStr">
        <is>
          <t>Yes</t>
        </is>
      </c>
      <c r="O88" t="inlineStr"/>
      <c r="P88" t="inlineStr">
        <is>
          <t>Yes</t>
        </is>
      </c>
      <c r="Q88" t="inlineStr">
        <is>
          <t>https://teams.microsoft.com/meet/376169782126448?p=Xe 2xCZLvBinwyMXdzB</t>
        </is>
      </c>
      <c r="R88" s="3" t="inlineStr">
        <is>
          <t>https://www.etenders.gov.za/home/Download/?blobName=406854a2-ddca-4ab0-b137-8592604f3268.pdf&amp;downloadedFileName=247Q_2025_26%20Doc.pdf</t>
        </is>
      </c>
      <c r="S88" t="inlineStr"/>
      <c r="T88" t="inlineStr"/>
      <c r="U88" t="inlineStr"/>
      <c r="V88" t="inlineStr"/>
      <c r="W88" t="inlineStr"/>
    </row>
    <row r="89">
      <c r="A89" s="2" t="n">
        <v>46167</v>
      </c>
      <c r="B89" t="n">
        <v>115</v>
      </c>
      <c r="C89" t="inlineStr">
        <is>
          <t>E2792GXMPHENEXTENSIO</t>
        </is>
      </c>
      <c r="D89" s="2" t="n">
        <v>46164</v>
      </c>
      <c r="E89" s="2" t="n">
        <v>46176</v>
      </c>
      <c r="F89" t="inlineStr">
        <is>
          <t>10:00</t>
        </is>
      </c>
      <c r="G89" t="inlineStr">
        <is>
          <t>Request for Bid(Open-Tender)</t>
        </is>
      </c>
      <c r="H89" t="inlineStr">
        <is>
          <t>TENDER CLOSING DATE EXTENSION -PROVISION OF MAINTENANCE, REPAIR AND COMPLIMENTARY SERVICE ON PF BURNERS OF UNITS 02, 04, 05, 06, 07 &amp; 10 ON AN AS AND WHEN REQUIRED BASIS AT HENDRINA POWER STATION FOR A PERIOD OF 5 YEARS</t>
        </is>
      </c>
      <c r="I89" t="inlineStr">
        <is>
          <t>ETENDERS.GOV.ZA</t>
        </is>
      </c>
      <c r="J89" t="inlineStr">
        <is>
          <t>ESKOM</t>
        </is>
      </c>
      <c r="K89" t="inlineStr">
        <is>
          <t>Mpumalanga</t>
        </is>
      </c>
      <c r="L89" t="inlineStr">
        <is>
          <t>No</t>
        </is>
      </c>
      <c r="M89" t="inlineStr">
        <is>
          <t>Services: General</t>
        </is>
      </c>
      <c r="N89" t="inlineStr">
        <is>
          <t>No</t>
        </is>
      </c>
      <c r="O89" t="inlineStr"/>
      <c r="P89" t="inlineStr">
        <is>
          <t>No</t>
        </is>
      </c>
      <c r="Q89" t="inlineStr">
        <is>
          <t>N/A</t>
        </is>
      </c>
      <c r="R89" s="3" t="inlineStr">
        <is>
          <t>https://www.etenders.gov.za/home/Download/?blobName=71c57ade-ec98-4b9e-8f88-4633070d6d56.pdf&amp;downloadedFileName=Signed%20Request%20to%20Extend%20Enquiry%20Closing%20Date.pdf</t>
        </is>
      </c>
      <c r="S89" t="inlineStr"/>
      <c r="T89" t="inlineStr"/>
      <c r="U89" t="inlineStr"/>
      <c r="V89" t="inlineStr"/>
      <c r="W89" t="inlineStr"/>
    </row>
    <row r="90">
      <c r="A90" s="2" t="n">
        <v>46167</v>
      </c>
      <c r="B90" t="n">
        <v>114</v>
      </c>
      <c r="C90" t="inlineStr">
        <is>
          <t>VCW410/WINWTW/25</t>
        </is>
      </c>
      <c r="D90" s="2" t="n">
        <v>46164</v>
      </c>
      <c r="E90" s="2" t="n">
        <v>46192</v>
      </c>
      <c r="F90" t="inlineStr">
        <is>
          <t>12:00</t>
        </is>
      </c>
      <c r="G90" t="inlineStr">
        <is>
          <t>Request for Proposal</t>
        </is>
      </c>
      <c r="H90" t="inlineStr">
        <is>
          <t>UPGRADE AND REFURBISHMENT OF WINBURG WATER TREATMENT WORKS</t>
        </is>
      </c>
      <c r="I90" t="inlineStr">
        <is>
          <t>ETENDERS.GOV.ZA</t>
        </is>
      </c>
      <c r="J90" t="inlineStr">
        <is>
          <t>Vaal Central Water</t>
        </is>
      </c>
      <c r="K90" t="inlineStr">
        <is>
          <t>Free State</t>
        </is>
      </c>
      <c r="L90" t="inlineStr">
        <is>
          <t>No</t>
        </is>
      </c>
      <c r="M90" t="inlineStr">
        <is>
          <t>Construction</t>
        </is>
      </c>
      <c r="N90" t="inlineStr">
        <is>
          <t>Yes</t>
        </is>
      </c>
      <c r="O90" s="2" t="n">
        <v>46177</v>
      </c>
      <c r="P90" t="inlineStr">
        <is>
          <t>Yes</t>
        </is>
      </c>
      <c r="Q90" t="inlineStr">
        <is>
          <t>Winburg Water Treatment Plant</t>
        </is>
      </c>
      <c r="R90" s="3" t="inlineStr">
        <is>
          <t>https://www.etenders.gov.za/home/Download/?blobName=9e5e3472-84f0-4886-b380-bbc5b5f6c89a.xlsx&amp;downloadedFileName=BOQ_WTW%20unpriced%20-%2019%20May%202026.xlsx</t>
        </is>
      </c>
      <c r="S90" t="inlineStr"/>
      <c r="T90" t="inlineStr"/>
      <c r="U90" t="inlineStr"/>
      <c r="V90" t="inlineStr"/>
      <c r="W90" t="inlineStr"/>
    </row>
    <row r="91">
      <c r="A91" s="2" t="n">
        <v>46167</v>
      </c>
      <c r="B91" t="n">
        <v>113</v>
      </c>
      <c r="C91" t="inlineStr">
        <is>
          <t>MMM/BID 818: 2025/2026</t>
        </is>
      </c>
      <c r="D91" s="2" t="n">
        <v>46164</v>
      </c>
      <c r="E91" s="2" t="n">
        <v>46198</v>
      </c>
      <c r="F91" t="inlineStr">
        <is>
          <t>11:30</t>
        </is>
      </c>
      <c r="G91" t="inlineStr">
        <is>
          <t>Request for Bid(Open-Tender)</t>
        </is>
      </c>
      <c r="H91" t="inlineStr">
        <is>
          <t>CULLING OR CAPTURE OF SURPLUS GAME ANIMALS FROM KWAGGAFONTEIN GAME FARM AND FRANKLIN NATURE RESERVE</t>
        </is>
      </c>
      <c r="I91" t="inlineStr">
        <is>
          <t>ETENDERS.GOV.ZA</t>
        </is>
      </c>
      <c r="J91" t="inlineStr">
        <is>
          <t>Mangaung Metropolitan Municipality</t>
        </is>
      </c>
      <c r="K91" t="inlineStr">
        <is>
          <t>Free State</t>
        </is>
      </c>
      <c r="L91" t="inlineStr">
        <is>
          <t>No</t>
        </is>
      </c>
      <c r="M91" t="inlineStr">
        <is>
          <t>Other service activities</t>
        </is>
      </c>
      <c r="N91" t="inlineStr">
        <is>
          <t>Yes</t>
        </is>
      </c>
      <c r="O91" s="2" t="n">
        <v>46182</v>
      </c>
      <c r="P91" t="inlineStr">
        <is>
          <t>Yes</t>
        </is>
      </c>
      <c r="Q91" t="inlineStr">
        <is>
          <t>Supply Chain Management Offices; No.6 Mannion Road, Orangesig; Bloemfontein; 9300</t>
        </is>
      </c>
      <c r="R91" s="3" t="inlineStr">
        <is>
          <t>https://www.etenders.gov.za/home/Download/?blobName=5c502fc1-821a-439a-82af-cda8bf791bea.pdf&amp;downloadedFileName=BID%20BULLETIN%20211.pdf</t>
        </is>
      </c>
      <c r="S91" t="inlineStr"/>
      <c r="T91" t="inlineStr"/>
      <c r="U91" t="inlineStr"/>
      <c r="V91" t="inlineStr"/>
      <c r="W91" t="inlineStr"/>
    </row>
    <row r="92">
      <c r="A92" s="2" t="n">
        <v>46167</v>
      </c>
      <c r="B92" t="n">
        <v>112</v>
      </c>
      <c r="C92" t="inlineStr">
        <is>
          <t>SCMU 13/2026 RE ADVERT</t>
        </is>
      </c>
      <c r="D92" s="2" t="n">
        <v>46164</v>
      </c>
      <c r="E92" s="2" t="n">
        <v>46195</v>
      </c>
      <c r="F92" t="inlineStr">
        <is>
          <t>12:00</t>
        </is>
      </c>
      <c r="G92" t="inlineStr">
        <is>
          <t>Request for Bid(Open-Tender)</t>
        </is>
      </c>
      <c r="H92" t="inlineStr">
        <is>
          <t>REQUEST FOR PROPOSALS FOR COMPUTERIZED MAINTENANCE MANAGEMENT SOFTWARE FOR A PERIOD OF 36 MONTHS</t>
        </is>
      </c>
      <c r="I92" t="inlineStr">
        <is>
          <t>ETENDERS.GOV.ZA</t>
        </is>
      </c>
      <c r="J92" t="inlineStr">
        <is>
          <t>Greater Tzaneen Municipality</t>
        </is>
      </c>
      <c r="K92" t="inlineStr">
        <is>
          <t>Limpopo</t>
        </is>
      </c>
      <c r="L92" t="inlineStr">
        <is>
          <t>No</t>
        </is>
      </c>
      <c r="M92" t="inlineStr">
        <is>
          <t>Services: Electrical</t>
        </is>
      </c>
      <c r="N92" t="inlineStr">
        <is>
          <t>Yes</t>
        </is>
      </c>
      <c r="O92" s="2" t="n">
        <v>46171</v>
      </c>
      <c r="P92" t="inlineStr">
        <is>
          <t>Yes</t>
        </is>
      </c>
      <c r="Q92" t="inlineStr">
        <is>
          <t>GREATER TZANEEN MUNICIPALITY, CIVIC CENTRE. OLD FIRE HALL</t>
        </is>
      </c>
      <c r="R92" s="3" t="inlineStr">
        <is>
          <t>https://www.etenders.gov.za/home/Download/?blobName=ced20a2a-f70a-431c-aa81-5f3dc7431ad1.pdf&amp;downloadedFileName=COMBINED%20MAY%20ADVERT%2003.pdf</t>
        </is>
      </c>
      <c r="S92" t="inlineStr"/>
      <c r="T92" t="inlineStr"/>
      <c r="U92" t="inlineStr"/>
      <c r="V92" t="inlineStr"/>
      <c r="W92" t="inlineStr"/>
    </row>
    <row r="93">
      <c r="A93" s="2" t="n">
        <v>46167</v>
      </c>
      <c r="B93" t="n">
        <v>111</v>
      </c>
      <c r="C93" t="inlineStr">
        <is>
          <t>Q91-2025-26</t>
        </is>
      </c>
      <c r="D93" s="2" t="n">
        <v>46164</v>
      </c>
      <c r="E93" s="2" t="n">
        <v>46175</v>
      </c>
      <c r="F93" t="inlineStr">
        <is>
          <t>10:00</t>
        </is>
      </c>
      <c r="G93" t="inlineStr">
        <is>
          <t>Request for Quotation</t>
        </is>
      </c>
      <c r="H93" t="inlineStr">
        <is>
          <t>ADVERTISEMENT: APPOINTMENT OF A SERVICE PROVIDER FOR THE VERIFICATION OF QUALIFICATIONS AND BACKGROUND SCREENING FOR CURRENT AND PROSPECTIVE EMPLOYEES OF THE CITY OF TSHWANE, WITH EFFECT FROM 1 JULY 2026</t>
        </is>
      </c>
      <c r="I93" t="inlineStr">
        <is>
          <t>ETENDERS.GOV.ZA</t>
        </is>
      </c>
      <c r="J93" t="inlineStr">
        <is>
          <t>City of Tshwane</t>
        </is>
      </c>
      <c r="K93" t="inlineStr">
        <is>
          <t>Gauteng</t>
        </is>
      </c>
      <c r="L93" t="inlineStr">
        <is>
          <t>No</t>
        </is>
      </c>
      <c r="M93" t="inlineStr">
        <is>
          <t>Activities of head offices; management consultancy activities</t>
        </is>
      </c>
      <c r="N93" t="inlineStr">
        <is>
          <t>Yes</t>
        </is>
      </c>
      <c r="O93" s="2" t="n">
        <v>46169</v>
      </c>
      <c r="P93" t="inlineStr">
        <is>
          <t>Yes</t>
        </is>
      </c>
      <c r="Q93" t="inlineStr">
        <is>
          <t>Venue: Microsoft Teams Join the meeting now Meeting ID: 374 888 782 909 3 Passcode: k2ua2L9M</t>
        </is>
      </c>
      <c r="R93" s="3" t="inlineStr">
        <is>
          <t>https://www.etenders.gov.za/home/Download/?blobName=4fcd4a87-6dde-4d93-b76e-15acbba76db1.pdf&amp;downloadedFileName=Q91-2025-26QUOTATION%20DOCUMENT.pdf</t>
        </is>
      </c>
      <c r="S93" t="inlineStr"/>
      <c r="T93" t="inlineStr"/>
      <c r="U93" t="inlineStr"/>
      <c r="V93" t="inlineStr"/>
      <c r="W93" t="inlineStr"/>
    </row>
    <row r="94">
      <c r="A94" s="2" t="n">
        <v>46167</v>
      </c>
      <c r="B94" t="n">
        <v>110</v>
      </c>
      <c r="C94" t="inlineStr">
        <is>
          <t>NLM/TS/SDD/2025/2026</t>
        </is>
      </c>
      <c r="D94" s="2" t="n">
        <v>46164</v>
      </c>
      <c r="E94" s="2" t="n">
        <v>46188</v>
      </c>
      <c r="F94" t="inlineStr">
        <is>
          <t>12:00</t>
        </is>
      </c>
      <c r="G94" t="inlineStr">
        <is>
          <t>Request for Bid(Open-Tender)</t>
        </is>
      </c>
      <c r="H94" t="inlineStr">
        <is>
          <t>SUPPLY AND DELIVERY OF DIESEL FOR A PERIOD OF TWELVE (12) MONTHS</t>
        </is>
      </c>
      <c r="I94" t="inlineStr">
        <is>
          <t>ETENDERS.GOV.ZA</t>
        </is>
      </c>
      <c r="J94" t="inlineStr">
        <is>
          <t>Ntabankulu Local Municipality</t>
        </is>
      </c>
      <c r="K94" t="inlineStr">
        <is>
          <t>Eastern Cape</t>
        </is>
      </c>
      <c r="L94" t="inlineStr">
        <is>
          <t>No</t>
        </is>
      </c>
      <c r="M94" t="inlineStr">
        <is>
          <t>Supplies: General</t>
        </is>
      </c>
      <c r="N94" t="inlineStr">
        <is>
          <t>Yes</t>
        </is>
      </c>
      <c r="O94" t="inlineStr"/>
      <c r="P94" t="inlineStr">
        <is>
          <t>Yes</t>
        </is>
      </c>
      <c r="Q94" t="inlineStr">
        <is>
          <t>N/A</t>
        </is>
      </c>
      <c r="R94" s="3" t="inlineStr">
        <is>
          <t>https://www.etenders.gov.za/home/Download/?blobName=5eb4ed3c-b841-48c4-9ac4-a692cd671651.pdf&amp;downloadedFileName=Supply%20and%20Delivery%20of%20Diesel%20for%2012%20Months.pdf</t>
        </is>
      </c>
      <c r="S94" t="inlineStr"/>
      <c r="T94" t="inlineStr"/>
      <c r="U94" t="inlineStr"/>
      <c r="V94" t="inlineStr"/>
      <c r="W94" t="inlineStr"/>
    </row>
    <row r="95">
      <c r="A95" s="2" t="n">
        <v>46167</v>
      </c>
      <c r="B95" t="n">
        <v>109</v>
      </c>
      <c r="C95" t="inlineStr">
        <is>
          <t>MLM 08/25/26</t>
        </is>
      </c>
      <c r="D95" s="2" t="n">
        <v>46164</v>
      </c>
      <c r="E95" s="2" t="n">
        <v>46199</v>
      </c>
      <c r="F95" t="inlineStr">
        <is>
          <t>11:00</t>
        </is>
      </c>
      <c r="G95" t="inlineStr">
        <is>
          <t>Request for Bid(Open-Tender)</t>
        </is>
      </c>
      <c r="H95" t="inlineStr">
        <is>
          <t>Appointment of a Pound Master/Animal Pound Services for Mantsopa Local Municipality (Three Years Period)</t>
        </is>
      </c>
      <c r="I95" t="inlineStr">
        <is>
          <t>ETENDERS.GOV.ZA</t>
        </is>
      </c>
      <c r="J95" t="inlineStr">
        <is>
          <t>Mantsopa Local Municipality</t>
        </is>
      </c>
      <c r="K95" t="inlineStr">
        <is>
          <t>Free State</t>
        </is>
      </c>
      <c r="L95" t="inlineStr">
        <is>
          <t>No</t>
        </is>
      </c>
      <c r="M95" t="inlineStr">
        <is>
          <t>Agricultural Products and Services</t>
        </is>
      </c>
      <c r="N95" t="inlineStr">
        <is>
          <t>Yes</t>
        </is>
      </c>
      <c r="O95" t="inlineStr"/>
      <c r="P95" t="inlineStr">
        <is>
          <t>Yes</t>
        </is>
      </c>
      <c r="Q95" t="inlineStr">
        <is>
          <t>Manyatseng Council Chamber</t>
        </is>
      </c>
      <c r="R95" s="3" t="inlineStr">
        <is>
          <t>https://www.etenders.gov.za/home/Download/?blobName=6115a18e-ff01-4214-a5ab-7c85bdfb6256.pdf&amp;downloadedFileName=ADVERT-%20VARIOUS%20BIDS%20-%2022%20MAY%202026.pdf</t>
        </is>
      </c>
      <c r="S95" t="inlineStr"/>
      <c r="T95" t="inlineStr"/>
      <c r="U95" t="inlineStr"/>
      <c r="V95" t="inlineStr"/>
      <c r="W95" t="inlineStr"/>
    </row>
    <row r="96">
      <c r="A96" s="2" t="n">
        <v>46167</v>
      </c>
      <c r="B96" t="n">
        <v>108</v>
      </c>
      <c r="C96" t="inlineStr">
        <is>
          <t>NRA 2025/0493</t>
        </is>
      </c>
      <c r="D96" s="2" t="n">
        <v>46164</v>
      </c>
      <c r="E96" s="2" t="n">
        <v>46198</v>
      </c>
      <c r="F96" t="inlineStr">
        <is>
          <t>12:00</t>
        </is>
      </c>
      <c r="G96" t="inlineStr">
        <is>
          <t>Request for Bid(Open-Tender)</t>
        </is>
      </c>
      <c r="H96" t="inlineStr">
        <is>
          <t>THE PROVISION OF A DEBT SPONSOR FOR A PERIOD OF SIXTY (60) MONTHS</t>
        </is>
      </c>
      <c r="I96" t="inlineStr">
        <is>
          <t>ETENDERS.GOV.ZA</t>
        </is>
      </c>
      <c r="J96" t="inlineStr">
        <is>
          <t>South African National Roads Agency Soc Limited (SANRAL)</t>
        </is>
      </c>
      <c r="K96" t="inlineStr">
        <is>
          <t>National</t>
        </is>
      </c>
      <c r="L96" t="inlineStr">
        <is>
          <t>No</t>
        </is>
      </c>
      <c r="M96" t="inlineStr">
        <is>
          <t>Other service activities</t>
        </is>
      </c>
      <c r="N96" t="inlineStr">
        <is>
          <t>No</t>
        </is>
      </c>
      <c r="O96" t="inlineStr"/>
      <c r="P96" t="inlineStr">
        <is>
          <t>No</t>
        </is>
      </c>
      <c r="Q96" t="inlineStr">
        <is>
          <t>N/A</t>
        </is>
      </c>
      <c r="R96" s="3" t="inlineStr">
        <is>
          <t>https://www.etenders.gov.za/home/Download/?blobName=f4a7b72b-962c-406e-9f9c-a77ae06c4dcd.pdf&amp;downloadedFileName=RFP%20Document%20-%2067190-1990-2025-01%20-%20Debt%20Sponsor.pdf</t>
        </is>
      </c>
      <c r="S96" t="inlineStr"/>
      <c r="T96" t="inlineStr"/>
      <c r="U96" t="inlineStr"/>
      <c r="V96" t="inlineStr"/>
      <c r="W96" t="inlineStr"/>
    </row>
    <row r="97">
      <c r="A97" s="2" t="n">
        <v>46167</v>
      </c>
      <c r="B97" t="n">
        <v>107</v>
      </c>
      <c r="C97" t="inlineStr">
        <is>
          <t>MMM/BID 819: 2025/2026</t>
        </is>
      </c>
      <c r="D97" s="2" t="n">
        <v>46164</v>
      </c>
      <c r="E97" s="2" t="n">
        <v>46199</v>
      </c>
      <c r="F97" t="inlineStr">
        <is>
          <t>11:30</t>
        </is>
      </c>
      <c r="G97" t="inlineStr">
        <is>
          <t>Request for Bid(Open-Tender)</t>
        </is>
      </c>
      <c r="H97" t="inlineStr">
        <is>
          <t>APPOINTMENT OF A SERVICE PROVIDER FOR FELLING OF TREES IN THE MANGAUNG METROPOLITAN MUNICIPALITY.</t>
        </is>
      </c>
      <c r="I97" t="inlineStr">
        <is>
          <t>ETENDERS.GOV.ZA</t>
        </is>
      </c>
      <c r="J97" t="inlineStr">
        <is>
          <t>Mangaung Metropolitan Municipality</t>
        </is>
      </c>
      <c r="K97" t="inlineStr">
        <is>
          <t>Free State</t>
        </is>
      </c>
      <c r="L97" t="inlineStr">
        <is>
          <t>No</t>
        </is>
      </c>
      <c r="M97" t="inlineStr">
        <is>
          <t>Other service activities</t>
        </is>
      </c>
      <c r="N97" t="inlineStr">
        <is>
          <t>Yes</t>
        </is>
      </c>
      <c r="O97" s="2" t="n">
        <v>46183</v>
      </c>
      <c r="P97" t="inlineStr">
        <is>
          <t>Yes</t>
        </is>
      </c>
      <c r="Q97" t="inlineStr">
        <is>
          <t>Floreat Hall, Bram Fischer Building Cnr. Maakraf &amp; Nelson Mandela</t>
        </is>
      </c>
      <c r="R97" s="3" t="inlineStr">
        <is>
          <t>https://www.etenders.gov.za/home/Download/?blobName=60866975-4de2-43b5-88f1-688fea2cbe06.pdf&amp;downloadedFileName=BID%20BULLETIN%20211.pdf</t>
        </is>
      </c>
      <c r="S97" t="inlineStr"/>
      <c r="T97" t="inlineStr"/>
      <c r="U97" t="inlineStr"/>
      <c r="V97" t="inlineStr"/>
      <c r="W97" t="inlineStr"/>
    </row>
    <row r="98">
      <c r="A98" s="2" t="n">
        <v>46167</v>
      </c>
      <c r="B98" t="n">
        <v>106</v>
      </c>
      <c r="C98" t="inlineStr">
        <is>
          <t>IZIKO RFQ-CYP 22/05/2026/R</t>
        </is>
      </c>
      <c r="D98" s="2" t="n">
        <v>46164</v>
      </c>
      <c r="E98" s="2" t="n">
        <v>46176</v>
      </c>
      <c r="F98" t="inlineStr">
        <is>
          <t>11:00</t>
        </is>
      </c>
      <c r="G98" t="inlineStr">
        <is>
          <t>Request for Quotation</t>
        </is>
      </c>
      <c r="H98" t="inlineStr">
        <is>
          <t>Removal and Relocation of Gaiasphere</t>
        </is>
      </c>
      <c r="I98" t="inlineStr">
        <is>
          <t>ETENDERS.GOV.ZA</t>
        </is>
      </c>
      <c r="J98" t="inlineStr">
        <is>
          <t>Iziko Museums of Cape Town</t>
        </is>
      </c>
      <c r="K98" t="inlineStr">
        <is>
          <t>Western Cape</t>
        </is>
      </c>
      <c r="L98" t="inlineStr">
        <is>
          <t>No</t>
        </is>
      </c>
      <c r="M98" t="inlineStr">
        <is>
          <t>Arts, entertainment and recreation</t>
        </is>
      </c>
      <c r="N98" t="inlineStr">
        <is>
          <t>Yes</t>
        </is>
      </c>
      <c r="O98" t="inlineStr"/>
      <c r="P98" t="inlineStr">
        <is>
          <t>No</t>
        </is>
      </c>
      <c r="Q98" t="inlineStr">
        <is>
          <t>Iziko Museums 25 Queen Victoria Str Cape Town</t>
        </is>
      </c>
      <c r="R98" s="3" t="inlineStr">
        <is>
          <t>https://www.etenders.gov.za/home/Download/?blobName=88e01606-9a64-4b86-8ac9-de64b8c18bff.pdf&amp;downloadedFileName=Gaiasphere%20RFQ.pdf</t>
        </is>
      </c>
      <c r="S98" t="inlineStr"/>
      <c r="T98" t="inlineStr"/>
      <c r="U98" t="inlineStr"/>
      <c r="V98" t="inlineStr"/>
      <c r="W98" t="inlineStr"/>
    </row>
    <row r="99">
      <c r="A99" s="2" t="n">
        <v>46167</v>
      </c>
      <c r="B99" t="n">
        <v>105</v>
      </c>
      <c r="C99" t="inlineStr">
        <is>
          <t>IYM01/05/2026Q</t>
        </is>
      </c>
      <c r="D99" s="2" t="n">
        <v>46164</v>
      </c>
      <c r="E99" s="2" t="n">
        <v>46171</v>
      </c>
      <c r="F99" t="inlineStr">
        <is>
          <t>12:00</t>
        </is>
      </c>
      <c r="G99" t="inlineStr">
        <is>
          <t>Request for Quotation</t>
        </is>
      </c>
      <c r="H99" t="inlineStr">
        <is>
          <t>SUPPLY AND DELIVERY OF ELECTRICAL MATERIAL FOR BOTH UNITS (CRADOCK AND MIDDELBURG)</t>
        </is>
      </c>
      <c r="I99" t="inlineStr">
        <is>
          <t>ETENDERS.GOV.ZA</t>
        </is>
      </c>
      <c r="J99" t="inlineStr">
        <is>
          <t>Inxuba Yethemba Local Municipality</t>
        </is>
      </c>
      <c r="K99" t="inlineStr">
        <is>
          <t>Eastern Cape</t>
        </is>
      </c>
      <c r="L99" t="inlineStr">
        <is>
          <t>No</t>
        </is>
      </c>
      <c r="M99" t="inlineStr">
        <is>
          <t>Supplies: Electrical Equipment</t>
        </is>
      </c>
      <c r="N99" t="inlineStr">
        <is>
          <t>No</t>
        </is>
      </c>
      <c r="O99" t="inlineStr"/>
      <c r="P99" t="inlineStr">
        <is>
          <t>No</t>
        </is>
      </c>
      <c r="Q99" t="inlineStr">
        <is>
          <t>N/A</t>
        </is>
      </c>
      <c r="R99" s="3" t="inlineStr">
        <is>
          <t>https://www.etenders.gov.za/home/Download/?blobName=791ae810-645c-46ec-8d36-5ebdc0e2f031.pdf&amp;downloadedFileName=RFQ%20Electrical%20Material.pdf</t>
        </is>
      </c>
      <c r="S99" t="inlineStr"/>
      <c r="T99" t="inlineStr"/>
      <c r="U99" t="inlineStr"/>
      <c r="V99" t="inlineStr"/>
      <c r="W99" t="inlineStr"/>
    </row>
    <row r="100">
      <c r="A100" s="2" t="n">
        <v>46167</v>
      </c>
      <c r="B100" t="n">
        <v>104</v>
      </c>
      <c r="C100" t="inlineStr">
        <is>
          <t>OVI012605RFQ00000011</t>
        </is>
      </c>
      <c r="D100" s="2" t="n">
        <v>46164</v>
      </c>
      <c r="E100" s="2" t="n">
        <v>46171</v>
      </c>
      <c r="F100" t="inlineStr">
        <is>
          <t>15:00</t>
        </is>
      </c>
      <c r="G100" t="inlineStr">
        <is>
          <t>Request for Quotation</t>
        </is>
      </c>
      <c r="H100" t="inlineStr">
        <is>
          <t>OVI012605RFQ00000011</t>
        </is>
      </c>
      <c r="I100" t="inlineStr">
        <is>
          <t>ETENDERS.GOV.ZA</t>
        </is>
      </c>
      <c r="J100" t="inlineStr">
        <is>
          <t>Agricultural Research Council</t>
        </is>
      </c>
      <c r="K100" t="inlineStr">
        <is>
          <t>Gauteng</t>
        </is>
      </c>
      <c r="L100" t="inlineStr">
        <is>
          <t>No</t>
        </is>
      </c>
      <c r="M100" t="inlineStr">
        <is>
          <t>Other service activities</t>
        </is>
      </c>
      <c r="N100" t="inlineStr">
        <is>
          <t>No</t>
        </is>
      </c>
      <c r="O100" t="inlineStr"/>
      <c r="P100" t="inlineStr">
        <is>
          <t>No</t>
        </is>
      </c>
      <c r="Q100" t="inlineStr">
        <is>
          <t>N/A</t>
        </is>
      </c>
      <c r="R100" s="3" t="inlineStr">
        <is>
          <t>https://www.etenders.gov.za/home/Download/?blobName=bf39f30a-ad81-4a8c-8364-6815e167edf0.odt&amp;downloadedFileName=specs%20ethanol.odt</t>
        </is>
      </c>
      <c r="S100" t="inlineStr"/>
      <c r="T100" t="inlineStr"/>
      <c r="U100" t="inlineStr"/>
      <c r="V100" t="inlineStr"/>
      <c r="W100" t="inlineStr"/>
    </row>
    <row r="101">
      <c r="A101" s="2" t="n">
        <v>46167</v>
      </c>
      <c r="B101" t="n">
        <v>103</v>
      </c>
      <c r="C101" t="inlineStr">
        <is>
          <t>SSC WC 07 (2026/2027) DLRRD</t>
        </is>
      </c>
      <c r="D101" s="2" t="n">
        <v>46164</v>
      </c>
      <c r="E101" s="2" t="n">
        <v>46185</v>
      </c>
      <c r="F101" t="inlineStr">
        <is>
          <t>11:00</t>
        </is>
      </c>
      <c r="G101" t="inlineStr">
        <is>
          <t>Request for Bid(Open-Tender)</t>
        </is>
      </c>
      <c r="H101" t="inlineStr">
        <is>
          <t>THE APPOINTMENT OF A CONTRACTOR FOR THE UPGRADING OF EXISTING OPEN STORM-WATER CHANNEL TO AN UNDERGROUND PIPED SYSTEM IN PINE-VALLEY, WITZENBERG, MUNICIPALITY, WESTERN CAPE PROVINCE</t>
        </is>
      </c>
      <c r="I101" t="inlineStr">
        <is>
          <t>ETENDERS.GOV.ZA</t>
        </is>
      </c>
      <c r="J101" t="inlineStr">
        <is>
          <t>Department of Agriculture, Land Reform &amp; Rural Development</t>
        </is>
      </c>
      <c r="K101" t="inlineStr">
        <is>
          <t>Western Cape</t>
        </is>
      </c>
      <c r="L101" t="inlineStr">
        <is>
          <t>No</t>
        </is>
      </c>
      <c r="M101" t="inlineStr">
        <is>
          <t>Services: Civil</t>
        </is>
      </c>
      <c r="N101" t="inlineStr">
        <is>
          <t>Yes</t>
        </is>
      </c>
      <c r="O101" s="2" t="n">
        <v>46174</v>
      </c>
      <c r="P101" t="inlineStr">
        <is>
          <t>Yes</t>
        </is>
      </c>
      <c r="Q101" t="inlineStr">
        <is>
          <t>Witzenberg Local Municipality Offices, Corner of Voortrekker and Lyell Street</t>
        </is>
      </c>
      <c r="R101" s="3" t="inlineStr">
        <is>
          <t>https://www.etenders.gov.za/home/Download/?blobName=872f04f1-e4ee-4d54-b474-deeb94ad5696.pdf&amp;downloadedFileName=SSC%20WC%2007%20Pinevalley%20Tender%20Document%20-%201%20JUNE%202026.pdf</t>
        </is>
      </c>
      <c r="S101" t="inlineStr"/>
      <c r="T101" t="inlineStr"/>
      <c r="U101" t="inlineStr"/>
      <c r="V101" t="inlineStr"/>
      <c r="W101" t="inlineStr"/>
    </row>
    <row r="102">
      <c r="A102" s="2" t="n">
        <v>46167</v>
      </c>
      <c r="B102" t="n">
        <v>102</v>
      </c>
      <c r="C102" t="inlineStr">
        <is>
          <t>MLM 09/25/26</t>
        </is>
      </c>
      <c r="D102" s="2" t="n">
        <v>46164</v>
      </c>
      <c r="E102" s="2" t="n">
        <v>46199</v>
      </c>
      <c r="F102" t="inlineStr">
        <is>
          <t>11:00</t>
        </is>
      </c>
      <c r="G102" t="inlineStr">
        <is>
          <t>Request for Bid(Open-Tender)</t>
        </is>
      </c>
      <c r="H102" t="inlineStr">
        <is>
          <t>Supply, Delivery and Off-Loading of Technical Services Material (Panel) “As When and Required Basis for a Period of Three Years for Mantsopa Local Municipality.</t>
        </is>
      </c>
      <c r="I102" t="inlineStr">
        <is>
          <t>ETENDERS.GOV.ZA</t>
        </is>
      </c>
      <c r="J102" t="inlineStr">
        <is>
          <t>Mantsopa Local Municipality</t>
        </is>
      </c>
      <c r="K102" t="inlineStr">
        <is>
          <t>Free State</t>
        </is>
      </c>
      <c r="L102" t="inlineStr">
        <is>
          <t>No</t>
        </is>
      </c>
      <c r="M102" t="inlineStr">
        <is>
          <t>Supplies: General</t>
        </is>
      </c>
      <c r="N102" t="inlineStr">
        <is>
          <t>Yes</t>
        </is>
      </c>
      <c r="O102" s="2" t="n">
        <v>46171</v>
      </c>
      <c r="P102" t="inlineStr">
        <is>
          <t>Yes</t>
        </is>
      </c>
      <c r="Q102" t="inlineStr">
        <is>
          <t>Manyatseng Council Chamber</t>
        </is>
      </c>
      <c r="R102" s="3" t="inlineStr">
        <is>
          <t>https://www.etenders.gov.za/home/Download/?blobName=22824693-0afc-4487-87d8-9af5cdf5681e.pdf&amp;downloadedFileName=ADVERT-%20VARIOUS%20BIDS%20-%2022%20MAY%202026.pdf</t>
        </is>
      </c>
      <c r="S102" t="inlineStr"/>
      <c r="T102" t="inlineStr"/>
      <c r="U102" t="inlineStr"/>
      <c r="V102" t="inlineStr"/>
      <c r="W102" t="inlineStr"/>
    </row>
    <row r="103">
      <c r="A103" s="2" t="n">
        <v>46167</v>
      </c>
      <c r="B103" t="n">
        <v>101</v>
      </c>
      <c r="C103" t="inlineStr">
        <is>
          <t>GQET-26/27-037</t>
        </is>
      </c>
      <c r="D103" s="2" t="n">
        <v>46164</v>
      </c>
      <c r="E103" s="2" t="n">
        <v>46182</v>
      </c>
      <c r="F103" t="inlineStr">
        <is>
          <t>11:00</t>
        </is>
      </c>
      <c r="G103" t="inlineStr">
        <is>
          <t>Request for Quotation</t>
        </is>
      </c>
      <c r="H103" t="inlineStr">
        <is>
          <t>BOILER OPERATIONS AND REPAIRS AT MDANTSANE PRISON FOR A PERIOD OF FIVE (05) MONTHS</t>
        </is>
      </c>
      <c r="I103" t="inlineStr">
        <is>
          <t>ETENDERS.GOV.ZA</t>
        </is>
      </c>
      <c r="J103" t="inlineStr">
        <is>
          <t>Public Works</t>
        </is>
      </c>
      <c r="K103" t="inlineStr">
        <is>
          <t>Eastern Cape</t>
        </is>
      </c>
      <c r="L103" t="inlineStr">
        <is>
          <t>No</t>
        </is>
      </c>
      <c r="M103" t="inlineStr">
        <is>
          <t>Services: General</t>
        </is>
      </c>
      <c r="N103" t="inlineStr">
        <is>
          <t>No</t>
        </is>
      </c>
      <c r="O103" t="inlineStr"/>
      <c r="P103" t="inlineStr">
        <is>
          <t>No</t>
        </is>
      </c>
      <c r="Q103" t="inlineStr">
        <is>
          <t>N/A</t>
        </is>
      </c>
      <c r="R103" s="3" t="inlineStr">
        <is>
          <t>https://www.etenders.gov.za/home/Download/?blobName=0d0d7c08-72f3-4a45-8f80-b41b4daef21b.pdf&amp;downloadedFileName=Boiler%20operations%20and%20repairs%20at%20Mdantsane%20Prison%20(GQET-26-27-037).pdf</t>
        </is>
      </c>
      <c r="S103" t="inlineStr"/>
      <c r="T103" t="inlineStr"/>
      <c r="U103" t="inlineStr"/>
      <c r="V103" t="inlineStr"/>
      <c r="W103" t="inlineStr"/>
    </row>
    <row r="104">
      <c r="A104" s="2" t="n">
        <v>46167</v>
      </c>
      <c r="B104" t="n">
        <v>100</v>
      </c>
      <c r="C104" t="inlineStr">
        <is>
          <t>UMZ/2026-27/INFRA/ELECT/001</t>
        </is>
      </c>
      <c r="D104" s="2" t="n">
        <v>46164</v>
      </c>
      <c r="E104" s="2" t="n">
        <v>46178</v>
      </c>
      <c r="F104" t="inlineStr">
        <is>
          <t>12:00</t>
        </is>
      </c>
      <c r="G104" t="inlineStr">
        <is>
          <t>Request for Bid(Open-Tender)</t>
        </is>
      </c>
      <c r="H104" t="inlineStr">
        <is>
          <t>COMPLETION OF NCINIBA AND DINANA ELECTRIFICATION</t>
        </is>
      </c>
      <c r="I104" t="inlineStr">
        <is>
          <t>ETENDERS.GOV.ZA</t>
        </is>
      </c>
      <c r="J104" t="inlineStr">
        <is>
          <t>Umzimvubu Local Municipality</t>
        </is>
      </c>
      <c r="K104" t="inlineStr">
        <is>
          <t>Eastern Cape</t>
        </is>
      </c>
      <c r="L104" t="inlineStr">
        <is>
          <t>No</t>
        </is>
      </c>
      <c r="M104" t="inlineStr">
        <is>
          <t>Electricity, gas, steam and air conditioning</t>
        </is>
      </c>
      <c r="N104" t="inlineStr">
        <is>
          <t>Yes</t>
        </is>
      </c>
      <c r="O104" s="2" t="n">
        <v>46170</v>
      </c>
      <c r="P104" t="inlineStr">
        <is>
          <t>Yes</t>
        </is>
      </c>
      <c r="Q104" t="inlineStr">
        <is>
          <t>KwaBhaca new offices</t>
        </is>
      </c>
      <c r="R104" s="3" t="inlineStr">
        <is>
          <t>https://www.etenders.gov.za/home/Download/?blobName=6014bb31-6da2-47a0-9b05-9db91a1bb9be.pdf&amp;downloadedFileName=ADVERT%20FOR%20COMPLETION%20OF%20NCINIBA%20AND%20DINANA%20ELECTRICTRIFICATION.pdf</t>
        </is>
      </c>
      <c r="S104" t="inlineStr"/>
      <c r="T104" t="inlineStr"/>
      <c r="U104" t="inlineStr"/>
      <c r="V104" t="inlineStr"/>
      <c r="W104" t="inlineStr"/>
    </row>
    <row r="105">
      <c r="A105" s="2" t="n">
        <v>46167</v>
      </c>
      <c r="B105" t="n">
        <v>99</v>
      </c>
      <c r="C105" t="inlineStr">
        <is>
          <t>RFQ 803/20/2026</t>
        </is>
      </c>
      <c r="D105" s="2" t="n">
        <v>46164</v>
      </c>
      <c r="E105" s="2" t="n">
        <v>46181</v>
      </c>
      <c r="F105" t="inlineStr">
        <is>
          <t>12:00</t>
        </is>
      </c>
      <c r="G105" t="inlineStr">
        <is>
          <t>Request for Quotation</t>
        </is>
      </c>
      <c r="H105" t="inlineStr">
        <is>
          <t>APPOINTMENT OF A SERVICE PROVIDER TO PROVIDE SILVICULTURE SERVICES FOR BLYDE PLANTATION</t>
        </is>
      </c>
      <c r="I105" t="inlineStr">
        <is>
          <t>ETENDERS.GOV.ZA</t>
        </is>
      </c>
      <c r="J105" t="inlineStr">
        <is>
          <t>South African Forestry Company Limited</t>
        </is>
      </c>
      <c r="K105" t="inlineStr">
        <is>
          <t>Mpumalanga</t>
        </is>
      </c>
      <c r="L105" t="inlineStr">
        <is>
          <t>No</t>
        </is>
      </c>
      <c r="M105" t="inlineStr">
        <is>
          <t>Agricultural Products and Services</t>
        </is>
      </c>
      <c r="N105" t="inlineStr">
        <is>
          <t>No</t>
        </is>
      </c>
      <c r="O105" t="inlineStr"/>
      <c r="P105" t="inlineStr">
        <is>
          <t>No</t>
        </is>
      </c>
      <c r="Q105" t="inlineStr">
        <is>
          <t>N/A</t>
        </is>
      </c>
      <c r="R105" s="3" t="inlineStr">
        <is>
          <t>https://www.etenders.gov.za/home/Download/?blobName=8cdbf4da-7b3a-4cb1-92de-e547e972722e.pdf&amp;downloadedFileName=RFQ%20803.20.2026%20%20SILVICULTURE%20BLYDE%20%20.pdf</t>
        </is>
      </c>
      <c r="S105" t="inlineStr"/>
      <c r="T105" t="inlineStr"/>
      <c r="U105" t="inlineStr"/>
      <c r="V105" t="inlineStr"/>
      <c r="W105" t="inlineStr"/>
    </row>
    <row r="106">
      <c r="A106" s="2" t="n">
        <v>46167</v>
      </c>
      <c r="B106" t="n">
        <v>98</v>
      </c>
      <c r="C106" t="inlineStr">
        <is>
          <t>GM2026/154</t>
        </is>
      </c>
      <c r="D106" s="2" t="n">
        <v>46164</v>
      </c>
      <c r="E106" s="2" t="n">
        <v>46195</v>
      </c>
      <c r="F106" t="inlineStr">
        <is>
          <t>10:00</t>
        </is>
      </c>
      <c r="G106" t="inlineStr">
        <is>
          <t>Request for Bid(Open-Tender)</t>
        </is>
      </c>
      <c r="H106" t="inlineStr">
        <is>
          <t>Professional Services Support for Gamagara Local Municipality with Water Conversation and Demand Management Plan and Non-Revenue for a Period of Three (3) Years</t>
        </is>
      </c>
      <c r="I106" t="inlineStr">
        <is>
          <t>ETENDERS.GOV.ZA</t>
        </is>
      </c>
      <c r="J106" t="inlineStr">
        <is>
          <t>Gamagara Local Municipality</t>
        </is>
      </c>
      <c r="K106" t="inlineStr">
        <is>
          <t>Northern Cape</t>
        </is>
      </c>
      <c r="L106" t="inlineStr">
        <is>
          <t>No</t>
        </is>
      </c>
      <c r="M106" t="inlineStr">
        <is>
          <t>Water collection, treatment and supply</t>
        </is>
      </c>
      <c r="N106" t="inlineStr">
        <is>
          <t>Yes</t>
        </is>
      </c>
      <c r="O106" s="2" t="n">
        <v>46177</v>
      </c>
      <c r="P106" t="inlineStr">
        <is>
          <t>Yes</t>
        </is>
      </c>
      <c r="Q106" t="inlineStr">
        <is>
          <t>Gamagara Municipality Hall</t>
        </is>
      </c>
      <c r="R106" s="3" t="inlineStr">
        <is>
          <t>https://www.etenders.gov.za/home/Download/?blobName=a9deded7-6b4e-448f-aa83-5941c52d7a1c.pdf&amp;downloadedFileName=GM2026-154%20PROFESSIONAL%20SERVICES%20SUPPORT%20FOR%20WATER%20CONSERVATION%20AND%20DEMAND%20MANAGEMENT%20PLAN%20AND%20NON%20REVENUE%20FOR%203%20YEARS.pdf</t>
        </is>
      </c>
      <c r="S106" t="inlineStr"/>
      <c r="T106" t="inlineStr"/>
      <c r="U106" t="inlineStr"/>
      <c r="V106" t="inlineStr"/>
      <c r="W106" t="inlineStr"/>
    </row>
    <row r="107">
      <c r="A107" s="2" t="n">
        <v>46167</v>
      </c>
      <c r="B107" t="n">
        <v>97</v>
      </c>
      <c r="C107" t="inlineStr">
        <is>
          <t>Q69-03-2025-26</t>
        </is>
      </c>
      <c r="D107" s="2" t="n">
        <v>46164</v>
      </c>
      <c r="E107" s="2" t="n">
        <v>46175</v>
      </c>
      <c r="F107" t="inlineStr">
        <is>
          <t>10:00</t>
        </is>
      </c>
      <c r="G107" t="inlineStr">
        <is>
          <t>Request for Bid(Open-Tender)</t>
        </is>
      </c>
      <c r="H107" t="inlineStr">
        <is>
          <t>RE-ADVERTISEMENT: QUOTATION TO APPOINT A SERVICE PROVIDER TO CONDUCT A BULK DENSITY SURVEY (DYNAMIC CONE PENETROMETER TESTING) AND VOLUMETRIC SURVEY AT POWER STATIONS</t>
        </is>
      </c>
      <c r="I107" t="inlineStr">
        <is>
          <t>ETENDERS.GOV.ZA</t>
        </is>
      </c>
      <c r="J107" t="inlineStr">
        <is>
          <t>City of Tshwane</t>
        </is>
      </c>
      <c r="K107" t="inlineStr">
        <is>
          <t>Gauteng</t>
        </is>
      </c>
      <c r="L107" t="inlineStr">
        <is>
          <t>No</t>
        </is>
      </c>
      <c r="M107" t="inlineStr">
        <is>
          <t>Activities of head offices; management consultancy activities</t>
        </is>
      </c>
      <c r="N107" t="inlineStr">
        <is>
          <t>Yes</t>
        </is>
      </c>
      <c r="O107" s="2" t="n">
        <v>46169</v>
      </c>
      <c r="P107" t="inlineStr">
        <is>
          <t>Yes</t>
        </is>
      </c>
      <c r="Q107" t="inlineStr">
        <is>
          <t>Rooiwal Power Station</t>
        </is>
      </c>
      <c r="R107" s="3" t="inlineStr">
        <is>
          <t>https://www.etenders.gov.za/home/Download/?blobName=8e0c6ba5-0fdb-47ab-b928-27c0ead607c0.pdf&amp;downloadedFileName=Q69-03-2025-26%20QUOTATION%20DOCUMENT.pdf</t>
        </is>
      </c>
      <c r="S107" t="inlineStr"/>
      <c r="T107" t="inlineStr"/>
      <c r="U107" t="inlineStr"/>
      <c r="V107" t="inlineStr"/>
      <c r="W107" t="inlineStr"/>
    </row>
    <row r="108">
      <c r="A108" s="2" t="n">
        <v>46167</v>
      </c>
      <c r="B108" t="n">
        <v>96</v>
      </c>
      <c r="C108" t="inlineStr">
        <is>
          <t>0010567530</t>
        </is>
      </c>
      <c r="D108" s="2" t="n">
        <v>46164</v>
      </c>
      <c r="E108" s="2" t="n">
        <v>46188</v>
      </c>
      <c r="F108" t="inlineStr">
        <is>
          <t>11:00</t>
        </is>
      </c>
      <c r="G108" t="inlineStr">
        <is>
          <t>Request for Bid(Open-Tender)</t>
        </is>
      </c>
      <c r="H108" t="inlineStr">
        <is>
          <t>CARDBOARD TABLE + 2 CHAIRS</t>
        </is>
      </c>
      <c r="I108" t="inlineStr">
        <is>
          <t>ETENDERS.GOV.ZA</t>
        </is>
      </c>
      <c r="J108" t="inlineStr">
        <is>
          <t>Electoral Commission (IEC)</t>
        </is>
      </c>
      <c r="K108" t="inlineStr">
        <is>
          <t>National</t>
        </is>
      </c>
      <c r="L108" t="inlineStr">
        <is>
          <t>No</t>
        </is>
      </c>
      <c r="M108" t="inlineStr">
        <is>
          <t>Supplies: General</t>
        </is>
      </c>
      <c r="N108" t="inlineStr">
        <is>
          <t>Yes</t>
        </is>
      </c>
      <c r="O108" s="2" t="n">
        <v>46175</v>
      </c>
      <c r="P108" t="inlineStr">
        <is>
          <t>No</t>
        </is>
      </c>
      <c r="Q108" t="inlineStr">
        <is>
          <t>Riverside Office Park,Election House, 1303 Heuwel Avenue, Centurion</t>
        </is>
      </c>
      <c r="R108" s="3" t="inlineStr">
        <is>
          <t>https://www.etenders.gov.za/home/Download/?blobName=b1fdd517-f249-44a2-85f0-25e5fc1e496b.pdf&amp;downloadedFileName=Bid%20Specifications%20-%20Cardboard%20Cardboard%20Furniture%20-%20Tables%20and%20Chairs%20{Final}.pdf</t>
        </is>
      </c>
      <c r="S108" t="inlineStr"/>
      <c r="T108" t="inlineStr"/>
      <c r="U108" t="inlineStr"/>
      <c r="V108" t="inlineStr"/>
      <c r="W108" t="inlineStr"/>
    </row>
    <row r="109">
      <c r="A109" s="2" t="n">
        <v>46167</v>
      </c>
      <c r="B109" t="n">
        <v>95</v>
      </c>
      <c r="C109" t="inlineStr">
        <is>
          <t>SASSA:01-26-GA-MP</t>
        </is>
      </c>
      <c r="D109" s="2" t="n">
        <v>46164</v>
      </c>
      <c r="E109" s="2" t="n">
        <v>46185</v>
      </c>
      <c r="F109" t="inlineStr">
        <is>
          <t>11:00</t>
        </is>
      </c>
      <c r="G109" t="inlineStr">
        <is>
          <t>Request for Proposal</t>
        </is>
      </c>
      <c r="H109" t="inlineStr">
        <is>
          <t>Accreditation of service providers to supply and deliver school uniform in Mpumalanga Region for the period of thirty-six (36) months.</t>
        </is>
      </c>
      <c r="I109" t="inlineStr">
        <is>
          <t>ETENDERS.GOV.ZA</t>
        </is>
      </c>
      <c r="J109" t="inlineStr">
        <is>
          <t>South African Social Security Agency</t>
        </is>
      </c>
      <c r="K109" t="inlineStr">
        <is>
          <t>Mpumalanga</t>
        </is>
      </c>
      <c r="L109" t="inlineStr">
        <is>
          <t>No</t>
        </is>
      </c>
      <c r="M109" t="inlineStr">
        <is>
          <t>Other service activities</t>
        </is>
      </c>
      <c r="N109" t="inlineStr">
        <is>
          <t>Yes</t>
        </is>
      </c>
      <c r="O109" s="2" t="n">
        <v>46176</v>
      </c>
      <c r="P109" t="inlineStr">
        <is>
          <t>Yes</t>
        </is>
      </c>
      <c r="Q109" t="inlineStr">
        <is>
          <t>EHLANZENI DISTRICT MUNICIPALITY, 10 PAUL KRUGER STREET, NELSPRUIT 1201</t>
        </is>
      </c>
      <c r="R109" s="3" t="inlineStr">
        <is>
          <t>https://www.etenders.gov.za/home/Download/?blobName=6afa53ac-68ca-4f08-8003-68bd74e97ba3.pdf&amp;downloadedFileName=SASSA%2001-26-GA-MP%20Accreditation%20of%20service%20providers%20to%20supply%20and%20deliver%20school%20uniform%20in%20Mpumalanga%20Region%20for%20the%20period%20of%20thirty-six%20(36)%20months..pdf</t>
        </is>
      </c>
      <c r="S109" t="inlineStr"/>
      <c r="T109" t="inlineStr"/>
      <c r="U109" t="inlineStr"/>
      <c r="V109" t="inlineStr"/>
      <c r="W109" t="inlineStr"/>
    </row>
    <row r="110">
      <c r="A110" s="2" t="n">
        <v>46167</v>
      </c>
      <c r="B110" t="n">
        <v>94</v>
      </c>
      <c r="C110" t="inlineStr">
        <is>
          <t>PPA - 123659</t>
        </is>
      </c>
      <c r="D110" s="2" t="n">
        <v>46164</v>
      </c>
      <c r="E110" s="2" t="n">
        <v>46168</v>
      </c>
      <c r="F110" t="inlineStr">
        <is>
          <t>16:00</t>
        </is>
      </c>
      <c r="G110" t="inlineStr">
        <is>
          <t>Request for Quotation</t>
        </is>
      </c>
      <c r="H110" t="inlineStr">
        <is>
          <t>FOR THE PROVISION OF MAINTENANCE AND REPAIR OF HEATING VENTILATION AND AIRCONDITIONING SYSTEM (HAVAC)AND PIPE SPECTRILINE FOR MOBILE PLANT EQUIPMENT FOR PERIOD OF 6 MONTHS TRANSNET SOC LIMITED [REG.NO 1990/000900/30] OPERATING AS TRANSNET PORT TERMINALS (HEREINAFTER TO AS “TPT”) AT THE PORT OF RICHARDS BAY TERMINAL.</t>
        </is>
      </c>
      <c r="I110" t="inlineStr">
        <is>
          <t>ETENDERS.GOV.ZA</t>
        </is>
      </c>
      <c r="J110" t="inlineStr">
        <is>
          <t>Transnet SOC Ltd</t>
        </is>
      </c>
      <c r="K110" t="inlineStr">
        <is>
          <t>KwaZulu-Natal</t>
        </is>
      </c>
      <c r="L110" t="inlineStr">
        <is>
          <t>No</t>
        </is>
      </c>
      <c r="M110" t="inlineStr">
        <is>
          <t>Transportation and storage</t>
        </is>
      </c>
      <c r="N110" t="inlineStr">
        <is>
          <t>No</t>
        </is>
      </c>
      <c r="O110" t="inlineStr"/>
      <c r="P110" t="inlineStr">
        <is>
          <t>No</t>
        </is>
      </c>
      <c r="Q110" t="inlineStr">
        <is>
          <t>N/A</t>
        </is>
      </c>
      <c r="R110" s="3" t="inlineStr">
        <is>
          <t>https://www.etenders.gov.za/home/Download/?blobName=29b106f2-f1c6-46ee-a194-8a212aa04363.pdf&amp;downloadedFileName=ppa-123659-rfq.pdf</t>
        </is>
      </c>
      <c r="S110" t="inlineStr"/>
      <c r="T110" t="inlineStr"/>
      <c r="U110" t="inlineStr"/>
      <c r="V110" t="inlineStr"/>
      <c r="W110" t="inlineStr"/>
    </row>
    <row r="111">
      <c r="A111" s="2" t="n">
        <v>46167</v>
      </c>
      <c r="B111" t="n">
        <v>93</v>
      </c>
      <c r="C111" t="inlineStr">
        <is>
          <t>NNRSCM-001-2026</t>
        </is>
      </c>
      <c r="D111" s="2" t="n">
        <v>46164</v>
      </c>
      <c r="E111" s="2" t="n">
        <v>46190</v>
      </c>
      <c r="F111" t="inlineStr">
        <is>
          <t>11:00</t>
        </is>
      </c>
      <c r="G111" t="inlineStr">
        <is>
          <t>Request for Bid(Open-Tender)</t>
        </is>
      </c>
      <c r="H111" t="inlineStr">
        <is>
          <t>APPOINTMENT OF A SERVICE PROVIDER TO RENDER EMPLOYEE WELLNESS AND HEALTH PROGRAMME (EWHP) SERVICES TO THE NNR FOR A PERIOD OF THREE (3) YEARS</t>
        </is>
      </c>
      <c r="I111" t="inlineStr">
        <is>
          <t>ETENDERS.GOV.ZA</t>
        </is>
      </c>
      <c r="J111" t="inlineStr">
        <is>
          <t>National Nuclear Regulator</t>
        </is>
      </c>
      <c r="K111" t="inlineStr">
        <is>
          <t>National</t>
        </is>
      </c>
      <c r="L111" t="inlineStr">
        <is>
          <t>No</t>
        </is>
      </c>
      <c r="M111" t="inlineStr">
        <is>
          <t>Services: Professional</t>
        </is>
      </c>
      <c r="N111" t="inlineStr">
        <is>
          <t>No</t>
        </is>
      </c>
      <c r="O111" t="inlineStr"/>
      <c r="P111" t="inlineStr">
        <is>
          <t>No</t>
        </is>
      </c>
      <c r="Q111" t="inlineStr">
        <is>
          <t>N/A</t>
        </is>
      </c>
      <c r="R111" s="3" t="inlineStr">
        <is>
          <t>https://www.etenders.gov.za/home/Download/?blobName=72940f2c-2c0f-4cce-9d44-973286984d79.pdf&amp;downloadedFileName=NNRSCM-01-2026%20APPOINTMENT%20OF%20A%20SERVICE%20PROVIDER%20TO%20PROVIDE%20EMPLOYEE%20WELLNESS%20AND%20HEALTH%20PROGRAMME%20SERVICES%20TO%20THE%20NNR%20FOR%20A%20PERIOD%203%20YEARS.pdf</t>
        </is>
      </c>
      <c r="S111" t="inlineStr"/>
      <c r="T111" t="inlineStr"/>
      <c r="U111" t="inlineStr"/>
      <c r="V111" t="inlineStr"/>
      <c r="W111" t="inlineStr"/>
    </row>
    <row r="112">
      <c r="A112" s="2" t="n">
        <v>46167</v>
      </c>
      <c r="B112" t="n">
        <v>92</v>
      </c>
      <c r="C112" t="inlineStr">
        <is>
          <t>WRSCM-2026/2027-0002</t>
        </is>
      </c>
      <c r="D112" s="2" t="n">
        <v>46164</v>
      </c>
      <c r="E112" s="2" t="n">
        <v>46205</v>
      </c>
      <c r="F112" t="inlineStr">
        <is>
          <t>11:00</t>
        </is>
      </c>
      <c r="G112" t="inlineStr">
        <is>
          <t>Request for Bid(Open-Tender)</t>
        </is>
      </c>
      <c r="H112" t="inlineStr">
        <is>
          <t>APPOINTMENT OF A PROPERTY OWNER/MANDATED PROPERTY MANAGEMENT COMPANY TO PROVIDE LEASED OFFICE SPACE TO HOUSE THE W&amp;RSETA GAUTENG SOUTH (GS) REGIONAL OFFICE</t>
        </is>
      </c>
      <c r="I112" t="inlineStr">
        <is>
          <t>ETENDERS.GOV.ZA</t>
        </is>
      </c>
      <c r="J112" t="inlineStr">
        <is>
          <t>Wholesale and Retail Sector Education and Training Authority</t>
        </is>
      </c>
      <c r="K112" t="inlineStr">
        <is>
          <t>Gauteng</t>
        </is>
      </c>
      <c r="L112" t="inlineStr">
        <is>
          <t>No</t>
        </is>
      </c>
      <c r="M112" t="inlineStr">
        <is>
          <t>Rental and leasing activities</t>
        </is>
      </c>
      <c r="N112" t="inlineStr">
        <is>
          <t>Yes</t>
        </is>
      </c>
      <c r="O112" s="2" t="n">
        <v>46184</v>
      </c>
      <c r="P112" t="inlineStr">
        <is>
          <t>No</t>
        </is>
      </c>
      <c r="Q112" t="inlineStr">
        <is>
          <t>via Teams</t>
        </is>
      </c>
      <c r="R112" s="3" t="inlineStr">
        <is>
          <t>https://www.etenders.gov.za/home/Download/?blobName=1da6a4fc-3243-480b-84fd-53bb02a50dab.pdf&amp;downloadedFileName=Gauteng%20South%20Regional%20Office-Office%20Lease%20Specification%20and%20Bid%20Document.pdf</t>
        </is>
      </c>
      <c r="S112" t="inlineStr"/>
      <c r="T112" t="inlineStr"/>
      <c r="U112" t="inlineStr"/>
      <c r="V112" t="inlineStr"/>
      <c r="W112" t="inlineStr"/>
    </row>
    <row r="113">
      <c r="A113" s="2" t="n">
        <v>46167</v>
      </c>
      <c r="B113" t="n">
        <v>91</v>
      </c>
      <c r="C113" t="inlineStr">
        <is>
          <t>SCMU 12/2026 RE ADVERT</t>
        </is>
      </c>
      <c r="D113" s="2" t="n">
        <v>46164</v>
      </c>
      <c r="E113" s="2" t="n">
        <v>46178</v>
      </c>
      <c r="F113" t="inlineStr">
        <is>
          <t>12:00</t>
        </is>
      </c>
      <c r="G113" t="inlineStr">
        <is>
          <t>Request for Bid(Open-Tender)</t>
        </is>
      </c>
      <c r="H113" t="inlineStr">
        <is>
          <t>APPOINTMENT OF A SUITABLE SERVICE PROVIDER FOR THE SUPPLY, INSTALLATION, AND MAINTENANCE OF NETWORK PLANNING SOFTWARE</t>
        </is>
      </c>
      <c r="I113" t="inlineStr">
        <is>
          <t>ETENDERS.GOV.ZA</t>
        </is>
      </c>
      <c r="J113" t="inlineStr">
        <is>
          <t>Greater Tzaneen Municipality</t>
        </is>
      </c>
      <c r="K113" t="inlineStr">
        <is>
          <t>Limpopo</t>
        </is>
      </c>
      <c r="L113" t="inlineStr">
        <is>
          <t>No</t>
        </is>
      </c>
      <c r="M113" t="inlineStr">
        <is>
          <t>Supplies: Electrical Equipment</t>
        </is>
      </c>
      <c r="N113" t="inlineStr">
        <is>
          <t>Yes</t>
        </is>
      </c>
      <c r="O113" s="2" t="n">
        <v>46171</v>
      </c>
      <c r="P113" t="inlineStr">
        <is>
          <t>Yes</t>
        </is>
      </c>
      <c r="Q113" t="inlineStr">
        <is>
          <t>GREATER TZANEEN MUNICIPALITY, CIVIC CENTRE. OLD FIRE HALL</t>
        </is>
      </c>
      <c r="R113" s="3" t="inlineStr">
        <is>
          <t>https://www.etenders.gov.za/home/Download/?blobName=52fd26b1-f76e-46e6-a8e5-0fa415e83187.pdf&amp;downloadedFileName=COMBINED%20MAY%20ADVERT%2003.pdf</t>
        </is>
      </c>
      <c r="S113" t="inlineStr"/>
      <c r="T113" t="inlineStr"/>
      <c r="U113" t="inlineStr"/>
      <c r="V113" t="inlineStr"/>
      <c r="W113" t="inlineStr"/>
    </row>
    <row r="114">
      <c r="A114" s="2" t="n">
        <v>46167</v>
      </c>
      <c r="B114" t="n">
        <v>90</v>
      </c>
      <c r="C114" t="inlineStr">
        <is>
          <t>SCMU5-26/27-0003 CHR</t>
        </is>
      </c>
      <c r="D114" s="2" t="n">
        <v>46164</v>
      </c>
      <c r="E114" s="2" t="n">
        <v>46188</v>
      </c>
      <c r="F114" t="inlineStr">
        <is>
          <t>11:00</t>
        </is>
      </c>
      <c r="G114" t="inlineStr">
        <is>
          <t>Request for Bid(Open-Tender)</t>
        </is>
      </c>
      <c r="H114" t="inlineStr">
        <is>
          <t>PROCUREMENT OF CLEANING, SUPPLY OF HYGIENE EQUIPMENT AND SERVICES FOR DPWI CHRIS HANI DISTRICT OFFICES AND KOMANI DEPOT FOR A PERIOD OF 18 MONTHS</t>
        </is>
      </c>
      <c r="I114" t="inlineStr">
        <is>
          <t>ETENDERS.GOV.ZA</t>
        </is>
      </c>
      <c r="J114" t="inlineStr">
        <is>
          <t>Eastern Cape - Roads and Public Works</t>
        </is>
      </c>
      <c r="K114" t="inlineStr">
        <is>
          <t>Eastern Cape</t>
        </is>
      </c>
      <c r="L114" t="inlineStr">
        <is>
          <t>No</t>
        </is>
      </c>
      <c r="M114" t="inlineStr">
        <is>
          <t>Services: Functional (Including Cleaning and Security Services)</t>
        </is>
      </c>
      <c r="N114" t="inlineStr">
        <is>
          <t>Yes</t>
        </is>
      </c>
      <c r="O114" s="2" t="n">
        <v>46175</v>
      </c>
      <c r="P114" t="inlineStr">
        <is>
          <t>Yes</t>
        </is>
      </c>
      <c r="Q114" t="inlineStr">
        <is>
          <t>Department of Public Works and Infrastructure, Chris Hani district offices at No.1 Creamery Road, Ol</t>
        </is>
      </c>
      <c r="R114" s="3" t="inlineStr">
        <is>
          <t>https://www.etenders.gov.za/home/Download/?blobName=a53b0f23-32ba-4034-a81f-276b92eaa79c.pdf&amp;downloadedFileName=BID%20DOC%20FOR%20CLEANING%20AND%20%20HYGIENE%20SERVICES%2018%20MONTHS%20CONTRACT%20-.pdf</t>
        </is>
      </c>
      <c r="S114" t="inlineStr"/>
      <c r="T114" t="inlineStr"/>
      <c r="U114" t="inlineStr"/>
      <c r="V114" t="inlineStr"/>
      <c r="W114" t="inlineStr"/>
    </row>
    <row r="115">
      <c r="A115" s="2" t="n">
        <v>46167</v>
      </c>
      <c r="B115" t="n">
        <v>89</v>
      </c>
      <c r="C115" t="inlineStr">
        <is>
          <t>CTT26808</t>
        </is>
      </c>
      <c r="D115" s="2" t="n">
        <v>46164</v>
      </c>
      <c r="E115" s="2" t="n">
        <v>46185</v>
      </c>
      <c r="F115" t="inlineStr">
        <is>
          <t>10:00</t>
        </is>
      </c>
      <c r="G115" t="inlineStr">
        <is>
          <t>Request for Bid(Open-Tender)</t>
        </is>
      </c>
      <c r="H115" t="inlineStr">
        <is>
          <t>FEEDSTOCK SELECTION STUDY FOR PetroSA</t>
        </is>
      </c>
      <c r="I115" t="inlineStr">
        <is>
          <t>ETENDERS.GOV.ZA</t>
        </is>
      </c>
      <c r="J115" t="inlineStr">
        <is>
          <t>PetroSA</t>
        </is>
      </c>
      <c r="K115" t="inlineStr">
        <is>
          <t>Western Cape</t>
        </is>
      </c>
      <c r="L115" t="inlineStr">
        <is>
          <t>No</t>
        </is>
      </c>
      <c r="M115" t="inlineStr">
        <is>
          <t>Services: Professional</t>
        </is>
      </c>
      <c r="N115" t="inlineStr">
        <is>
          <t>Yes</t>
        </is>
      </c>
      <c r="O115" s="2" t="n">
        <v>46175</v>
      </c>
      <c r="P115" t="inlineStr">
        <is>
          <t>No</t>
        </is>
      </c>
      <c r="Q115" t="inlineStr">
        <is>
          <t>Microsoft Teams</t>
        </is>
      </c>
      <c r="R115" s="3" t="inlineStr">
        <is>
          <t>https://www.etenders.gov.za/home/Download/?blobName=af794297-1125-4bb5-9822-56ac7d13efaa.pdf&amp;downloadedFileName=Tender%20Notice.pdf</t>
        </is>
      </c>
      <c r="S115" t="inlineStr"/>
      <c r="T115" t="inlineStr"/>
      <c r="U115" t="inlineStr"/>
      <c r="V115" t="inlineStr"/>
      <c r="W115" t="inlineStr"/>
    </row>
    <row r="116">
      <c r="A116" s="2" t="n">
        <v>46167</v>
      </c>
      <c r="B116" t="n">
        <v>88</v>
      </c>
      <c r="C116" t="inlineStr">
        <is>
          <t>SARAO-SPMO-TM-(PRF-4063)-2026-27</t>
        </is>
      </c>
      <c r="D116" s="2" t="n">
        <v>46164</v>
      </c>
      <c r="E116" s="2" t="n">
        <v>46182</v>
      </c>
      <c r="F116" t="inlineStr">
        <is>
          <t>11:00</t>
        </is>
      </c>
      <c r="G116" t="inlineStr">
        <is>
          <t>Request for Quotation</t>
        </is>
      </c>
      <c r="H116" t="inlineStr">
        <is>
          <t>PROVISION OF CONTRACT ADVISORY, CONTRACT LAW AND CONTRACT MANAGEMENT SPECIALIST SERVICES FOR COMMERCIAL CONSTRUCTION PROJECTS UNDER FIDIC, SAICE GCC, NATIONAL TREASURY GCC AND NEC4 CONTRACTS</t>
        </is>
      </c>
      <c r="I116" t="inlineStr">
        <is>
          <t>ETENDERS.GOV.ZA</t>
        </is>
      </c>
      <c r="J116" t="inlineStr">
        <is>
          <t>National Research Foundation</t>
        </is>
      </c>
      <c r="K116" t="inlineStr">
        <is>
          <t>Western Cape</t>
        </is>
      </c>
      <c r="L116" t="inlineStr">
        <is>
          <t>No</t>
        </is>
      </c>
      <c r="M116" t="inlineStr">
        <is>
          <t>Services: Professional</t>
        </is>
      </c>
      <c r="N116" t="inlineStr">
        <is>
          <t>No</t>
        </is>
      </c>
      <c r="O116" t="inlineStr"/>
      <c r="P116" t="inlineStr">
        <is>
          <t>No</t>
        </is>
      </c>
      <c r="Q116" t="inlineStr">
        <is>
          <t>N/A</t>
        </is>
      </c>
      <c r="R116" s="3" t="inlineStr">
        <is>
          <t>https://www.etenders.gov.za/home/Download/?blobName=2d16c36d-3cff-4b81-af4a-9ab2a5cb9600.pdf&amp;downloadedFileName=RFQ%20DOCUMENT.pdf</t>
        </is>
      </c>
      <c r="S116" t="inlineStr"/>
      <c r="T116" t="inlineStr"/>
      <c r="U116" t="inlineStr"/>
      <c r="V116" t="inlineStr"/>
      <c r="W116" t="inlineStr"/>
    </row>
    <row r="117">
      <c r="A117" s="2" t="n">
        <v>46167</v>
      </c>
      <c r="B117" t="n">
        <v>87</v>
      </c>
      <c r="C117" t="inlineStr">
        <is>
          <t>EWSETA/RFQ/015/2026-27</t>
        </is>
      </c>
      <c r="D117" s="2" t="n">
        <v>46164</v>
      </c>
      <c r="E117" s="2" t="n">
        <v>46171</v>
      </c>
      <c r="F117" t="inlineStr">
        <is>
          <t>13:00</t>
        </is>
      </c>
      <c r="G117" t="inlineStr">
        <is>
          <t>Request for Quotation</t>
        </is>
      </c>
      <c r="H117" t="inlineStr">
        <is>
          <t>APPOINTMENT OF AN ACCREDITED SERVICE PROVIDER TO CONDUCT BID COMMITTEE AND SCM REGULATORY TRAINING</t>
        </is>
      </c>
      <c r="I117" t="inlineStr">
        <is>
          <t>ETENDERS.GOV.ZA</t>
        </is>
      </c>
      <c r="J117" t="inlineStr">
        <is>
          <t>Energy and Water Sector Education and Training Authority</t>
        </is>
      </c>
      <c r="K117" t="inlineStr">
        <is>
          <t>Gauteng</t>
        </is>
      </c>
      <c r="L117" t="inlineStr">
        <is>
          <t>No</t>
        </is>
      </c>
      <c r="M117" t="inlineStr">
        <is>
          <t>Other service activities</t>
        </is>
      </c>
      <c r="N117" t="inlineStr">
        <is>
          <t>No</t>
        </is>
      </c>
      <c r="O117" t="inlineStr"/>
      <c r="P117" t="inlineStr">
        <is>
          <t>No</t>
        </is>
      </c>
      <c r="Q117" t="inlineStr">
        <is>
          <t>N/A</t>
        </is>
      </c>
      <c r="R117" s="3" t="inlineStr">
        <is>
          <t>https://www.etenders.gov.za/home/Download/?blobName=061d25b3-3109-4133-935a-ca087a75db95.pdf&amp;downloadedFileName=RFQ-015-SCM-and-Bid-Committees-Training-22-MAY-2026.pdf</t>
        </is>
      </c>
      <c r="S117" t="inlineStr"/>
      <c r="T117" t="inlineStr"/>
      <c r="U117" t="inlineStr"/>
      <c r="V117" t="inlineStr"/>
      <c r="W117" t="inlineStr"/>
    </row>
    <row r="118">
      <c r="A118" s="2" t="n">
        <v>46167</v>
      </c>
      <c r="B118" t="n">
        <v>86</v>
      </c>
      <c r="C118" t="inlineStr">
        <is>
          <t>RFQ 82/2026</t>
        </is>
      </c>
      <c r="D118" s="2" t="n">
        <v>46164</v>
      </c>
      <c r="E118" s="2" t="n">
        <v>46174</v>
      </c>
      <c r="F118" t="inlineStr">
        <is>
          <t>12:00</t>
        </is>
      </c>
      <c r="G118" t="inlineStr">
        <is>
          <t>Request for Quotation</t>
        </is>
      </c>
      <c r="H118" t="inlineStr">
        <is>
          <t>DESIGN, MANUFACTURE, SUPPLY AND DELIVERY OF CORPORATE BRANDED MATERIAL</t>
        </is>
      </c>
      <c r="I118" t="inlineStr">
        <is>
          <t>ETENDERS.GOV.ZA</t>
        </is>
      </c>
      <c r="J118" t="inlineStr">
        <is>
          <t>Prince Albert Municipality</t>
        </is>
      </c>
      <c r="K118" t="inlineStr">
        <is>
          <t>Western Cape</t>
        </is>
      </c>
      <c r="L118" t="inlineStr">
        <is>
          <t>No</t>
        </is>
      </c>
      <c r="M118" t="inlineStr">
        <is>
          <t>Creative, arts and entertainment activities</t>
        </is>
      </c>
      <c r="N118" t="inlineStr">
        <is>
          <t>No</t>
        </is>
      </c>
      <c r="O118" t="inlineStr"/>
      <c r="P118" t="inlineStr">
        <is>
          <t>No</t>
        </is>
      </c>
      <c r="Q118" t="inlineStr">
        <is>
          <t>N/A</t>
        </is>
      </c>
      <c r="R118" s="3" t="inlineStr">
        <is>
          <t>https://www.etenders.gov.za/home/Download/?blobName=77bf3e37-08c8-4519-9e0b-31d32c89a403.pdf&amp;downloadedFileName=PAMun%20Bid%20Document%20-%20RFQ%2082_2026%20Corporate%20Branding.pdf</t>
        </is>
      </c>
      <c r="S118" t="inlineStr"/>
      <c r="T118" t="inlineStr"/>
      <c r="U118" t="inlineStr"/>
      <c r="V118" t="inlineStr"/>
      <c r="W118" t="inlineStr"/>
    </row>
    <row r="119">
      <c r="A119" s="2" t="n">
        <v>46167</v>
      </c>
      <c r="B119" t="n">
        <v>85</v>
      </c>
      <c r="C119" t="inlineStr">
        <is>
          <t>SCMU 19/2026</t>
        </is>
      </c>
      <c r="D119" s="2" t="n">
        <v>46164</v>
      </c>
      <c r="E119" s="2" t="n">
        <v>46178</v>
      </c>
      <c r="F119" t="inlineStr">
        <is>
          <t>12:00</t>
        </is>
      </c>
      <c r="G119" t="inlineStr">
        <is>
          <t>Request for Bid(Open-Tender)</t>
        </is>
      </c>
      <c r="H119" t="inlineStr">
        <is>
          <t>SUPPLY AND DELIVERY OF ELECTRICAL ENGINEERING PERSONNEL TOOLS OF TRADE</t>
        </is>
      </c>
      <c r="I119" t="inlineStr">
        <is>
          <t>ETENDERS.GOV.ZA</t>
        </is>
      </c>
      <c r="J119" t="inlineStr">
        <is>
          <t>Greater Tzaneen Municipality</t>
        </is>
      </c>
      <c r="K119" t="inlineStr">
        <is>
          <t>Limpopo</t>
        </is>
      </c>
      <c r="L119" t="inlineStr">
        <is>
          <t>No</t>
        </is>
      </c>
      <c r="M119" t="inlineStr">
        <is>
          <t>Supplies: Electrical Equipment</t>
        </is>
      </c>
      <c r="N119" t="inlineStr">
        <is>
          <t>No</t>
        </is>
      </c>
      <c r="O119" t="inlineStr"/>
      <c r="P119" t="inlineStr">
        <is>
          <t>No</t>
        </is>
      </c>
      <c r="Q119" t="inlineStr">
        <is>
          <t>N/A</t>
        </is>
      </c>
      <c r="R119" s="3" t="inlineStr">
        <is>
          <t>https://www.etenders.gov.za/home/Download/?blobName=3ea7bc49-82a6-467d-8f78-26832b6f570a.pdf&amp;downloadedFileName=COMBINED%20MAY%20ADVERT%2002.pdf</t>
        </is>
      </c>
      <c r="S119" t="inlineStr"/>
      <c r="T119" t="inlineStr"/>
      <c r="U119" t="inlineStr"/>
      <c r="V119" t="inlineStr"/>
      <c r="W119" t="inlineStr"/>
    </row>
    <row r="120">
      <c r="A120" s="2" t="n">
        <v>46167</v>
      </c>
      <c r="B120" t="n">
        <v>84</v>
      </c>
      <c r="C120" t="inlineStr">
        <is>
          <t>T 2026/040</t>
        </is>
      </c>
      <c r="D120" s="2" t="n">
        <v>46164</v>
      </c>
      <c r="E120" s="2" t="n">
        <v>46178</v>
      </c>
      <c r="F120" t="inlineStr">
        <is>
          <t>11:00</t>
        </is>
      </c>
      <c r="G120" t="inlineStr">
        <is>
          <t>Request for Bid(Open-Tender)</t>
        </is>
      </c>
      <c r="H120" t="inlineStr">
        <is>
          <t>SUPPLY AND DELIVERY OF EMERGENCY INFORMAL HOUSING KITS FOR A 12-MONTH PERIOD</t>
        </is>
      </c>
      <c r="I120" t="inlineStr">
        <is>
          <t>ETENDERS.GOV.ZA</t>
        </is>
      </c>
      <c r="J120" t="inlineStr">
        <is>
          <t>Cape Winelands District Municipality</t>
        </is>
      </c>
      <c r="K120" t="inlineStr">
        <is>
          <t>Western Cape</t>
        </is>
      </c>
      <c r="L120" t="inlineStr">
        <is>
          <t>No</t>
        </is>
      </c>
      <c r="M120" t="inlineStr">
        <is>
          <t>Supplies: General</t>
        </is>
      </c>
      <c r="N120" t="inlineStr">
        <is>
          <t>No</t>
        </is>
      </c>
      <c r="O120" t="inlineStr"/>
      <c r="P120" t="inlineStr">
        <is>
          <t>No</t>
        </is>
      </c>
      <c r="Q120" t="inlineStr">
        <is>
          <t>N/A</t>
        </is>
      </c>
      <c r="R120" s="3" t="inlineStr">
        <is>
          <t>https://www.etenders.gov.za/home/Download/?blobName=d4302a2f-f04c-44c7-99f6-f5f618b08a9d.pdf&amp;downloadedFileName=T%202026%20040%20TENDER%20DOCUMENT%20FINAL.pdf</t>
        </is>
      </c>
      <c r="S120" t="inlineStr"/>
      <c r="T120" t="inlineStr"/>
      <c r="U120" t="inlineStr"/>
      <c r="V120" t="inlineStr"/>
      <c r="W120" t="inlineStr"/>
    </row>
    <row r="121">
      <c r="A121" s="2" t="n">
        <v>46167</v>
      </c>
      <c r="B121" t="n">
        <v>83</v>
      </c>
      <c r="C121" t="inlineStr">
        <is>
          <t>10371180</t>
        </is>
      </c>
      <c r="D121" s="2" t="n">
        <v>46164</v>
      </c>
      <c r="E121" s="2" t="n">
        <v>46169</v>
      </c>
      <c r="F121" t="inlineStr">
        <is>
          <t>23:30</t>
        </is>
      </c>
      <c r="G121" t="inlineStr">
        <is>
          <t>Request for Quotation</t>
        </is>
      </c>
      <c r="H121" t="inlineStr">
        <is>
          <t>10371180 - REQUEST FOR QUOTATION (RFQ) FOR THE APPOINTMENT OF A SERVICE PROVIDER TO OVERHAUL BUS DIFFS</t>
        </is>
      </c>
      <c r="I121" t="inlineStr">
        <is>
          <t>ETENDERS.GOV.ZA</t>
        </is>
      </c>
      <c r="J121" t="inlineStr">
        <is>
          <t>Passenger Rail Agency of South Africa</t>
        </is>
      </c>
      <c r="K121" t="inlineStr">
        <is>
          <t>Gauteng</t>
        </is>
      </c>
      <c r="L121" t="inlineStr">
        <is>
          <t>No</t>
        </is>
      </c>
      <c r="M121" t="inlineStr">
        <is>
          <t>Wholesale and retail trade and repair of motor vehicles and motorcycles</t>
        </is>
      </c>
      <c r="N121" t="inlineStr">
        <is>
          <t>No</t>
        </is>
      </c>
      <c r="O121" t="inlineStr"/>
      <c r="P121" t="inlineStr">
        <is>
          <t>No</t>
        </is>
      </c>
      <c r="Q121" t="inlineStr">
        <is>
          <t>N/A</t>
        </is>
      </c>
      <c r="R121" s="3" t="inlineStr">
        <is>
          <t>https://www.etenders.gov.za/home/Download/?blobName=0e43970b-e843-4f50-a75a-73478931a1ad.pdf&amp;downloadedFileName=10371180%20-%20REQUEST%20FOR%20QUOTATION%20(RFQ)%20FOR%20THE%20APPOINTMENT%20OF%20A%20SERVICE%20PROVIDER%20TO%20OVERHAUL%20BUS%20DIFFS.pdf</t>
        </is>
      </c>
      <c r="S121" t="inlineStr"/>
      <c r="T121" t="inlineStr"/>
      <c r="U121" t="inlineStr"/>
      <c r="V121" t="inlineStr"/>
      <c r="W121" t="inlineStr"/>
    </row>
    <row r="122">
      <c r="A122" s="2" t="n">
        <v>46167</v>
      </c>
      <c r="B122" t="n">
        <v>82</v>
      </c>
      <c r="C122" t="inlineStr">
        <is>
          <t>29079/GGHNP/2026-27A</t>
        </is>
      </c>
      <c r="D122" s="2" t="n">
        <v>46164</v>
      </c>
      <c r="E122" s="2" t="n">
        <v>46171</v>
      </c>
      <c r="F122" t="inlineStr">
        <is>
          <t>16:00</t>
        </is>
      </c>
      <c r="G122" t="inlineStr">
        <is>
          <t>Request for Quotation</t>
        </is>
      </c>
      <c r="H122" t="inlineStr">
        <is>
          <t>Appointment of a service provider for the provision of pest control services and hygiene for a period of six (6) months</t>
        </is>
      </c>
      <c r="I122" t="inlineStr">
        <is>
          <t>ETENDERS.GOV.ZA</t>
        </is>
      </c>
      <c r="J122" t="inlineStr">
        <is>
          <t>South African National Parks</t>
        </is>
      </c>
      <c r="K122" t="inlineStr">
        <is>
          <t>Free State</t>
        </is>
      </c>
      <c r="L122" t="inlineStr">
        <is>
          <t>No</t>
        </is>
      </c>
      <c r="M122" t="inlineStr">
        <is>
          <t>Services: Functional (Including Cleaning and Security Services)</t>
        </is>
      </c>
      <c r="N122" t="inlineStr">
        <is>
          <t>No</t>
        </is>
      </c>
      <c r="O122" t="inlineStr"/>
      <c r="P122" t="inlineStr">
        <is>
          <t>No</t>
        </is>
      </c>
      <c r="Q122" t="inlineStr">
        <is>
          <t>N/A</t>
        </is>
      </c>
      <c r="R122" s="3" t="inlineStr">
        <is>
          <t>https://www.etenders.gov.za/home/Download/?blobName=c0e22a4a-3e53-45bc-8ab2-63d3ec1aa85a.pdf&amp;downloadedFileName=Requisition%2029079-GGHNP-2026-27_Pest%20Control%20&amp;%20Hygiene%20Services_Annexure%20A_22.05.2026.pdf</t>
        </is>
      </c>
      <c r="S122" t="inlineStr"/>
      <c r="T122" t="inlineStr"/>
      <c r="U122" t="inlineStr"/>
      <c r="V122" t="inlineStr"/>
      <c r="W122" t="inlineStr"/>
    </row>
    <row r="123">
      <c r="A123" s="2" t="n">
        <v>46167</v>
      </c>
      <c r="B123" t="n">
        <v>81</v>
      </c>
      <c r="C123" t="inlineStr">
        <is>
          <t>Q12/1326 OF 25/26</t>
        </is>
      </c>
      <c r="D123" s="2" t="n">
        <v>46164</v>
      </c>
      <c r="E123" s="2" t="n">
        <v>46178</v>
      </c>
      <c r="F123" t="inlineStr">
        <is>
          <t>12:00</t>
        </is>
      </c>
      <c r="G123" t="inlineStr">
        <is>
          <t>Request for Quotation</t>
        </is>
      </c>
      <c r="H123" t="inlineStr">
        <is>
          <t>REPAIRS AND MAINTENANCE OF RENTAL STOCKS AT 21 NYALA, 203 STEENBOK, 1 NERINA FLATS</t>
        </is>
      </c>
      <c r="I123" t="inlineStr">
        <is>
          <t>ETENDERS.GOV.ZA</t>
        </is>
      </c>
      <c r="J123" t="inlineStr">
        <is>
          <t>Msunduzi Local Municipality</t>
        </is>
      </c>
      <c r="K123" t="inlineStr">
        <is>
          <t>KwaZulu-Natal</t>
        </is>
      </c>
      <c r="L123" t="inlineStr">
        <is>
          <t>No</t>
        </is>
      </c>
      <c r="M123" t="inlineStr">
        <is>
          <t>Services: Building</t>
        </is>
      </c>
      <c r="N123" t="inlineStr">
        <is>
          <t>No</t>
        </is>
      </c>
      <c r="O123" t="inlineStr"/>
      <c r="P123" t="inlineStr">
        <is>
          <t>No</t>
        </is>
      </c>
      <c r="Q123" t="inlineStr">
        <is>
          <t>N/A</t>
        </is>
      </c>
      <c r="R123" s="3" t="inlineStr">
        <is>
          <t>https://www.etenders.gov.za/home/Download/?blobName=a991c643-39c1-4a37-91b5-aa50f3e981f1.pdf&amp;downloadedFileName=Q12-1326%20OF%2025-26%20-%20Repairs%20and%20Maintenance%20of%20Rental%20Stocks.pdf</t>
        </is>
      </c>
      <c r="S123" t="inlineStr"/>
      <c r="T123" t="inlineStr"/>
      <c r="U123" t="inlineStr"/>
      <c r="V123" t="inlineStr"/>
      <c r="W123" t="inlineStr"/>
    </row>
    <row r="124">
      <c r="A124" s="2" t="n">
        <v>46167</v>
      </c>
      <c r="B124" t="n">
        <v>80</v>
      </c>
      <c r="C124" t="inlineStr">
        <is>
          <t>HO CTROM001/2026</t>
        </is>
      </c>
      <c r="D124" s="2" t="n">
        <v>46164</v>
      </c>
      <c r="E124" s="2" t="n">
        <v>46199</v>
      </c>
      <c r="F124" t="inlineStr">
        <is>
          <t>12:00</t>
        </is>
      </c>
      <c r="G124" t="inlineStr">
        <is>
          <t>Request for Bid(Open-Tender)</t>
        </is>
      </c>
      <c r="H124" t="inlineStr">
        <is>
          <t>FOR THE PROVISION OF A CENTRALISED NATIONAL TOLLING SOLUTION</t>
        </is>
      </c>
      <c r="I124" t="inlineStr">
        <is>
          <t>ETENDERS.GOV.ZA</t>
        </is>
      </c>
      <c r="J124" t="inlineStr">
        <is>
          <t>South African National Roads Agency Soc Limited (SANRAL)</t>
        </is>
      </c>
      <c r="K124" t="inlineStr">
        <is>
          <t>National</t>
        </is>
      </c>
      <c r="L124" t="inlineStr">
        <is>
          <t>No</t>
        </is>
      </c>
      <c r="M124" t="inlineStr">
        <is>
          <t>Other service activities</t>
        </is>
      </c>
      <c r="N124" t="inlineStr">
        <is>
          <t>Yes</t>
        </is>
      </c>
      <c r="O124" s="2" t="n">
        <v>46174</v>
      </c>
      <c r="P124" t="inlineStr">
        <is>
          <t>Yes</t>
        </is>
      </c>
      <c r="Q124" t="inlineStr">
        <is>
          <t>Virtual</t>
        </is>
      </c>
      <c r="R124" s="3" t="inlineStr">
        <is>
          <t>https://www.etenders.gov.za/home/Download/?blobName=238a5190-7227-413d-9bf7-adb10935a920.pdf&amp;downloadedFileName=SANRAL%20HO%20CTROM001-2026-Provision%20of%20Central%20National%20Tolling%20Solution%20-%20Request%20for%20Information.pdf</t>
        </is>
      </c>
      <c r="S124" t="inlineStr"/>
      <c r="T124" t="inlineStr"/>
      <c r="U124" t="inlineStr"/>
      <c r="V124" t="inlineStr"/>
      <c r="W124" t="inlineStr"/>
    </row>
    <row r="125">
      <c r="A125" s="2" t="n">
        <v>46167</v>
      </c>
      <c r="B125" t="n">
        <v>79</v>
      </c>
      <c r="C125" t="inlineStr">
        <is>
          <t>6000080439</t>
        </is>
      </c>
      <c r="D125" s="2" t="n">
        <v>46164</v>
      </c>
      <c r="E125" s="2" t="n">
        <v>46170</v>
      </c>
      <c r="F125" t="inlineStr">
        <is>
          <t>12:00</t>
        </is>
      </c>
      <c r="G125" t="inlineStr">
        <is>
          <t>Request for Quotation</t>
        </is>
      </c>
      <c r="H125" t="inlineStr">
        <is>
          <t>Supply &amp; delivery of pipe 160mm x 6m</t>
        </is>
      </c>
      <c r="I125" t="inlineStr">
        <is>
          <t>ETENDERS.GOV.ZA</t>
        </is>
      </c>
      <c r="J125" t="inlineStr">
        <is>
          <t>Johannesburg Water</t>
        </is>
      </c>
      <c r="K125" t="inlineStr">
        <is>
          <t>Gauteng</t>
        </is>
      </c>
      <c r="L125" t="inlineStr">
        <is>
          <t>No</t>
        </is>
      </c>
      <c r="M125" t="inlineStr">
        <is>
          <t>Supplies: General</t>
        </is>
      </c>
      <c r="N125" t="inlineStr">
        <is>
          <t>No</t>
        </is>
      </c>
      <c r="O125" t="inlineStr"/>
      <c r="P125" t="inlineStr">
        <is>
          <t>No</t>
        </is>
      </c>
      <c r="Q125" t="inlineStr">
        <is>
          <t>N/A</t>
        </is>
      </c>
      <c r="R125" s="3" t="inlineStr">
        <is>
          <t>https://www.etenders.gov.za/home/Download/?blobName=0024a6e5-2e02-4984-a80d-d41a932e09e2.pdf&amp;downloadedFileName=6000080439%20Supply%20&amp;%20delivery%20of%20pipe%20160mm%20x%206m%20.pdf</t>
        </is>
      </c>
      <c r="S125" t="inlineStr"/>
      <c r="T125" t="inlineStr"/>
      <c r="U125" t="inlineStr"/>
      <c r="V125" t="inlineStr"/>
      <c r="W125" t="inlineStr"/>
    </row>
    <row r="126">
      <c r="A126" s="2" t="n">
        <v>46167</v>
      </c>
      <c r="B126" t="n">
        <v>78</v>
      </c>
      <c r="C126" t="inlineStr">
        <is>
          <t>RFQ 80/2026</t>
        </is>
      </c>
      <c r="D126" s="2" t="n">
        <v>46164</v>
      </c>
      <c r="E126" s="2" t="n">
        <v>46174</v>
      </c>
      <c r="F126" t="inlineStr">
        <is>
          <t>12:00</t>
        </is>
      </c>
      <c r="G126" t="inlineStr">
        <is>
          <t>Request for Quotation</t>
        </is>
      </c>
      <c r="H126" t="inlineStr">
        <is>
          <t>SUPPLY OR MODIFICATION OF ELECTRICAL SERVICES DEPARTMENT BAKKIE CANOPY</t>
        </is>
      </c>
      <c r="I126" t="inlineStr">
        <is>
          <t>ETENDERS.GOV.ZA</t>
        </is>
      </c>
      <c r="J126" t="inlineStr">
        <is>
          <t>Prince Albert Municipality</t>
        </is>
      </c>
      <c r="K126" t="inlineStr">
        <is>
          <t>Western Cape</t>
        </is>
      </c>
      <c r="L126" t="inlineStr">
        <is>
          <t>No</t>
        </is>
      </c>
      <c r="M126" t="inlineStr">
        <is>
          <t>Manufacture of motor vehicles, trailers and semi-trailers</t>
        </is>
      </c>
      <c r="N126" t="inlineStr">
        <is>
          <t>No</t>
        </is>
      </c>
      <c r="O126" t="inlineStr"/>
      <c r="P126" t="inlineStr">
        <is>
          <t>No</t>
        </is>
      </c>
      <c r="Q126" t="inlineStr">
        <is>
          <t>N/A</t>
        </is>
      </c>
      <c r="R126" s="3" t="inlineStr">
        <is>
          <t>https://www.etenders.gov.za/home/Download/?blobName=cf7e107e-054b-4032-afb4-5c1351f94986.pdf&amp;downloadedFileName=PAMun%20Bid%20Notice%20-%20RFQ%2080_2026%20Canopy%20Conversion.pdf</t>
        </is>
      </c>
      <c r="S126" t="inlineStr"/>
      <c r="T126" t="inlineStr"/>
      <c r="U126" t="inlineStr"/>
      <c r="V126" t="inlineStr"/>
      <c r="W126" t="inlineStr"/>
    </row>
    <row r="127">
      <c r="A127" s="2" t="n">
        <v>46167</v>
      </c>
      <c r="B127" t="n">
        <v>77</v>
      </c>
      <c r="C127" t="inlineStr">
        <is>
          <t>SCMU5-26/27-0001 CHR</t>
        </is>
      </c>
      <c r="D127" s="2" t="n">
        <v>46164</v>
      </c>
      <c r="E127" s="2" t="n">
        <v>46188</v>
      </c>
      <c r="F127" t="inlineStr">
        <is>
          <t>11:00</t>
        </is>
      </c>
      <c r="G127" t="inlineStr">
        <is>
          <t>Request for Bid(Open-Tender)</t>
        </is>
      </c>
      <c r="H127" t="inlineStr">
        <is>
          <t>PROCUREMENT OF PROFESSIONAL CIVIL AND STRUCTURAL ENGINEERING SERVICES FOR THE CONSTRUCTION OF NEW MIDDLEBURG SERVICE OFFICES.</t>
        </is>
      </c>
      <c r="I127" t="inlineStr">
        <is>
          <t>ETENDERS.GOV.ZA</t>
        </is>
      </c>
      <c r="J127" t="inlineStr">
        <is>
          <t>Eastern Cape - Roads and Public Works</t>
        </is>
      </c>
      <c r="K127" t="inlineStr">
        <is>
          <t>Eastern Cape</t>
        </is>
      </c>
      <c r="L127" t="inlineStr">
        <is>
          <t>No</t>
        </is>
      </c>
      <c r="M127" t="inlineStr">
        <is>
          <t>Services: Professional</t>
        </is>
      </c>
      <c r="N127" t="inlineStr">
        <is>
          <t>No</t>
        </is>
      </c>
      <c r="O127" t="inlineStr"/>
      <c r="P127" t="inlineStr">
        <is>
          <t>No</t>
        </is>
      </c>
      <c r="Q127" t="inlineStr">
        <is>
          <t>N/A</t>
        </is>
      </c>
      <c r="R127" s="3" t="inlineStr">
        <is>
          <t>https://www.etenders.gov.za/home/Download/?blobName=c261f051-86bc-458b-a7a3-f01c7f37ef1a.pdf&amp;downloadedFileName=BID%20DOC%20FOR%20MIDDLEBURG%20CIVIL%20%20STRUCTURAL%20PSP.pdf</t>
        </is>
      </c>
      <c r="S127" t="inlineStr"/>
      <c r="T127" t="inlineStr"/>
      <c r="U127" t="inlineStr"/>
      <c r="V127" t="inlineStr"/>
      <c r="W127" t="inlineStr"/>
    </row>
    <row r="128">
      <c r="A128" s="2" t="n">
        <v>46167</v>
      </c>
      <c r="B128" t="n">
        <v>76</v>
      </c>
      <c r="C128" t="inlineStr">
        <is>
          <t>WRSCM-2026/2027-0006</t>
        </is>
      </c>
      <c r="D128" s="2" t="n">
        <v>46164</v>
      </c>
      <c r="E128" s="2" t="n">
        <v>46205</v>
      </c>
      <c r="F128" t="inlineStr">
        <is>
          <t>11:00</t>
        </is>
      </c>
      <c r="G128" t="inlineStr">
        <is>
          <t>Request for Bid(Open-Tender)</t>
        </is>
      </c>
      <c r="H128" t="inlineStr">
        <is>
          <t>APPOINTMENT OF A PROPERTY OWNER/MANDATED PROPERTY MANAGEMENT COMPANY TO PROVIDE LEASED OFFICE SPACE TO HOUSE THE W&amp;RSETA WESTERN CAPE REGIONAL OFFICE.</t>
        </is>
      </c>
      <c r="I128" t="inlineStr">
        <is>
          <t>ETENDERS.GOV.ZA</t>
        </is>
      </c>
      <c r="J128" t="inlineStr">
        <is>
          <t>Wholesale and Retail Sector Education and Training Authority</t>
        </is>
      </c>
      <c r="K128" t="inlineStr">
        <is>
          <t>Western Cape</t>
        </is>
      </c>
      <c r="L128" t="inlineStr">
        <is>
          <t>No</t>
        </is>
      </c>
      <c r="M128" t="inlineStr">
        <is>
          <t>Rental and leasing activities</t>
        </is>
      </c>
      <c r="N128" t="inlineStr">
        <is>
          <t>Yes</t>
        </is>
      </c>
      <c r="O128" s="2" t="n">
        <v>46184</v>
      </c>
      <c r="P128" t="inlineStr">
        <is>
          <t>No</t>
        </is>
      </c>
      <c r="Q128" t="inlineStr">
        <is>
          <t>via Teams</t>
        </is>
      </c>
      <c r="R128" s="3" t="inlineStr">
        <is>
          <t>https://www.etenders.gov.za/home/Download/?blobName=d2ae4566-24c6-43cf-aa55-312df934f551.pdf&amp;downloadedFileName=Western%20Cape%20Regional%20Office-Office%20Lease%20Specification%20and%20Bid%20Document%20(2).pdf</t>
        </is>
      </c>
      <c r="S128" t="inlineStr"/>
      <c r="T128" t="inlineStr"/>
      <c r="U128" t="inlineStr"/>
      <c r="V128" t="inlineStr"/>
      <c r="W128" t="inlineStr"/>
    </row>
    <row r="129">
      <c r="A129" s="2" t="n">
        <v>46167</v>
      </c>
      <c r="B129" t="n">
        <v>75</v>
      </c>
      <c r="C129" t="inlineStr">
        <is>
          <t>RAF/2026/00029</t>
        </is>
      </c>
      <c r="D129" s="2" t="n">
        <v>46164</v>
      </c>
      <c r="E129" s="2" t="n">
        <v>46171</v>
      </c>
      <c r="F129" t="inlineStr">
        <is>
          <t>11:00</t>
        </is>
      </c>
      <c r="G129" t="inlineStr">
        <is>
          <t>Request for Information</t>
        </is>
      </c>
      <c r="H129" t="inlineStr">
        <is>
          <t>REQUEST FOR INFORMATION: RENTAL OF OFFICE FURNITURE AND EQUIPMENT (SUPPLY, DELIVERY, INSTALLATION AND MAINTENANCE OF OFFICE FURNITURE) FOR RAF OFFICES IN ALL NINE (9) PROVINCES.</t>
        </is>
      </c>
      <c r="I129" t="inlineStr">
        <is>
          <t>ETENDERS.GOV.ZA</t>
        </is>
      </c>
      <c r="J129" t="inlineStr">
        <is>
          <t>Road Accident Fund</t>
        </is>
      </c>
      <c r="K129" t="inlineStr">
        <is>
          <t>National</t>
        </is>
      </c>
      <c r="L129" t="inlineStr">
        <is>
          <t>No</t>
        </is>
      </c>
      <c r="M129" t="inlineStr">
        <is>
          <t>Manufacture of furniture</t>
        </is>
      </c>
      <c r="N129" t="inlineStr">
        <is>
          <t>No</t>
        </is>
      </c>
      <c r="O129" t="inlineStr"/>
      <c r="P129" t="inlineStr">
        <is>
          <t>No</t>
        </is>
      </c>
      <c r="Q129" t="inlineStr">
        <is>
          <t>N/A</t>
        </is>
      </c>
      <c r="R129" s="3" t="inlineStr">
        <is>
          <t>https://www.etenders.gov.za/home/Download/?blobName=8002940a-cc5d-432a-a25b-4be470a2ebd0.pdf&amp;downloadedFileName=RFI%20-%20Rental%20of%20Office%20Furniture%20and%20Equipment.pdf</t>
        </is>
      </c>
      <c r="S129" t="inlineStr"/>
      <c r="T129" t="inlineStr"/>
      <c r="U129" t="inlineStr"/>
      <c r="V129" t="inlineStr"/>
      <c r="W129" t="inlineStr"/>
    </row>
    <row r="130">
      <c r="A130" s="2" t="n">
        <v>46167</v>
      </c>
      <c r="B130" t="n">
        <v>74</v>
      </c>
      <c r="C130" t="inlineStr">
        <is>
          <t>PLK 26/12</t>
        </is>
      </c>
      <c r="D130" s="2" t="n">
        <v>46164</v>
      </c>
      <c r="E130" s="2" t="n">
        <v>46190</v>
      </c>
      <c r="F130" t="inlineStr">
        <is>
          <t>11:00</t>
        </is>
      </c>
      <c r="G130" t="inlineStr">
        <is>
          <t>Request for Bid(Open-Tender)</t>
        </is>
      </c>
      <c r="H130" t="inlineStr">
        <is>
          <t>Panel of Contractors for Repairs , Services and Maintenance of Air Conditioning Systems ( HVACS) for 24 Months in Capricorn and Sekhukhune Area.</t>
        </is>
      </c>
      <c r="I130" t="inlineStr">
        <is>
          <t>ETENDERS.GOV.ZA</t>
        </is>
      </c>
      <c r="J130" t="inlineStr">
        <is>
          <t>Public Works</t>
        </is>
      </c>
      <c r="K130" t="inlineStr">
        <is>
          <t>Limpopo</t>
        </is>
      </c>
      <c r="L130" t="inlineStr">
        <is>
          <t>No</t>
        </is>
      </c>
      <c r="M130" t="inlineStr">
        <is>
          <t>Services: General</t>
        </is>
      </c>
      <c r="N130" t="inlineStr">
        <is>
          <t>Yes</t>
        </is>
      </c>
      <c r="O130" s="2" t="n">
        <v>46176</v>
      </c>
      <c r="P130" t="inlineStr">
        <is>
          <t>No</t>
        </is>
      </c>
      <c r="Q130" t="inlineStr">
        <is>
          <t>78 Hans Van Rensburg Street , Old Mutual Building. Polokwane</t>
        </is>
      </c>
      <c r="R130" s="3" t="inlineStr">
        <is>
          <t>https://www.etenders.gov.za/home/Download/?blobName=96df3e37-f345-4263-b6cb-d206827923aa.pdf&amp;downloadedFileName=PLK%2026-12%20Tender%20Document.pdf</t>
        </is>
      </c>
      <c r="S130" t="inlineStr"/>
      <c r="T130" t="inlineStr"/>
      <c r="U130" t="inlineStr"/>
      <c r="V130" t="inlineStr"/>
      <c r="W130" t="inlineStr"/>
    </row>
    <row r="131">
      <c r="A131" s="2" t="n">
        <v>46167</v>
      </c>
      <c r="B131" t="n">
        <v>73</v>
      </c>
      <c r="C131" t="inlineStr">
        <is>
          <t>SCMU8-26/27-0076</t>
        </is>
      </c>
      <c r="D131" s="2" t="n">
        <v>46164</v>
      </c>
      <c r="E131" s="2" t="n">
        <v>46195</v>
      </c>
      <c r="F131" t="inlineStr">
        <is>
          <t>11:00</t>
        </is>
      </c>
      <c r="G131" t="inlineStr">
        <is>
          <t>Request for Bid(Open-Tender)</t>
        </is>
      </c>
      <c r="H131" t="inlineStr">
        <is>
          <t>SUPPLY AND DELIVERY OF PRODUCTION INPUTS (PIG FEED) FOR THE ILIMA LOKULIMA PROGRAM IN THE THREE LOCAL MUNICIPALITIES: JOE GQABI DISTRICT</t>
        </is>
      </c>
      <c r="I131" t="inlineStr">
        <is>
          <t>ETENDERS.GOV.ZA</t>
        </is>
      </c>
      <c r="J131" t="inlineStr">
        <is>
          <t>Eastern Cape - Agriculture</t>
        </is>
      </c>
      <c r="K131" t="inlineStr">
        <is>
          <t>Eastern Cape</t>
        </is>
      </c>
      <c r="L131" t="inlineStr">
        <is>
          <t>No</t>
        </is>
      </c>
      <c r="M131" t="inlineStr">
        <is>
          <t>Supplies: General</t>
        </is>
      </c>
      <c r="N131" t="inlineStr">
        <is>
          <t>No</t>
        </is>
      </c>
      <c r="O131" t="inlineStr"/>
      <c r="P131" t="inlineStr">
        <is>
          <t>No</t>
        </is>
      </c>
      <c r="Q131" t="inlineStr">
        <is>
          <t>N/A</t>
        </is>
      </c>
      <c r="R131" s="3" t="inlineStr">
        <is>
          <t>https://www.etenders.gov.za/home/Download/?blobName=e5c8b250-ea1e-4334-b1dc-a0a3346ec0ae.pdf&amp;downloadedFileName=SCMU8-26-27-0076.pdf</t>
        </is>
      </c>
      <c r="S131" t="inlineStr"/>
      <c r="T131" t="inlineStr"/>
      <c r="U131" t="inlineStr"/>
      <c r="V131" t="inlineStr"/>
      <c r="W131" t="inlineStr"/>
    </row>
    <row r="132">
      <c r="A132" s="2" t="n">
        <v>46167</v>
      </c>
      <c r="B132" t="n">
        <v>72</v>
      </c>
      <c r="C132" t="inlineStr">
        <is>
          <t>6000080437</t>
        </is>
      </c>
      <c r="D132" s="2" t="n">
        <v>46164</v>
      </c>
      <c r="E132" s="2" t="n">
        <v>46170</v>
      </c>
      <c r="F132" t="inlineStr">
        <is>
          <t>12:00</t>
        </is>
      </c>
      <c r="G132" t="inlineStr">
        <is>
          <t>Request for Quotation</t>
        </is>
      </c>
      <c r="H132" t="inlineStr">
        <is>
          <t>Supply and delivery of pipe collars</t>
        </is>
      </c>
      <c r="I132" t="inlineStr">
        <is>
          <t>ETENDERS.GOV.ZA</t>
        </is>
      </c>
      <c r="J132" t="inlineStr">
        <is>
          <t>Johannesburg Water</t>
        </is>
      </c>
      <c r="K132" t="inlineStr">
        <is>
          <t>Gauteng</t>
        </is>
      </c>
      <c r="L132" t="inlineStr">
        <is>
          <t>No</t>
        </is>
      </c>
      <c r="M132" t="inlineStr">
        <is>
          <t>Supplies: General</t>
        </is>
      </c>
      <c r="N132" t="inlineStr">
        <is>
          <t>No</t>
        </is>
      </c>
      <c r="O132" t="inlineStr"/>
      <c r="P132" t="inlineStr">
        <is>
          <t>No</t>
        </is>
      </c>
      <c r="Q132" t="inlineStr">
        <is>
          <t>N/A</t>
        </is>
      </c>
      <c r="R132" s="3" t="inlineStr">
        <is>
          <t>https://www.etenders.gov.za/home/Download/?blobName=6954918a-ee29-43a3-a64e-0217c5097d97.pdf&amp;downloadedFileName=6000080437%20Supply%20and%20delivery%20of%20pipe%20collars%20.pdf</t>
        </is>
      </c>
      <c r="S132" t="inlineStr"/>
      <c r="T132" t="inlineStr"/>
      <c r="U132" t="inlineStr"/>
      <c r="V132" t="inlineStr"/>
      <c r="W132" t="inlineStr"/>
    </row>
    <row r="133">
      <c r="A133" s="2" t="n">
        <v>46167</v>
      </c>
      <c r="B133" t="n">
        <v>71</v>
      </c>
      <c r="C133" t="inlineStr">
        <is>
          <t>GQET-26/27-034</t>
        </is>
      </c>
      <c r="D133" s="2" t="n">
        <v>46164</v>
      </c>
      <c r="E133" s="2" t="n">
        <v>46182</v>
      </c>
      <c r="F133" t="inlineStr">
        <is>
          <t>11:00</t>
        </is>
      </c>
      <c r="G133" t="inlineStr">
        <is>
          <t>Request for Quotation</t>
        </is>
      </c>
      <c r="H133" t="inlineStr">
        <is>
          <t>BOILER OPERATIONS AND REPAIRS AT ST ALBANS PRISON FOR A PERIOD OF FUVE (05) MONTHS.</t>
        </is>
      </c>
      <c r="I133" t="inlineStr">
        <is>
          <t>ETENDERS.GOV.ZA</t>
        </is>
      </c>
      <c r="J133" t="inlineStr">
        <is>
          <t>Public Works</t>
        </is>
      </c>
      <c r="K133" t="inlineStr">
        <is>
          <t>Eastern Cape</t>
        </is>
      </c>
      <c r="L133" t="inlineStr">
        <is>
          <t>No</t>
        </is>
      </c>
      <c r="M133" t="inlineStr">
        <is>
          <t>Services: General</t>
        </is>
      </c>
      <c r="N133" t="inlineStr">
        <is>
          <t>No</t>
        </is>
      </c>
      <c r="O133" t="inlineStr"/>
      <c r="P133" t="inlineStr">
        <is>
          <t>No</t>
        </is>
      </c>
      <c r="Q133" t="inlineStr">
        <is>
          <t>N/A</t>
        </is>
      </c>
      <c r="R133" s="3" t="inlineStr">
        <is>
          <t>https://www.etenders.gov.za/home/Download/?blobName=26cce8fc-24a8-4d80-a7cd-c9cf78653556.pdf&amp;downloadedFileName=Boiler%20operations%20and%20repairs%20at%20St%20Albans%20Prison%20(GQET-26-27-034).pdf</t>
        </is>
      </c>
      <c r="S133" t="inlineStr"/>
      <c r="T133" t="inlineStr"/>
      <c r="U133" t="inlineStr"/>
      <c r="V133" t="inlineStr"/>
      <c r="W133" t="inlineStr"/>
    </row>
    <row r="134">
      <c r="A134" s="2" t="n">
        <v>46167</v>
      </c>
      <c r="B134" t="n">
        <v>70</v>
      </c>
      <c r="C134" t="inlineStr">
        <is>
          <t>PR10116075</t>
        </is>
      </c>
      <c r="D134" s="2" t="n">
        <v>46164</v>
      </c>
      <c r="E134" s="2" t="n">
        <v>46170</v>
      </c>
      <c r="F134" t="inlineStr">
        <is>
          <t>15:00</t>
        </is>
      </c>
      <c r="G134" t="inlineStr">
        <is>
          <t>Request for Quotation</t>
        </is>
      </c>
      <c r="H134" t="inlineStr">
        <is>
          <t>The Road Accident Fund (RAF) wishes to appoint a suitable service provider to provide FlexClip Teams subscription for the Social Digital Media (SDM) Team for a period of twelve (12) months.</t>
        </is>
      </c>
      <c r="I134" t="inlineStr">
        <is>
          <t>ETENDERS.GOV.ZA</t>
        </is>
      </c>
      <c r="J134" t="inlineStr">
        <is>
          <t>Road Accident Fund</t>
        </is>
      </c>
      <c r="K134" t="inlineStr">
        <is>
          <t>Gauteng</t>
        </is>
      </c>
      <c r="L134" t="inlineStr">
        <is>
          <t>No</t>
        </is>
      </c>
      <c r="M134" t="inlineStr">
        <is>
          <t>Services: Professional</t>
        </is>
      </c>
      <c r="N134" t="inlineStr">
        <is>
          <t>No</t>
        </is>
      </c>
      <c r="O134" t="inlineStr"/>
      <c r="P134" t="inlineStr">
        <is>
          <t>No</t>
        </is>
      </c>
      <c r="Q134" t="inlineStr">
        <is>
          <t>N/A</t>
        </is>
      </c>
      <c r="R134" s="3" t="inlineStr">
        <is>
          <t>https://www.etenders.gov.za/home/Download/?blobName=4da3dc36-4a7b-4189-803e-e9987667c4ea.odt&amp;downloadedFileName=Annexure%20A%20-%20Bidders%20Client%20Reference.odt</t>
        </is>
      </c>
      <c r="S134" t="inlineStr"/>
      <c r="T134" t="inlineStr"/>
      <c r="U134" t="inlineStr"/>
      <c r="V134" t="inlineStr"/>
      <c r="W134" t="inlineStr"/>
    </row>
    <row r="135">
      <c r="A135" s="2" t="n">
        <v>46167</v>
      </c>
      <c r="B135" t="n">
        <v>69</v>
      </c>
      <c r="C135" t="inlineStr">
        <is>
          <t>E2949GXMPARN</t>
        </is>
      </c>
      <c r="D135" s="2" t="n">
        <v>46164</v>
      </c>
      <c r="E135" s="2" t="n">
        <v>46183</v>
      </c>
      <c r="F135" t="inlineStr">
        <is>
          <t>10:00</t>
        </is>
      </c>
      <c r="G135" t="inlineStr">
        <is>
          <t>Request for Bid(Open-Tender)</t>
        </is>
      </c>
      <c r="H135" t="inlineStr">
        <is>
          <t>Arnot AGC and Generator Plant RTU Upgrade for the period of 18 months</t>
        </is>
      </c>
      <c r="I135" t="inlineStr">
        <is>
          <t>ETENDERS.GOV.ZA</t>
        </is>
      </c>
      <c r="J135" t="inlineStr">
        <is>
          <t>ESKOM</t>
        </is>
      </c>
      <c r="K135" t="inlineStr">
        <is>
          <t>Mpumalanga</t>
        </is>
      </c>
      <c r="L135" t="inlineStr">
        <is>
          <t>No</t>
        </is>
      </c>
      <c r="M135" t="inlineStr">
        <is>
          <t>Other service activities</t>
        </is>
      </c>
      <c r="N135" t="inlineStr">
        <is>
          <t>Yes</t>
        </is>
      </c>
      <c r="O135" t="inlineStr"/>
      <c r="P135" t="inlineStr">
        <is>
          <t>Yes</t>
        </is>
      </c>
      <c r="Q135" t="inlineStr">
        <is>
          <t>msteams</t>
        </is>
      </c>
      <c r="R135" s="3" t="inlineStr">
        <is>
          <t>https://www.etenders.gov.za/home/Download/?blobName=0c1615bf-9e06-461e-86f3-7526bd426ad8.pdf&amp;downloadedFileName=SHE%20spec.pdf</t>
        </is>
      </c>
      <c r="S135" t="inlineStr"/>
      <c r="T135" t="inlineStr"/>
      <c r="U135" t="inlineStr"/>
      <c r="V135" t="inlineStr"/>
      <c r="W135" t="inlineStr"/>
    </row>
    <row r="136">
      <c r="A136" s="2" t="n">
        <v>46167</v>
      </c>
      <c r="B136" t="n">
        <v>68</v>
      </c>
      <c r="C136" t="inlineStr">
        <is>
          <t>SCM/2026/63/ENG</t>
        </is>
      </c>
      <c r="D136" s="2" t="n">
        <v>46164</v>
      </c>
      <c r="E136" s="2" t="n">
        <v>46199</v>
      </c>
      <c r="F136" t="inlineStr">
        <is>
          <t>12:00</t>
        </is>
      </c>
      <c r="G136" t="inlineStr">
        <is>
          <t>Request for Proposal</t>
        </is>
      </c>
      <c r="H136" t="inlineStr">
        <is>
          <t>CONSTRUCTION OF THE EBENEZER OUTFALL SEWER</t>
        </is>
      </c>
      <c r="I136" t="inlineStr">
        <is>
          <t>ETENDERS.GOV.ZA</t>
        </is>
      </c>
      <c r="J136" t="inlineStr">
        <is>
          <t>Bitou Municipality</t>
        </is>
      </c>
      <c r="K136" t="inlineStr">
        <is>
          <t>Western Cape</t>
        </is>
      </c>
      <c r="L136" t="inlineStr">
        <is>
          <t>No</t>
        </is>
      </c>
      <c r="M136" t="inlineStr">
        <is>
          <t>Sewerage</t>
        </is>
      </c>
      <c r="N136" t="inlineStr">
        <is>
          <t>Yes</t>
        </is>
      </c>
      <c r="O136" s="2" t="n">
        <v>46176</v>
      </c>
      <c r="P136" t="inlineStr">
        <is>
          <t>Yes</t>
        </is>
      </c>
      <c r="Q136" t="inlineStr">
        <is>
          <t>Engineering Services Boardroom, 17 Marine Way, Plettenberg Bay</t>
        </is>
      </c>
      <c r="R136" s="3" t="inlineStr">
        <is>
          <t>https://www.etenders.gov.za/home/Download/?blobName=861e5127-1b42-4714-9a37-c2a40eca3c9d.pdf&amp;downloadedFileName=Advert%20SCM%202026%2063%20ENG.pdf</t>
        </is>
      </c>
      <c r="S136" t="inlineStr"/>
      <c r="T136" t="inlineStr"/>
      <c r="U136" t="inlineStr"/>
      <c r="V136" t="inlineStr"/>
      <c r="W136" t="inlineStr"/>
    </row>
    <row r="137">
      <c r="A137" s="2" t="n">
        <v>46167</v>
      </c>
      <c r="B137" t="n">
        <v>67</v>
      </c>
      <c r="C137" t="inlineStr">
        <is>
          <t>SANBI: G574/2026</t>
        </is>
      </c>
      <c r="D137" s="2" t="n">
        <v>46164</v>
      </c>
      <c r="E137" s="2" t="n">
        <v>46190</v>
      </c>
      <c r="F137" t="inlineStr">
        <is>
          <t>11:00</t>
        </is>
      </c>
      <c r="G137" t="inlineStr">
        <is>
          <t>Request for Bid(Open-Tender)</t>
        </is>
      </c>
      <c r="H137" t="inlineStr">
        <is>
          <t>APPOINTMENT OF A SERVICE PROVIDER TO PROVIDE PERSONAL PROTECTIVE EQUIPMENT AND UNIFORMS, AS AND WHEN REQUIRED, TO THE SOUTH AFRICAN NATIONAL BIODIVERSITY INSTITUTE AT THE HAROLD PORTER NATIONAL BOTANICAL GARDEN, THE KAROO DESERT NATIONAL BOTANICAL GARDEN, THE KIRSTENBOSCH NATIONAL BOTANICAL GARDEN, THE KWELERA NATIONAL BOTANICAL GARDEN AND THE HANTAM NATIONAL BOTANICAL GARDEN FOR A PERIOD OF FIVE (5) YEARS.</t>
        </is>
      </c>
      <c r="I137" t="inlineStr">
        <is>
          <t>ETENDERS.GOV.ZA</t>
        </is>
      </c>
      <c r="J137" t="inlineStr">
        <is>
          <t>South African National Biodiversity Institute</t>
        </is>
      </c>
      <c r="K137" t="inlineStr">
        <is>
          <t>Gauteng</t>
        </is>
      </c>
      <c r="L137" t="inlineStr">
        <is>
          <t>No</t>
        </is>
      </c>
      <c r="M137" t="inlineStr">
        <is>
          <t>Other service activities</t>
        </is>
      </c>
      <c r="N137" t="inlineStr">
        <is>
          <t>Yes</t>
        </is>
      </c>
      <c r="O137" s="2" t="n">
        <v>46174</v>
      </c>
      <c r="P137" t="inlineStr">
        <is>
          <t>Yes</t>
        </is>
      </c>
      <c r="Q137" t="inlineStr">
        <is>
          <t>https://teams.microsoft.com/meet/378656912003768?p=zCBp96LIfXuRmGeXv5</t>
        </is>
      </c>
      <c r="R137" s="3" t="inlineStr">
        <is>
          <t>https://www.etenders.gov.za/home/Download/?blobName=d644aa71-a641-4fc0-865d-08895eef6f83.pdf&amp;downloadedFileName=Special%20Conditions%20of%20a%20Contract.pdf</t>
        </is>
      </c>
      <c r="S137" t="inlineStr"/>
      <c r="T137" t="inlineStr"/>
      <c r="U137" t="inlineStr"/>
      <c r="V137" t="inlineStr"/>
      <c r="W137" t="inlineStr"/>
    </row>
    <row r="138">
      <c r="A138" s="2" t="n">
        <v>46167</v>
      </c>
      <c r="B138" t="n">
        <v>66</v>
      </c>
      <c r="C138" t="inlineStr">
        <is>
          <t>UMN 22/2025-26</t>
        </is>
      </c>
      <c r="D138" s="2" t="n">
        <v>46164</v>
      </c>
      <c r="E138" s="2" t="n">
        <v>46178</v>
      </c>
      <c r="F138" t="inlineStr">
        <is>
          <t>12:00</t>
        </is>
      </c>
      <c r="G138" t="inlineStr">
        <is>
          <t>Request for Bid(Open-Tender)</t>
        </is>
      </c>
      <c r="H138" t="inlineStr">
        <is>
          <t>Appointment of a service provider to facilitate, supply and delivery of equipment for SMME</t>
        </is>
      </c>
      <c r="I138" t="inlineStr">
        <is>
          <t>ETENDERS.GOV.ZA</t>
        </is>
      </c>
      <c r="J138" t="inlineStr">
        <is>
          <t>Umngeni Municipality</t>
        </is>
      </c>
      <c r="K138" t="inlineStr">
        <is>
          <t>KwaZulu-Natal</t>
        </is>
      </c>
      <c r="L138" t="inlineStr">
        <is>
          <t>No</t>
        </is>
      </c>
      <c r="M138" t="inlineStr">
        <is>
          <t>Supplies: General</t>
        </is>
      </c>
      <c r="N138" t="inlineStr">
        <is>
          <t>No</t>
        </is>
      </c>
      <c r="O138" t="inlineStr"/>
      <c r="P138" t="inlineStr">
        <is>
          <t>No</t>
        </is>
      </c>
      <c r="Q138" t="inlineStr">
        <is>
          <t>N/A</t>
        </is>
      </c>
      <c r="R138" s="3" t="inlineStr">
        <is>
          <t>https://www.etenders.gov.za/home/Download/?blobName=bdfb59ad-1550-45a3-9d9d-5088edc63c18.pdf&amp;downloadedFileName=UMN22-2025-2026-%20Appointment%20of%20a%20service%20provider%20to%20facilitate,%20supply%20and%20delivery%20of%20equipment%20for%20SMME%20as%20at%2022-05-26..pdf</t>
        </is>
      </c>
      <c r="S138" t="inlineStr"/>
      <c r="T138" t="inlineStr"/>
      <c r="U138" t="inlineStr"/>
      <c r="V138" t="inlineStr"/>
      <c r="W138" t="inlineStr"/>
    </row>
    <row r="139">
      <c r="A139" s="2" t="n">
        <v>46167</v>
      </c>
      <c r="B139" t="n">
        <v>65</v>
      </c>
      <c r="C139" t="inlineStr">
        <is>
          <t>SALGA/02/2026</t>
        </is>
      </c>
      <c r="D139" s="2" t="n">
        <v>46164</v>
      </c>
      <c r="E139" s="2" t="n">
        <v>46192</v>
      </c>
      <c r="F139" t="inlineStr">
        <is>
          <t>11:00</t>
        </is>
      </c>
      <c r="G139" t="inlineStr">
        <is>
          <t>Request for Bid(Open-Tender)</t>
        </is>
      </c>
      <c r="H139" t="inlineStr">
        <is>
          <t>APPOINTMENT OF A PANEL OF EXPERTS TO PROVIDE INDEPENDENT PROBITY SERVICES ON BEHALF OF SALGA FOR A PERIOD OF 36 MONTHS ON A “NEEDS BASIS”.</t>
        </is>
      </c>
      <c r="I139" t="inlineStr">
        <is>
          <t>ETENDERS.GOV.ZA</t>
        </is>
      </c>
      <c r="J139" t="inlineStr">
        <is>
          <t>South African Local Government Association</t>
        </is>
      </c>
      <c r="K139" t="inlineStr">
        <is>
          <t>National</t>
        </is>
      </c>
      <c r="L139" t="inlineStr">
        <is>
          <t>No</t>
        </is>
      </c>
      <c r="M139" t="inlineStr">
        <is>
          <t>Other service activities</t>
        </is>
      </c>
      <c r="N139" t="inlineStr">
        <is>
          <t>No</t>
        </is>
      </c>
      <c r="O139" t="inlineStr"/>
      <c r="P139" t="inlineStr">
        <is>
          <t>No</t>
        </is>
      </c>
      <c r="Q139" t="inlineStr">
        <is>
          <t>N/A</t>
        </is>
      </c>
      <c r="R139" s="3" t="inlineStr">
        <is>
          <t>https://www.etenders.gov.za/home/Download/?blobName=a2fecca4-dc7e-4f36-851a-311a378444e8.pdf&amp;downloadedFileName=Probity%20Panel%20-SALGA-02-2026.pdf</t>
        </is>
      </c>
      <c r="S139" t="inlineStr"/>
      <c r="T139" t="inlineStr"/>
      <c r="U139" t="inlineStr"/>
      <c r="V139" t="inlineStr"/>
      <c r="W139" t="inlineStr"/>
    </row>
    <row r="140">
      <c r="A140" s="2" t="n">
        <v>46167</v>
      </c>
      <c r="B140" t="n">
        <v>64</v>
      </c>
      <c r="C140" t="inlineStr">
        <is>
          <t>OLT2128190</t>
        </is>
      </c>
      <c r="D140" s="2" t="n">
        <v>46164</v>
      </c>
      <c r="E140" s="2" t="n">
        <v>46181</v>
      </c>
      <c r="F140" t="inlineStr">
        <is>
          <t>10:00</t>
        </is>
      </c>
      <c r="G140" t="inlineStr">
        <is>
          <t>Request for Bid(Open-Tender)</t>
        </is>
      </c>
      <c r="H140" t="inlineStr">
        <is>
          <t>PURCHASE, COLLECTION, AND REMOVAL OF FERROUS METALS (STEEL, SUB GRADE STEEL, HEAVY STEEL, CONTAMINATED / MIXED STEEL SCRAP, OCB’s, SUB-GRADE, CT’s, VT’s, STEEL CAGES, PORCELAIN, RUBBER, INSULATORS, TRANSFORMER BOXES, ISOLATORS, LINE HARDWARE) ON AN AS AND WHEN REQUIRED BASIS FOR A CONTRACT PERIOD OF 24 MONTHS FROM ESKOM NORTHERN CAPE UNIT (NCOU).</t>
        </is>
      </c>
      <c r="I140" t="inlineStr">
        <is>
          <t>ETENDERS.GOV.ZA</t>
        </is>
      </c>
      <c r="J140" t="inlineStr">
        <is>
          <t>ESKOM</t>
        </is>
      </c>
      <c r="K140" t="inlineStr">
        <is>
          <t>Northern Cape</t>
        </is>
      </c>
      <c r="L140" t="inlineStr">
        <is>
          <t>No</t>
        </is>
      </c>
      <c r="M140" t="inlineStr">
        <is>
          <t>Disposals: General</t>
        </is>
      </c>
      <c r="N140" t="inlineStr">
        <is>
          <t>No</t>
        </is>
      </c>
      <c r="O140" t="inlineStr"/>
      <c r="P140" t="inlineStr">
        <is>
          <t>No</t>
        </is>
      </c>
      <c r="Q140" t="inlineStr">
        <is>
          <t>N/A</t>
        </is>
      </c>
      <c r="R140" s="3" t="inlineStr">
        <is>
          <t>https://www.etenders.gov.za/home/Download/?blobName=1a393d29-3383-46c1-88b8-cf699086d98a.pdf&amp;downloadedFileName=OLT%202128190%20-%20Investment%20Recovery%20Offer%20to%20Purchase.pdf</t>
        </is>
      </c>
      <c r="S140" t="inlineStr"/>
      <c r="T140" t="inlineStr"/>
      <c r="U140" t="inlineStr"/>
      <c r="V140" t="inlineStr"/>
      <c r="W140" t="inlineStr"/>
    </row>
    <row r="141">
      <c r="A141" s="2" t="n">
        <v>46167</v>
      </c>
      <c r="B141" t="n">
        <v>63</v>
      </c>
      <c r="C141" t="inlineStr">
        <is>
          <t>E2947GXMPKRI</t>
        </is>
      </c>
      <c r="D141" s="2" t="n">
        <v>46164</v>
      </c>
      <c r="E141" s="2" t="n">
        <v>46195</v>
      </c>
      <c r="F141" t="inlineStr">
        <is>
          <t>10:00</t>
        </is>
      </c>
      <c r="G141" t="inlineStr">
        <is>
          <t>Request for Bid(Open-Tender)</t>
        </is>
      </c>
      <c r="H141" t="inlineStr">
        <is>
          <t>Service, Calibration, Repairs and Supply of Instrument and Spare Parts for Laboratory Equipment and Consumables at Kriel Power Station for a Period of 5 Years, on As and When Required Basis.</t>
        </is>
      </c>
      <c r="I141" t="inlineStr">
        <is>
          <t>ETENDERS.GOV.ZA</t>
        </is>
      </c>
      <c r="J141" t="inlineStr">
        <is>
          <t>ESKOM</t>
        </is>
      </c>
      <c r="K141" t="inlineStr">
        <is>
          <t>Mpumalanga</t>
        </is>
      </c>
      <c r="L141" t="inlineStr">
        <is>
          <t>No</t>
        </is>
      </c>
      <c r="M141" t="inlineStr">
        <is>
          <t>Other service activities</t>
        </is>
      </c>
      <c r="N141" t="inlineStr">
        <is>
          <t>Yes</t>
        </is>
      </c>
      <c r="O141" s="2" t="n">
        <v>46177</v>
      </c>
      <c r="P141" t="inlineStr">
        <is>
          <t>No</t>
        </is>
      </c>
      <c r="Q141" t="inlineStr">
        <is>
          <t>MS Teams</t>
        </is>
      </c>
      <c r="R141" s="3" t="inlineStr">
        <is>
          <t>https://www.etenders.gov.za/home/Download/?blobName=42e5213f-500c-4544-befb-602100f8ef41.pdf&amp;downloadedFileName=eTendering_ExternalUser_Guide_Final.pdf</t>
        </is>
      </c>
      <c r="S141" t="inlineStr"/>
      <c r="T141" t="inlineStr"/>
      <c r="U141" t="inlineStr"/>
      <c r="V141" t="inlineStr"/>
      <c r="W141" t="inlineStr"/>
    </row>
    <row r="142">
      <c r="A142" s="2" t="n">
        <v>46167</v>
      </c>
      <c r="B142" t="n">
        <v>62</v>
      </c>
      <c r="C142" t="inlineStr">
        <is>
          <t>PLM/TEPMS/1904 - 2026</t>
        </is>
      </c>
      <c r="D142" s="2" t="n">
        <v>46164</v>
      </c>
      <c r="E142" s="2" t="n">
        <v>46185</v>
      </c>
      <c r="F142" t="inlineStr">
        <is>
          <t>12:00</t>
        </is>
      </c>
      <c r="G142" t="inlineStr">
        <is>
          <t>Request for Bid(Open-Tender)</t>
        </is>
      </c>
      <c r="H142" t="inlineStr">
        <is>
          <t>PROVISION OF AN ELECTRONIC WEB-BASED PERFORMANCE MANAGEMENT SYSTEM AND RELATED CONSULTING ACTIVITIES FOR A PERIOD 36 MONTHS.</t>
        </is>
      </c>
      <c r="I142" t="inlineStr">
        <is>
          <t>ETENDERS.GOV.ZA</t>
        </is>
      </c>
      <c r="J142" t="inlineStr">
        <is>
          <t>Phokwane Local Municipality</t>
        </is>
      </c>
      <c r="K142" t="inlineStr">
        <is>
          <t>Northern Cape</t>
        </is>
      </c>
      <c r="L142" t="inlineStr">
        <is>
          <t>No</t>
        </is>
      </c>
      <c r="M142" t="inlineStr">
        <is>
          <t>Services: Professional</t>
        </is>
      </c>
      <c r="N142" t="inlineStr">
        <is>
          <t>No</t>
        </is>
      </c>
      <c r="O142" t="inlineStr"/>
      <c r="P142" t="inlineStr">
        <is>
          <t>No</t>
        </is>
      </c>
      <c r="Q142" t="inlineStr">
        <is>
          <t>N/A</t>
        </is>
      </c>
      <c r="R142" s="3" t="inlineStr">
        <is>
          <t>https://www.etenders.gov.za/home/Download/?blobName=3905abc2-7f8f-4339-bcbe-582cacae5a77.pdf&amp;downloadedFileName=PLM%20TEPMS%20%201904%202026%20Tender%20Document%20Final.pdf</t>
        </is>
      </c>
      <c r="S142" t="inlineStr"/>
      <c r="T142" t="inlineStr"/>
      <c r="U142" t="inlineStr"/>
      <c r="V142" t="inlineStr"/>
      <c r="W142" t="inlineStr"/>
    </row>
    <row r="143">
      <c r="A143" s="2" t="n">
        <v>46167</v>
      </c>
      <c r="B143" t="n">
        <v>61</v>
      </c>
      <c r="C143" t="inlineStr">
        <is>
          <t>OLT2128189</t>
        </is>
      </c>
      <c r="D143" s="2" t="n">
        <v>46164</v>
      </c>
      <c r="E143" s="2" t="n">
        <v>46174</v>
      </c>
      <c r="F143" t="inlineStr">
        <is>
          <t>10:00</t>
        </is>
      </c>
      <c r="G143" t="inlineStr">
        <is>
          <t>Request for Proposal</t>
        </is>
      </c>
      <c r="H143" t="inlineStr">
        <is>
          <t>Offer to purchase collect and remove various Empty scrapped cans/bottles and Used papers CAMDEN POWER STATION IN MPUMALANGA “as an when required “basis for the duration of 36 months</t>
        </is>
      </c>
      <c r="I143" t="inlineStr">
        <is>
          <t>ETENDERS.GOV.ZA</t>
        </is>
      </c>
      <c r="J143" t="inlineStr">
        <is>
          <t>ESKOM</t>
        </is>
      </c>
      <c r="K143" t="inlineStr">
        <is>
          <t>Mpumalanga</t>
        </is>
      </c>
      <c r="L143" t="inlineStr">
        <is>
          <t>No</t>
        </is>
      </c>
      <c r="M143" t="inlineStr">
        <is>
          <t>Disposals: General</t>
        </is>
      </c>
      <c r="N143" t="inlineStr">
        <is>
          <t>No</t>
        </is>
      </c>
      <c r="O143" t="inlineStr"/>
      <c r="P143" t="inlineStr">
        <is>
          <t>No</t>
        </is>
      </c>
      <c r="Q143" t="inlineStr">
        <is>
          <t>N/A</t>
        </is>
      </c>
      <c r="R143" s="3" t="inlineStr">
        <is>
          <t>https://www.etenders.gov.za/home/Download/?blobName=c0d494a9-c00f-48d8-8ae7-d548e310b83e.pdf&amp;downloadedFileName=Eskom_-_Standard_Conditions_of_Tender_-_30_January_2025.pdf</t>
        </is>
      </c>
      <c r="S143" t="inlineStr"/>
      <c r="T143" t="inlineStr"/>
      <c r="U143" t="inlineStr"/>
      <c r="V143" t="inlineStr"/>
      <c r="W143" t="inlineStr"/>
    </row>
    <row r="144">
      <c r="A144" s="2" t="n">
        <v>46167</v>
      </c>
      <c r="B144" t="n">
        <v>60</v>
      </c>
      <c r="C144" t="inlineStr">
        <is>
          <t>T 2026/047</t>
        </is>
      </c>
      <c r="D144" s="2" t="n">
        <v>46164</v>
      </c>
      <c r="E144" s="2" t="n">
        <v>46199</v>
      </c>
      <c r="F144" t="inlineStr">
        <is>
          <t>11:00</t>
        </is>
      </c>
      <c r="G144" t="inlineStr">
        <is>
          <t>Request for Bid(Open-Tender)</t>
        </is>
      </c>
      <c r="H144" t="inlineStr">
        <is>
          <t>SUPPLY AND DELIVERY OF FIRE RETARDANT / WETTING AGENT FOR THE PERIOD ENDING 30 JUNE 2029</t>
        </is>
      </c>
      <c r="I144" t="inlineStr">
        <is>
          <t>ETENDERS.GOV.ZA</t>
        </is>
      </c>
      <c r="J144" t="inlineStr">
        <is>
          <t>Cape Winelands District Municipality</t>
        </is>
      </c>
      <c r="K144" t="inlineStr">
        <is>
          <t>Western Cape</t>
        </is>
      </c>
      <c r="L144" t="inlineStr">
        <is>
          <t>No</t>
        </is>
      </c>
      <c r="M144" t="inlineStr">
        <is>
          <t>Supplies: General</t>
        </is>
      </c>
      <c r="N144" t="inlineStr">
        <is>
          <t>No</t>
        </is>
      </c>
      <c r="O144" t="inlineStr"/>
      <c r="P144" t="inlineStr">
        <is>
          <t>No</t>
        </is>
      </c>
      <c r="Q144" t="inlineStr">
        <is>
          <t>N/A</t>
        </is>
      </c>
      <c r="R144" s="3" t="inlineStr">
        <is>
          <t>https://www.etenders.gov.za/home/Download/?blobName=dc985712-3664-494e-845f-904055d11a5c.pdf&amp;downloadedFileName=T%202026%20047%20TENDER%20DOCUMENT%20FINAL.pdf</t>
        </is>
      </c>
      <c r="S144" t="inlineStr"/>
      <c r="T144" t="inlineStr"/>
      <c r="U144" t="inlineStr"/>
      <c r="V144" t="inlineStr"/>
      <c r="W144" t="inlineStr"/>
    </row>
    <row r="145">
      <c r="A145" s="2" t="n">
        <v>46167</v>
      </c>
      <c r="B145" t="n">
        <v>59</v>
      </c>
      <c r="C145" t="inlineStr">
        <is>
          <t>PLK 26/13</t>
        </is>
      </c>
      <c r="D145" s="2" t="n">
        <v>46164</v>
      </c>
      <c r="E145" s="2" t="n">
        <v>46190</v>
      </c>
      <c r="F145" t="inlineStr">
        <is>
          <t>11:00</t>
        </is>
      </c>
      <c r="G145" t="inlineStr">
        <is>
          <t>Request for Bid(Open-Tender)</t>
        </is>
      </c>
      <c r="H145" t="inlineStr">
        <is>
          <t>Panel of Contractors for Repairs, Services and Maintenance of Air Conditioning Systems ( HVACS) for 24 months in Mopani</t>
        </is>
      </c>
      <c r="I145" t="inlineStr">
        <is>
          <t>ETENDERS.GOV.ZA</t>
        </is>
      </c>
      <c r="J145" t="inlineStr">
        <is>
          <t>Public Works</t>
        </is>
      </c>
      <c r="K145" t="inlineStr">
        <is>
          <t>Limpopo</t>
        </is>
      </c>
      <c r="L145" t="inlineStr">
        <is>
          <t>No</t>
        </is>
      </c>
      <c r="M145" t="inlineStr">
        <is>
          <t>Services: General</t>
        </is>
      </c>
      <c r="N145" t="inlineStr">
        <is>
          <t>Yes</t>
        </is>
      </c>
      <c r="O145" s="2" t="n">
        <v>46176</v>
      </c>
      <c r="P145" t="inlineStr">
        <is>
          <t>No</t>
        </is>
      </c>
      <c r="Q145" t="inlineStr">
        <is>
          <t>78 Hans Van Rensburg Street , Old Mutual Building. Polokwane</t>
        </is>
      </c>
      <c r="R145" s="3" t="inlineStr">
        <is>
          <t>https://www.etenders.gov.za/home/Download/?blobName=f0b30a40-8dcf-436a-8924-4bdcca3e8aaa.pdf&amp;downloadedFileName=PLK%2026-13%20Tender%20Document.pdf</t>
        </is>
      </c>
      <c r="S145" t="inlineStr"/>
      <c r="T145" t="inlineStr"/>
      <c r="U145" t="inlineStr"/>
      <c r="V145" t="inlineStr"/>
      <c r="W145" t="inlineStr"/>
    </row>
    <row r="146">
      <c r="A146" s="2" t="n">
        <v>46167</v>
      </c>
      <c r="B146" t="n">
        <v>58</v>
      </c>
      <c r="C146" t="inlineStr">
        <is>
          <t>1173</t>
        </is>
      </c>
      <c r="D146" s="2" t="n">
        <v>46164</v>
      </c>
      <c r="E146" s="2" t="n">
        <v>46175</v>
      </c>
      <c r="F146" t="inlineStr">
        <is>
          <t>11:00</t>
        </is>
      </c>
      <c r="G146" t="inlineStr">
        <is>
          <t>Request for Quotation</t>
        </is>
      </c>
      <c r="H146" t="inlineStr">
        <is>
          <t>REQUEST FOR PURCHASING, INSTALLING AND TRAINING OF EVACUATION CHAIR FOR THE SALGA NATIONAL AND NINE (9) PROVINCIAL OFFICES</t>
        </is>
      </c>
      <c r="I146" t="inlineStr">
        <is>
          <t>ETENDERS.GOV.ZA</t>
        </is>
      </c>
      <c r="J146" t="inlineStr">
        <is>
          <t>South African Local Government Association</t>
        </is>
      </c>
      <c r="K146" t="inlineStr">
        <is>
          <t>National</t>
        </is>
      </c>
      <c r="L146" t="inlineStr">
        <is>
          <t>No</t>
        </is>
      </c>
      <c r="M146" t="inlineStr">
        <is>
          <t>Services: General</t>
        </is>
      </c>
      <c r="N146" t="inlineStr">
        <is>
          <t>No</t>
        </is>
      </c>
      <c r="O146" t="inlineStr"/>
      <c r="P146" t="inlineStr">
        <is>
          <t>No</t>
        </is>
      </c>
      <c r="Q146" t="inlineStr">
        <is>
          <t>N/A</t>
        </is>
      </c>
      <c r="R146" s="3" t="inlineStr">
        <is>
          <t>https://www.etenders.gov.za/home/Download/?blobName=7447cb60-e4b6-4ae6-8554-976d5e09ddff.pdf&amp;downloadedFileName=RFQ%20SPEC.pdf</t>
        </is>
      </c>
      <c r="S146" t="inlineStr"/>
      <c r="T146" t="inlineStr"/>
      <c r="U146" t="inlineStr"/>
      <c r="V146" t="inlineStr"/>
      <c r="W146" t="inlineStr"/>
    </row>
    <row r="147">
      <c r="A147" s="2" t="n">
        <v>46167</v>
      </c>
      <c r="B147" t="n">
        <v>57</v>
      </c>
      <c r="C147" t="inlineStr">
        <is>
          <t>INGWE/06/2026 PU7212/051</t>
        </is>
      </c>
      <c r="D147" s="2" t="n">
        <v>46164</v>
      </c>
      <c r="E147" s="2" t="n">
        <v>46178</v>
      </c>
      <c r="F147" t="inlineStr">
        <is>
          <t>11:00</t>
        </is>
      </c>
      <c r="G147" t="inlineStr">
        <is>
          <t>Request for Proposal</t>
        </is>
      </c>
      <c r="H147" t="inlineStr">
        <is>
          <t>Renovations &amp; Alterations of workshops, Estimated (CIDB Grading 4GB or Higher)</t>
        </is>
      </c>
      <c r="I147" t="inlineStr">
        <is>
          <t>ETENDERS.GOV.ZA</t>
        </is>
      </c>
      <c r="J147" t="inlineStr">
        <is>
          <t>Purchasing Consortium Southern Africa (PURCOSA)</t>
        </is>
      </c>
      <c r="K147" t="inlineStr">
        <is>
          <t>Eastern Cape</t>
        </is>
      </c>
      <c r="L147" t="inlineStr">
        <is>
          <t>No</t>
        </is>
      </c>
      <c r="M147" t="inlineStr">
        <is>
          <t>Construction of buildings</t>
        </is>
      </c>
      <c r="N147" t="inlineStr">
        <is>
          <t>No</t>
        </is>
      </c>
      <c r="O147" t="inlineStr"/>
      <c r="P147" t="inlineStr">
        <is>
          <t>No</t>
        </is>
      </c>
      <c r="Q147" t="inlineStr">
        <is>
          <t>N/A</t>
        </is>
      </c>
      <c r="R147" s="3" t="inlineStr">
        <is>
          <t>https://www.etenders.gov.za/home/Download/?blobName=4d3137cf-bdaa-42f3-90ab-a895ff9d5011.pdf&amp;downloadedFileName=RENOVATIONS%20AND%20ALTERATIONS%20OF%20WORKSHOPS%20AT%20MOUNT%20FRERE%20AND%20SITETO.pdf</t>
        </is>
      </c>
      <c r="S147" t="inlineStr"/>
      <c r="T147" t="inlineStr"/>
      <c r="U147" t="inlineStr"/>
      <c r="V147" t="inlineStr"/>
      <c r="W147" t="inlineStr"/>
    </row>
    <row r="148">
      <c r="A148" s="2" t="n">
        <v>46167</v>
      </c>
      <c r="B148" t="n">
        <v>56</v>
      </c>
      <c r="C148" t="inlineStr">
        <is>
          <t>RFQ/CMS/CSFAC/04/042026</t>
        </is>
      </c>
      <c r="D148" s="2" t="n">
        <v>46164</v>
      </c>
      <c r="E148" s="2" t="n">
        <v>46177</v>
      </c>
      <c r="F148" t="inlineStr">
        <is>
          <t>11:00</t>
        </is>
      </c>
      <c r="G148" t="inlineStr">
        <is>
          <t>Request for Quotation</t>
        </is>
      </c>
      <c r="H148" t="inlineStr">
        <is>
          <t>Appointment of a service provider for maintenance and service of the hydrovar pump (Water System) for a period of four (4) Years</t>
        </is>
      </c>
      <c r="I148" t="inlineStr">
        <is>
          <t>ETENDERS.GOV.ZA</t>
        </is>
      </c>
      <c r="J148" t="inlineStr">
        <is>
          <t>Council for Medical Schemes</t>
        </is>
      </c>
      <c r="K148" t="inlineStr">
        <is>
          <t>Gauteng</t>
        </is>
      </c>
      <c r="L148" t="inlineStr">
        <is>
          <t>No</t>
        </is>
      </c>
      <c r="M148" t="inlineStr">
        <is>
          <t>Water supply; sewerage, waste management and remediation activities</t>
        </is>
      </c>
      <c r="N148" t="inlineStr">
        <is>
          <t>No</t>
        </is>
      </c>
      <c r="O148" t="inlineStr"/>
      <c r="P148" t="inlineStr">
        <is>
          <t>No</t>
        </is>
      </c>
      <c r="Q148" t="inlineStr">
        <is>
          <t>N/A</t>
        </is>
      </c>
      <c r="R148" s="3" t="inlineStr">
        <is>
          <t>https://www.etenders.gov.za/home/Download/?blobName=944ad65b-b63f-471b-a230-7627a0a0d946.pdf&amp;downloadedFileName=RFQ-Appointment%20of%20a%20service%20provider%20for%20maintenance%20and%20service%20of%20the%20hydrovar%20pump%20(Water%20System)%20for%20a%20period%20of%20four%20(4)%20Years_%20(003).pdf</t>
        </is>
      </c>
      <c r="S148" t="inlineStr"/>
      <c r="T148" t="inlineStr"/>
      <c r="U148" t="inlineStr"/>
      <c r="V148" t="inlineStr"/>
      <c r="W148" t="inlineStr"/>
    </row>
    <row r="149">
      <c r="A149" s="2" t="n">
        <v>46167</v>
      </c>
      <c r="B149" t="n">
        <v>55</v>
      </c>
      <c r="C149" t="inlineStr">
        <is>
          <t>PRR00315</t>
        </is>
      </c>
      <c r="D149" s="2" t="n">
        <v>46164</v>
      </c>
      <c r="E149" s="2" t="n">
        <v>46168</v>
      </c>
      <c r="F149" t="inlineStr">
        <is>
          <t>16:00</t>
        </is>
      </c>
      <c r="G149" t="inlineStr">
        <is>
          <t>Request for Quotation</t>
        </is>
      </c>
      <c r="H149" t="inlineStr">
        <is>
          <t>Request for service provider to maintain, Service, Repair and Replace of fire equipment systems for the period of three (3) years</t>
        </is>
      </c>
      <c r="I149" t="inlineStr">
        <is>
          <t>ETENDERS.GOV.ZA</t>
        </is>
      </c>
      <c r="J149" t="inlineStr">
        <is>
          <t>Council on Higher Education</t>
        </is>
      </c>
      <c r="K149" t="inlineStr">
        <is>
          <t>Gauteng</t>
        </is>
      </c>
      <c r="L149" t="inlineStr">
        <is>
          <t>No</t>
        </is>
      </c>
      <c r="M149" t="inlineStr">
        <is>
          <t>Office administrative, office support and other business support activities</t>
        </is>
      </c>
      <c r="N149" t="inlineStr">
        <is>
          <t>No</t>
        </is>
      </c>
      <c r="O149" t="inlineStr"/>
      <c r="P149" t="inlineStr">
        <is>
          <t>No</t>
        </is>
      </c>
      <c r="Q149" t="inlineStr">
        <is>
          <t>N/A</t>
        </is>
      </c>
      <c r="R149" s="3" t="inlineStr">
        <is>
          <t>https://www.etenders.gov.za/home/Download/?blobName=ebb9ac88-8a17-4235-a76b-e76575f4d29f.pdf&amp;downloadedFileName=SBD%20Spec%20Pricing-%20PRR00315.pdf</t>
        </is>
      </c>
      <c r="S149" t="inlineStr"/>
      <c r="T149" t="inlineStr"/>
      <c r="U149" t="inlineStr"/>
      <c r="V149" t="inlineStr"/>
      <c r="W149" t="inlineStr"/>
    </row>
    <row r="150">
      <c r="A150" s="2" t="n">
        <v>46167</v>
      </c>
      <c r="B150" t="n">
        <v>54</v>
      </c>
      <c r="C150" t="inlineStr">
        <is>
          <t>NKO:15/2026</t>
        </is>
      </c>
      <c r="D150" s="2" t="n">
        <v>46164</v>
      </c>
      <c r="E150" s="2" t="n">
        <v>46197</v>
      </c>
      <c r="F150" t="inlineStr">
        <is>
          <t>12:00</t>
        </is>
      </c>
      <c r="G150" t="inlineStr">
        <is>
          <t>Request for Bid(Open-Tender)</t>
        </is>
      </c>
      <c r="H150" t="inlineStr">
        <is>
          <t>APPOINTMENT OF A SERVICE PROVIDER FOR THE FULL IMPLEMENTATION OF THE REVISED GRAP 104 (EXPECTED CREDIT LOSS(ECL) IMPAIRMENT MODEL) FOR NKOMAZI LOCAL MUNICIPALITY FOR A PERIOD OF THIRTY SIX(36) MONTHS.</t>
        </is>
      </c>
      <c r="I150" t="inlineStr">
        <is>
          <t>ETENDERS.GOV.ZA</t>
        </is>
      </c>
      <c r="J150" t="inlineStr">
        <is>
          <t>Nkomazi Local Municipality</t>
        </is>
      </c>
      <c r="K150" t="inlineStr">
        <is>
          <t>Mpumalanga</t>
        </is>
      </c>
      <c r="L150" t="inlineStr">
        <is>
          <t>No</t>
        </is>
      </c>
      <c r="M150" t="inlineStr">
        <is>
          <t>Activities auxiliary to financial service and insurance activities.</t>
        </is>
      </c>
      <c r="N150" t="inlineStr">
        <is>
          <t>Yes</t>
        </is>
      </c>
      <c r="O150" s="2" t="n">
        <v>46171</v>
      </c>
      <c r="P150" t="inlineStr">
        <is>
          <t>No</t>
        </is>
      </c>
      <c r="Q150" t="inlineStr">
        <is>
          <t>Budget and Treasury Boardroom, 22 Impala Street, Malelane, 1320</t>
        </is>
      </c>
      <c r="R150" s="3" t="inlineStr">
        <is>
          <t>https://www.etenders.gov.za/home/Download/?blobName=32674e1f-31b7-49b4-9c61-1bb7bbd6d3c0.pdf&amp;downloadedFileName=NKO-15-2026.pdf</t>
        </is>
      </c>
      <c r="S150" t="inlineStr"/>
      <c r="T150" t="inlineStr"/>
      <c r="U150" t="inlineStr"/>
      <c r="V150" t="inlineStr"/>
      <c r="W150" t="inlineStr"/>
    </row>
    <row r="151">
      <c r="A151" s="2" t="n">
        <v>46167</v>
      </c>
      <c r="B151" t="n">
        <v>53</v>
      </c>
      <c r="C151" t="inlineStr">
        <is>
          <t>DOH(FS)02/2026/2027</t>
        </is>
      </c>
      <c r="D151" s="2" t="n">
        <v>46164</v>
      </c>
      <c r="E151" s="2" t="n">
        <v>46192</v>
      </c>
      <c r="F151" t="inlineStr">
        <is>
          <t>11:00</t>
        </is>
      </c>
      <c r="G151" t="inlineStr">
        <is>
          <t>Request for Bid(Open-Tender)</t>
        </is>
      </c>
      <c r="H151" t="inlineStr">
        <is>
          <t>Maintenance, service, repairs and replacement of medical gas, medica air, vacuum, and LP gas installations at various institution in the Free State Department of Health. (4ME OR HIGHER)</t>
        </is>
      </c>
      <c r="I151" t="inlineStr">
        <is>
          <t>ETENDERS.GOV.ZA</t>
        </is>
      </c>
      <c r="J151" t="inlineStr">
        <is>
          <t>Free State - Health</t>
        </is>
      </c>
      <c r="K151" t="inlineStr">
        <is>
          <t>Free State</t>
        </is>
      </c>
      <c r="L151" t="inlineStr">
        <is>
          <t>No</t>
        </is>
      </c>
      <c r="M151" t="inlineStr">
        <is>
          <t>Services: General</t>
        </is>
      </c>
      <c r="N151" t="inlineStr">
        <is>
          <t>Yes</t>
        </is>
      </c>
      <c r="O151" s="2" t="n">
        <v>46176</v>
      </c>
      <c r="P151" t="inlineStr">
        <is>
          <t>Yes</t>
        </is>
      </c>
      <c r="Q151" t="inlineStr">
        <is>
          <t>Auditorium, First Floor, Bophelo House, c/o Charlotte Maxeke Street and Harvey Road, Bloemfontein</t>
        </is>
      </c>
      <c r="R151" s="3" t="inlineStr">
        <is>
          <t>https://www.etenders.gov.za/home/Download/?blobName=d4daf8d6-8968-43c0-a028-054db6b2da26.pdf&amp;downloadedFileName=DOH(FS)%2002-2026-2027%20DOC.pdf</t>
        </is>
      </c>
      <c r="S151" t="inlineStr"/>
      <c r="T151" t="inlineStr"/>
      <c r="U151" t="inlineStr"/>
      <c r="V151" t="inlineStr"/>
      <c r="W151" t="inlineStr"/>
    </row>
    <row r="152">
      <c r="A152" s="2" t="n">
        <v>46167</v>
      </c>
      <c r="B152" t="n">
        <v>52</v>
      </c>
      <c r="C152" t="inlineStr">
        <is>
          <t>251Q/2025/26</t>
        </is>
      </c>
      <c r="D152" s="2" t="n">
        <v>46164</v>
      </c>
      <c r="E152" s="2" t="n">
        <v>46203</v>
      </c>
      <c r="F152" t="inlineStr">
        <is>
          <t>10:00</t>
        </is>
      </c>
      <c r="G152" t="inlineStr">
        <is>
          <t>Request for Bid(Open-Tender)</t>
        </is>
      </c>
      <c r="H152" t="inlineStr">
        <is>
          <t>TERM TENDER FOR THE PROVISION OF LANDSCAPE MAINTENANCE AND ANCILLARY SERVICES TO ECONOMIC GROWTH FACILITIES.</t>
        </is>
      </c>
      <c r="I152" t="inlineStr">
        <is>
          <t>ETENDERS.GOV.ZA</t>
        </is>
      </c>
      <c r="J152" t="inlineStr">
        <is>
          <t>City of Cape Town</t>
        </is>
      </c>
      <c r="K152" t="inlineStr">
        <is>
          <t>Western Cape</t>
        </is>
      </c>
      <c r="L152" t="inlineStr">
        <is>
          <t>No</t>
        </is>
      </c>
      <c r="M152" t="inlineStr">
        <is>
          <t>Services: General</t>
        </is>
      </c>
      <c r="N152" t="inlineStr">
        <is>
          <t>Yes</t>
        </is>
      </c>
      <c r="O152" s="2" t="n">
        <v>46182</v>
      </c>
      <c r="P152" t="inlineStr">
        <is>
          <t>No</t>
        </is>
      </c>
      <c r="Q152" t="inlineStr">
        <is>
          <t>HYBRID</t>
        </is>
      </c>
      <c r="R152" s="3" t="inlineStr">
        <is>
          <t>https://www.etenders.gov.za/home/Download/?blobName=b5d6bb72-9cfc-4338-9413-0c3a7e1c3aed.pdf&amp;downloadedFileName=251Q.2025.26%20-%20FINAL%20DOC-1-7.pdf</t>
        </is>
      </c>
      <c r="S152" t="inlineStr"/>
      <c r="T152" t="inlineStr"/>
      <c r="U152" t="inlineStr"/>
      <c r="V152" t="inlineStr"/>
      <c r="W152" t="inlineStr"/>
    </row>
    <row r="153">
      <c r="A153" s="2" t="n">
        <v>46167</v>
      </c>
      <c r="B153" t="n">
        <v>51</v>
      </c>
      <c r="C153" t="inlineStr">
        <is>
          <t>LS07/2026</t>
        </is>
      </c>
      <c r="D153" s="2" t="n">
        <v>46164</v>
      </c>
      <c r="E153" s="2" t="n">
        <v>46185</v>
      </c>
      <c r="F153" t="inlineStr">
        <is>
          <t>11:00</t>
        </is>
      </c>
      <c r="G153" t="inlineStr">
        <is>
          <t>Request for Bid(Open-Tender)</t>
        </is>
      </c>
      <c r="H153" t="inlineStr">
        <is>
          <t>KIMBERLEY GOVERNMENT PENSION ADMINISTRATION AGENCY: New office accommodation of 605.10m² and 27 parking bays for a period of 5 years.</t>
        </is>
      </c>
      <c r="I153" t="inlineStr">
        <is>
          <t>ETENDERS.GOV.ZA</t>
        </is>
      </c>
      <c r="J153" t="inlineStr">
        <is>
          <t>Public Works</t>
        </is>
      </c>
      <c r="K153" t="inlineStr">
        <is>
          <t>National</t>
        </is>
      </c>
      <c r="L153" t="inlineStr">
        <is>
          <t>No</t>
        </is>
      </c>
      <c r="M153" t="inlineStr">
        <is>
          <t>Accommodation</t>
        </is>
      </c>
      <c r="N153" t="inlineStr">
        <is>
          <t>Yes</t>
        </is>
      </c>
      <c r="O153" s="2" t="n">
        <v>46178</v>
      </c>
      <c r="P153" t="inlineStr">
        <is>
          <t>No</t>
        </is>
      </c>
      <c r="Q153" t="inlineStr">
        <is>
          <t>Teams Meeting: https://teams.microsoft.com/meet/31091787406365?p=CEww9ckC8ztJPG5yTe</t>
        </is>
      </c>
      <c r="R153" s="3" t="inlineStr">
        <is>
          <t>https://www.etenders.gov.za/home/Download/?blobName=cb32ac11-6ea2-4784-8066-e50244ecab5a.pdf&amp;downloadedFileName=LS07.2026.pdf</t>
        </is>
      </c>
      <c r="S153" t="inlineStr"/>
      <c r="T153" t="inlineStr"/>
      <c r="U153" t="inlineStr"/>
      <c r="V153" t="inlineStr"/>
      <c r="W153" t="inlineStr"/>
    </row>
    <row r="154">
      <c r="A154" s="2" t="n">
        <v>46167</v>
      </c>
      <c r="B154" t="n">
        <v>50</v>
      </c>
      <c r="C154" t="inlineStr">
        <is>
          <t>RFQ 803/21/2026</t>
        </is>
      </c>
      <c r="D154" s="2" t="n">
        <v>46164</v>
      </c>
      <c r="E154" s="2" t="n">
        <v>46181</v>
      </c>
      <c r="F154" t="inlineStr">
        <is>
          <t>12:00</t>
        </is>
      </c>
      <c r="G154" t="inlineStr">
        <is>
          <t>Request for Quotation</t>
        </is>
      </c>
      <c r="H154" t="inlineStr">
        <is>
          <t>APPOINTMENT OF A SERVICE PROVIDER TO PROVIDE SILVICULTURE SERVICES FOR MORGENZON PLANTATION</t>
        </is>
      </c>
      <c r="I154" t="inlineStr">
        <is>
          <t>ETENDERS.GOV.ZA</t>
        </is>
      </c>
      <c r="J154" t="inlineStr">
        <is>
          <t>South African Forestry Company Limited</t>
        </is>
      </c>
      <c r="K154" t="inlineStr">
        <is>
          <t>Mpumalanga</t>
        </is>
      </c>
      <c r="L154" t="inlineStr">
        <is>
          <t>No</t>
        </is>
      </c>
      <c r="M154" t="inlineStr">
        <is>
          <t>Agricultural Products and Services</t>
        </is>
      </c>
      <c r="N154" t="inlineStr">
        <is>
          <t>No</t>
        </is>
      </c>
      <c r="O154" t="inlineStr"/>
      <c r="P154" t="inlineStr">
        <is>
          <t>No</t>
        </is>
      </c>
      <c r="Q154" t="inlineStr">
        <is>
          <t>N/A</t>
        </is>
      </c>
      <c r="R154" s="3" t="inlineStr">
        <is>
          <t>https://www.etenders.gov.za/home/Download/?blobName=ab42b359-bd70-471f-94ef-56f2913b1aab.pdf&amp;downloadedFileName=RFQ%20803.21.2026%20%20SILVICULTURE%20MORGENZON%20%20.pdf</t>
        </is>
      </c>
      <c r="S154" t="inlineStr"/>
      <c r="T154" t="inlineStr"/>
      <c r="U154" t="inlineStr"/>
      <c r="V154" t="inlineStr"/>
      <c r="W154" t="inlineStr"/>
    </row>
    <row r="155">
      <c r="A155" s="2" t="n">
        <v>46167</v>
      </c>
      <c r="B155" t="n">
        <v>49</v>
      </c>
      <c r="C155" t="inlineStr">
        <is>
          <t>RQ-019609</t>
        </is>
      </c>
      <c r="D155" s="2" t="n">
        <v>46164</v>
      </c>
      <c r="E155" s="2" t="n">
        <v>46184</v>
      </c>
      <c r="F155" t="inlineStr">
        <is>
          <t>11:00</t>
        </is>
      </c>
      <c r="G155" t="inlineStr">
        <is>
          <t>Request for Quotation</t>
        </is>
      </c>
      <c r="H155" t="inlineStr">
        <is>
          <t>SPECIFICATION FOR TRAINING ON CONTRACT MANAGEMENT</t>
        </is>
      </c>
      <c r="I155" t="inlineStr">
        <is>
          <t>ETENDERS.GOV.ZA</t>
        </is>
      </c>
      <c r="J155" t="inlineStr">
        <is>
          <t>Limpopo - Department of Community Safety and Transport Management</t>
        </is>
      </c>
      <c r="K155" t="inlineStr">
        <is>
          <t>Limpopo</t>
        </is>
      </c>
      <c r="L155" t="inlineStr">
        <is>
          <t>No</t>
        </is>
      </c>
      <c r="M155" t="inlineStr">
        <is>
          <t>Services: Professional</t>
        </is>
      </c>
      <c r="N155" t="inlineStr">
        <is>
          <t>No</t>
        </is>
      </c>
      <c r="O155" t="inlineStr"/>
      <c r="P155" t="inlineStr">
        <is>
          <t>No</t>
        </is>
      </c>
      <c r="Q155" t="inlineStr">
        <is>
          <t>N/A</t>
        </is>
      </c>
      <c r="R155" s="3" t="inlineStr">
        <is>
          <t>https://www.etenders.gov.za/home/Download/?blobName=2ca2d931-5e1f-4f33-8eb4-852c82ee14c4.pdf&amp;downloadedFileName=RQ-019609.pdf</t>
        </is>
      </c>
      <c r="S155" t="inlineStr"/>
      <c r="T155" t="inlineStr"/>
      <c r="U155" t="inlineStr"/>
      <c r="V155" t="inlineStr"/>
      <c r="W155" t="inlineStr"/>
    </row>
    <row r="156">
      <c r="A156" s="2" t="n">
        <v>46167</v>
      </c>
      <c r="B156" t="n">
        <v>48</v>
      </c>
      <c r="C156" t="inlineStr">
        <is>
          <t>MLM 10/25/26</t>
        </is>
      </c>
      <c r="D156" s="2" t="n">
        <v>46164</v>
      </c>
      <c r="E156" s="2" t="n">
        <v>46199</v>
      </c>
      <c r="F156" t="inlineStr">
        <is>
          <t>11:00</t>
        </is>
      </c>
      <c r="G156" t="inlineStr">
        <is>
          <t>Request for Bid(Open-Tender)</t>
        </is>
      </c>
      <c r="H156" t="inlineStr">
        <is>
          <t>Supply, Delivery and Off-Loading of Water Treatment Chemicals (Panel) “As When and Required Basis” for Three Years Period for Mantsopa Local Municipality.</t>
        </is>
      </c>
      <c r="I156" t="inlineStr">
        <is>
          <t>ETENDERS.GOV.ZA</t>
        </is>
      </c>
      <c r="J156" t="inlineStr">
        <is>
          <t>Mantsopa Local Municipality</t>
        </is>
      </c>
      <c r="K156" t="inlineStr">
        <is>
          <t>Free State</t>
        </is>
      </c>
      <c r="L156" t="inlineStr">
        <is>
          <t>No</t>
        </is>
      </c>
      <c r="M156" t="inlineStr">
        <is>
          <t>Water collection, treatment and supply</t>
        </is>
      </c>
      <c r="N156" t="inlineStr">
        <is>
          <t>Yes</t>
        </is>
      </c>
      <c r="O156" s="2" t="n">
        <v>46171</v>
      </c>
      <c r="P156" t="inlineStr">
        <is>
          <t>Yes</t>
        </is>
      </c>
      <c r="Q156" t="inlineStr">
        <is>
          <t>Manyatseng Council Chamber</t>
        </is>
      </c>
      <c r="R156" s="3" t="inlineStr">
        <is>
          <t>https://www.etenders.gov.za/home/Download/?blobName=eba54dbe-4dae-4d0b-9fb2-aacc2ee12428.pdf&amp;downloadedFileName=ADVERT-%20VARIOUS%20BIDS%20-%2022%20MAY%202026.pdf</t>
        </is>
      </c>
      <c r="S156" t="inlineStr"/>
      <c r="T156" t="inlineStr"/>
      <c r="U156" t="inlineStr"/>
      <c r="V156" t="inlineStr"/>
      <c r="W156" t="inlineStr"/>
    </row>
    <row r="157">
      <c r="A157" s="2" t="n">
        <v>46167</v>
      </c>
      <c r="B157" t="n">
        <v>47</v>
      </c>
      <c r="C157" t="inlineStr">
        <is>
          <t>30/2025/2026</t>
        </is>
      </c>
      <c r="D157" s="2" t="n">
        <v>46164</v>
      </c>
      <c r="E157" s="2" t="n">
        <v>46198</v>
      </c>
      <c r="F157" t="inlineStr">
        <is>
          <t>11:00</t>
        </is>
      </c>
      <c r="G157" t="inlineStr">
        <is>
          <t>Request for Bid(Open-Tender)</t>
        </is>
      </c>
      <c r="H157" t="inlineStr">
        <is>
          <t>DESIGN AND IMPLEMENTATION OF TURNKEY ELECTRIFICATION PROJECTS FOR PERIOD OF THREE (3) YEARS</t>
        </is>
      </c>
      <c r="I157" t="inlineStr">
        <is>
          <t>ETENDERS.GOV.ZA</t>
        </is>
      </c>
      <c r="J157" t="inlineStr">
        <is>
          <t>Thulamela Local Municipality</t>
        </is>
      </c>
      <c r="K157" t="inlineStr">
        <is>
          <t>Limpopo</t>
        </is>
      </c>
      <c r="L157" t="inlineStr">
        <is>
          <t>No</t>
        </is>
      </c>
      <c r="M157" t="inlineStr">
        <is>
          <t>Administrative and support activities</t>
        </is>
      </c>
      <c r="N157" t="inlineStr">
        <is>
          <t>Yes</t>
        </is>
      </c>
      <c r="O157" t="inlineStr"/>
      <c r="P157" t="inlineStr">
        <is>
          <t>Yes</t>
        </is>
      </c>
      <c r="Q157" t="inlineStr">
        <is>
          <t>THULAMELA LOCAL MUNICIPALITY COUNCIL CHAMBER</t>
        </is>
      </c>
      <c r="R157" s="3" t="inlineStr">
        <is>
          <t>https://www.etenders.gov.za/home/Download/?blobName=212edfe0-e92d-419b-97c2-0125bd1b7eb3.pdf&amp;downloadedFileName=DESIGN%20AND%20IMPLEMENTATION%20OF%20TURKEY%20ELECTRIFICATION%20PROJECTS%20FOR%20A%20PERIOD%20OF%20THREE(3)%20YEARS.pdf</t>
        </is>
      </c>
      <c r="S157" t="inlineStr"/>
      <c r="T157" t="inlineStr"/>
      <c r="U157" t="inlineStr"/>
      <c r="V157" t="inlineStr"/>
      <c r="W157" t="inlineStr"/>
    </row>
    <row r="158">
      <c r="A158" s="2" t="n">
        <v>46167</v>
      </c>
      <c r="B158" t="n">
        <v>46</v>
      </c>
      <c r="C158" t="inlineStr">
        <is>
          <t>E1569GXMPKRI Cancellation</t>
        </is>
      </c>
      <c r="D158" s="2" t="n">
        <v>46164</v>
      </c>
      <c r="E158" s="2" t="n">
        <v>46195</v>
      </c>
      <c r="F158" t="inlineStr">
        <is>
          <t>10:00</t>
        </is>
      </c>
      <c r="G158" t="inlineStr">
        <is>
          <t>Request for Bid(Open-Tender)</t>
        </is>
      </c>
      <c r="H158" t="inlineStr">
        <is>
          <t>Tender cancellation for Supply and delivery of Various Filters on an “as and when” required basis for a period of five years at Kriel Power Station.</t>
        </is>
      </c>
      <c r="I158" t="inlineStr">
        <is>
          <t>ETENDERS.GOV.ZA</t>
        </is>
      </c>
      <c r="J158" t="inlineStr">
        <is>
          <t>ESKOM</t>
        </is>
      </c>
      <c r="K158" t="inlineStr">
        <is>
          <t>Mpumalanga</t>
        </is>
      </c>
      <c r="L158" t="inlineStr">
        <is>
          <t>No</t>
        </is>
      </c>
      <c r="M158" t="inlineStr">
        <is>
          <t>Supplies: General</t>
        </is>
      </c>
      <c r="N158" t="inlineStr">
        <is>
          <t>No</t>
        </is>
      </c>
      <c r="O158" t="inlineStr"/>
      <c r="P158" t="inlineStr">
        <is>
          <t>No</t>
        </is>
      </c>
      <c r="Q158" t="inlineStr">
        <is>
          <t>N/A</t>
        </is>
      </c>
      <c r="R158" s="3" t="inlineStr">
        <is>
          <t>https://www.etenders.gov.za/home/Download/?blobName=853f9492-1419-4dc4-9793-90a4302e9ad6.pdf&amp;downloadedFileName=Tender%20Cancellation%20Letter%20-%20Various%20Filters.pdf</t>
        </is>
      </c>
      <c r="S158" t="inlineStr"/>
      <c r="T158" t="inlineStr"/>
      <c r="U158" t="inlineStr"/>
      <c r="V158" t="inlineStr"/>
      <c r="W158" t="inlineStr"/>
    </row>
    <row r="159">
      <c r="A159" s="2" t="n">
        <v>46167</v>
      </c>
      <c r="B159" t="n">
        <v>45</v>
      </c>
      <c r="C159" t="inlineStr">
        <is>
          <t>RFQ/IT/2026/10251880/23</t>
        </is>
      </c>
      <c r="D159" s="2" t="n">
        <v>46164</v>
      </c>
      <c r="E159" s="2" t="n">
        <v>46181</v>
      </c>
      <c r="F159" t="inlineStr">
        <is>
          <t>12:00</t>
        </is>
      </c>
      <c r="G159" t="inlineStr">
        <is>
          <t>Request for Quotation</t>
        </is>
      </c>
      <c r="H159" t="inlineStr">
        <is>
          <t>APPOINTMENT OF A SUITABLE SERVICE PROVIDER FOR THE MAINTENANCE AND SUPPORT OF COHECITY/VERITAS NETBACKUP SOFTWARE AND QUANTUM LIBRARY FOR A PERIOD OF TWELVE (12) MONTHS</t>
        </is>
      </c>
      <c r="I159" t="inlineStr">
        <is>
          <t>ETENDERS.GOV.ZA</t>
        </is>
      </c>
      <c r="J159" t="inlineStr">
        <is>
          <t>South African Broadcasting Corporation Limited</t>
        </is>
      </c>
      <c r="K159" t="inlineStr">
        <is>
          <t>National</t>
        </is>
      </c>
      <c r="L159" t="inlineStr">
        <is>
          <t>No</t>
        </is>
      </c>
      <c r="M159" t="inlineStr">
        <is>
          <t>Administrative and support activities</t>
        </is>
      </c>
      <c r="N159" t="inlineStr">
        <is>
          <t>No</t>
        </is>
      </c>
      <c r="O159" t="inlineStr"/>
      <c r="P159" t="inlineStr">
        <is>
          <t>No</t>
        </is>
      </c>
      <c r="Q159" t="inlineStr">
        <is>
          <t>N/A</t>
        </is>
      </c>
      <c r="R159" s="3" t="inlineStr">
        <is>
          <t>https://www.etenders.gov.za/home/Download/?blobName=74284ecb-4ab6-4e97-80d5-28330a82807b.pdf&amp;downloadedFileName=SABC%20RFQ%20For%20Veritas%20Netbackup%20Software%20and%20Quantum%20(002).pdf</t>
        </is>
      </c>
      <c r="S159" t="inlineStr"/>
      <c r="T159" t="inlineStr"/>
      <c r="U159" t="inlineStr"/>
      <c r="V159" t="inlineStr"/>
      <c r="W159" t="inlineStr"/>
    </row>
    <row r="160">
      <c r="A160" s="2" t="n">
        <v>46167</v>
      </c>
      <c r="B160" t="n">
        <v>44</v>
      </c>
      <c r="C160" t="inlineStr">
        <is>
          <t>E2951CXMWP</t>
        </is>
      </c>
      <c r="D160" s="2" t="n">
        <v>46164</v>
      </c>
      <c r="E160" s="2" t="n">
        <v>46192</v>
      </c>
      <c r="F160" t="inlineStr">
        <is>
          <t>10:00</t>
        </is>
      </c>
      <c r="G160" t="inlineStr">
        <is>
          <t>Request for Bid(Open-Tender)</t>
        </is>
      </c>
      <c r="H160" t="inlineStr">
        <is>
          <t>FOR PROVISION OF TRANSACTIONAL ADVISOR FOR A VERTICALLY INTEGRATED PV MANUFACTURING FACILITY FEASIBILITY STUDY FOR A PERIOD OF TWENTY (20) MONTHS AT RESEARCH TESTING AND DEVELOPMENT</t>
        </is>
      </c>
      <c r="I160" t="inlineStr">
        <is>
          <t>ETENDERS.GOV.ZA</t>
        </is>
      </c>
      <c r="J160" t="inlineStr">
        <is>
          <t>ESKOM</t>
        </is>
      </c>
      <c r="K160" t="inlineStr">
        <is>
          <t>Gauteng</t>
        </is>
      </c>
      <c r="L160" t="inlineStr">
        <is>
          <t>No</t>
        </is>
      </c>
      <c r="M160" t="inlineStr">
        <is>
          <t>Services: Professional</t>
        </is>
      </c>
      <c r="N160" t="inlineStr">
        <is>
          <t>Yes</t>
        </is>
      </c>
      <c r="O160" s="2" t="n">
        <v>46178</v>
      </c>
      <c r="P160" t="inlineStr">
        <is>
          <t>No</t>
        </is>
      </c>
      <c r="Q160" t="inlineStr">
        <is>
          <t>MS Teams</t>
        </is>
      </c>
      <c r="R160" s="3" t="inlineStr">
        <is>
          <t>https://www.etenders.gov.za/home/Download/?blobName=4870c6c7-8de7-4cd3-83f9-551fc535026b.doc&amp;downloadedFileName=Supplier%20Evaluation%20Pack%20for%2001%20March%202026%20to%2028%20February%202027.doc</t>
        </is>
      </c>
      <c r="S160" t="inlineStr"/>
      <c r="T160" t="inlineStr"/>
      <c r="U160" t="inlineStr"/>
      <c r="V160" t="inlineStr"/>
      <c r="W160" t="inlineStr"/>
    </row>
    <row r="161">
      <c r="A161" s="2" t="n">
        <v>46167</v>
      </c>
      <c r="B161" t="n">
        <v>43</v>
      </c>
      <c r="C161" t="inlineStr">
        <is>
          <t>EHCPPDN/05/2026</t>
        </is>
      </c>
      <c r="D161" s="2" t="n">
        <v>46164</v>
      </c>
      <c r="E161" s="2" t="n">
        <v>46171</v>
      </c>
      <c r="F161" t="inlineStr">
        <is>
          <t>11:00</t>
        </is>
      </c>
      <c r="G161" t="inlineStr">
        <is>
          <t>Request for Quotation</t>
        </is>
      </c>
      <c r="H161" t="inlineStr">
        <is>
          <t>Appointment of a service provider for the supply, removal, fitting, and installation of a concrete V-drain drainage system measuring 105 metres in length, including the removal and reinstallation of six washing lines. The work includes the installation of 75 mm thick x 1.5 m wide concrete V-drains to improve drainage behind Block D area.</t>
        </is>
      </c>
      <c r="I161" t="inlineStr">
        <is>
          <t>ETENDERS.GOV.ZA</t>
        </is>
      </c>
      <c r="J161" t="inlineStr">
        <is>
          <t>Ekurhuieni Housing Company</t>
        </is>
      </c>
      <c r="K161" t="inlineStr">
        <is>
          <t>Gauteng</t>
        </is>
      </c>
      <c r="L161" t="inlineStr">
        <is>
          <t>No</t>
        </is>
      </c>
      <c r="M161" t="inlineStr">
        <is>
          <t>Services: Building</t>
        </is>
      </c>
      <c r="N161" t="inlineStr">
        <is>
          <t>Yes</t>
        </is>
      </c>
      <c r="O161" s="2" t="n">
        <v>46168</v>
      </c>
      <c r="P161" t="inlineStr">
        <is>
          <t>Yes</t>
        </is>
      </c>
      <c r="Q161" t="inlineStr">
        <is>
          <t>Corner Jack and Queen Germiston 1400 Pharoe Park Complex</t>
        </is>
      </c>
      <c r="R161" s="3" t="inlineStr">
        <is>
          <t>https://www.etenders.gov.za/home/Download/?blobName=7fcf8a18-b7f0-413b-aecd-9f71ea24bc09.pdf&amp;downloadedFileName=RFQ%20Block%20D%2022%20May%202026.pdf</t>
        </is>
      </c>
      <c r="S161" t="inlineStr"/>
      <c r="T161" t="inlineStr"/>
      <c r="U161" t="inlineStr"/>
      <c r="V161" t="inlineStr"/>
      <c r="W161" t="inlineStr"/>
    </row>
    <row r="162">
      <c r="A162" s="2" t="n">
        <v>46167</v>
      </c>
      <c r="B162" t="n">
        <v>42</v>
      </c>
      <c r="C162" t="inlineStr">
        <is>
          <t>CHE/CS/05/02/2026</t>
        </is>
      </c>
      <c r="D162" s="2" t="n">
        <v>46164</v>
      </c>
      <c r="E162" s="2" t="n">
        <v>46195</v>
      </c>
      <c r="F162" t="inlineStr">
        <is>
          <t>11:00</t>
        </is>
      </c>
      <c r="G162" t="inlineStr">
        <is>
          <t>Request for Bid(Open-Tender)</t>
        </is>
      </c>
      <c r="H162" t="inlineStr">
        <is>
          <t>Provision of Internal Auditing services for a period of 36 months.</t>
        </is>
      </c>
      <c r="I162" t="inlineStr">
        <is>
          <t>ETENDERS.GOV.ZA</t>
        </is>
      </c>
      <c r="J162" t="inlineStr">
        <is>
          <t>Council on Higher Education</t>
        </is>
      </c>
      <c r="K162" t="inlineStr">
        <is>
          <t>Gauteng</t>
        </is>
      </c>
      <c r="L162" t="inlineStr">
        <is>
          <t>No</t>
        </is>
      </c>
      <c r="M162" t="inlineStr">
        <is>
          <t>Services: Professional</t>
        </is>
      </c>
      <c r="N162" t="inlineStr">
        <is>
          <t>Yes</t>
        </is>
      </c>
      <c r="O162" s="2" t="n">
        <v>46176</v>
      </c>
      <c r="P162" t="inlineStr">
        <is>
          <t>Yes</t>
        </is>
      </c>
      <c r="Q162" t="inlineStr">
        <is>
          <t>CHE Auditorium</t>
        </is>
      </c>
      <c r="R162" s="3" t="inlineStr">
        <is>
          <t>https://www.etenders.gov.za/home/Download/?blobName=969947ff-2499-418c-bd87-4c70d7e0cf2c.pdf&amp;downloadedFileName=CHE-CS-02-05-2026%20for%20Provision%20of%20Internal%20Audit%20Services%20for%203%20years%20for%20CHE.pdf</t>
        </is>
      </c>
      <c r="S162" t="inlineStr"/>
      <c r="T162" t="inlineStr"/>
      <c r="U162" t="inlineStr"/>
      <c r="V162" t="inlineStr"/>
      <c r="W162" t="inlineStr"/>
    </row>
    <row r="163">
      <c r="A163" s="2" t="n">
        <v>46167</v>
      </c>
      <c r="B163" t="n">
        <v>41</v>
      </c>
      <c r="C163" t="inlineStr">
        <is>
          <t>SCM/BID36/2025/2026</t>
        </is>
      </c>
      <c r="D163" s="2" t="n">
        <v>46164</v>
      </c>
      <c r="E163" s="2" t="n">
        <v>46198</v>
      </c>
      <c r="F163" t="inlineStr">
        <is>
          <t>10:00</t>
        </is>
      </c>
      <c r="G163" t="inlineStr">
        <is>
          <t>Request for Bid(Open-Tender)</t>
        </is>
      </c>
      <c r="H163" t="inlineStr">
        <is>
          <t>APPOINTMENT OF A SERVICE PROVIDER FOR THE PROVISION OF A SHORT-TERM INSURANCE SERVICES TO THE MUNICIPALITY FOR A PERIOD OF THREE (03) YEARS</t>
        </is>
      </c>
      <c r="I163" t="inlineStr">
        <is>
          <t>ETENDERS.GOV.ZA</t>
        </is>
      </c>
      <c r="J163" t="inlineStr">
        <is>
          <t>Maluti-a-Phofung Local Municipality</t>
        </is>
      </c>
      <c r="K163" t="inlineStr">
        <is>
          <t>Free State</t>
        </is>
      </c>
      <c r="L163" t="inlineStr">
        <is>
          <t>No</t>
        </is>
      </c>
      <c r="M163" t="inlineStr">
        <is>
          <t>Insurance, reinsurance and pension funding, except compulsory social security</t>
        </is>
      </c>
      <c r="N163" t="inlineStr">
        <is>
          <t>No</t>
        </is>
      </c>
      <c r="O163" t="inlineStr"/>
      <c r="P163" t="inlineStr">
        <is>
          <t>No</t>
        </is>
      </c>
      <c r="Q163" t="inlineStr">
        <is>
          <t>N/A</t>
        </is>
      </c>
      <c r="R163" s="3" t="inlineStr">
        <is>
          <t>https://www.etenders.gov.za/home/Download/?blobName=59bf672e-66f4-4c6d-bd1e-ed26a80fd356.pdf&amp;downloadedFileName=SCMBID%2036%202025%202026%20INSURANCE%20DOC.pdf</t>
        </is>
      </c>
      <c r="S163" t="inlineStr"/>
      <c r="T163" t="inlineStr"/>
      <c r="U163" t="inlineStr"/>
      <c r="V163" t="inlineStr"/>
      <c r="W163" t="inlineStr"/>
    </row>
    <row r="164">
      <c r="A164" s="2" t="n">
        <v>46167</v>
      </c>
      <c r="B164" t="n">
        <v>40</v>
      </c>
      <c r="C164" t="inlineStr">
        <is>
          <t>249S/2025/26</t>
        </is>
      </c>
      <c r="D164" s="2" t="n">
        <v>46164</v>
      </c>
      <c r="E164" s="2" t="n">
        <v>46198</v>
      </c>
      <c r="F164" t="inlineStr">
        <is>
          <t>10:00</t>
        </is>
      </c>
      <c r="G164" t="inlineStr">
        <is>
          <t>Request for Bid(Open-Tender)</t>
        </is>
      </c>
      <c r="H164" t="inlineStr">
        <is>
          <t>TERM TENDER FOR PROVISION OF HORTICULTURAL, LANDSCAPE MAINTENANCE AND ANCILLARY SERVICES TO COMMUNITY SERVICES AND HEALTH OF CAPE TOWN FACILITIES</t>
        </is>
      </c>
      <c r="I164" t="inlineStr">
        <is>
          <t>ETENDERS.GOV.ZA</t>
        </is>
      </c>
      <c r="J164" t="inlineStr">
        <is>
          <t>City of Cape Town</t>
        </is>
      </c>
      <c r="K164" t="inlineStr">
        <is>
          <t>Western Cape</t>
        </is>
      </c>
      <c r="L164" t="inlineStr">
        <is>
          <t>No</t>
        </is>
      </c>
      <c r="M164" t="inlineStr">
        <is>
          <t>Services: General</t>
        </is>
      </c>
      <c r="N164" t="inlineStr">
        <is>
          <t>Yes</t>
        </is>
      </c>
      <c r="O164" s="2" t="n">
        <v>46177</v>
      </c>
      <c r="P164" t="inlineStr">
        <is>
          <t>No</t>
        </is>
      </c>
      <c r="Q164" t="inlineStr">
        <is>
          <t>Woodstock Town Hall</t>
        </is>
      </c>
      <c r="R164" s="3" t="inlineStr">
        <is>
          <t>https://www.etenders.gov.za/home/Download/?blobName=242bca5a-637f-45f8-a35f-5c020d3df82d.pdf&amp;downloadedFileName=249S-2025-26%20-%20Final%20tender%20document%20-.pdf</t>
        </is>
      </c>
      <c r="S164" t="inlineStr"/>
      <c r="T164" t="inlineStr"/>
      <c r="U164" t="inlineStr"/>
      <c r="V164" t="inlineStr"/>
      <c r="W164" t="inlineStr"/>
    </row>
    <row r="165">
      <c r="A165" s="2" t="n">
        <v>46167</v>
      </c>
      <c r="B165" t="n">
        <v>39</v>
      </c>
      <c r="C165" t="inlineStr">
        <is>
          <t>RFQ 83/2026</t>
        </is>
      </c>
      <c r="D165" s="2" t="n">
        <v>46164</v>
      </c>
      <c r="E165" s="2" t="n">
        <v>46174</v>
      </c>
      <c r="F165" t="inlineStr">
        <is>
          <t>12:00</t>
        </is>
      </c>
      <c r="G165" t="inlineStr">
        <is>
          <t>Request for Quotation</t>
        </is>
      </c>
      <c r="H165" t="inlineStr">
        <is>
          <t>SUPPLY AND DELIVERY OF ELECTRONIC EQUIPMENT AND DEVICES</t>
        </is>
      </c>
      <c r="I165" t="inlineStr">
        <is>
          <t>ETENDERS.GOV.ZA</t>
        </is>
      </c>
      <c r="J165" t="inlineStr">
        <is>
          <t>Prince Albert Municipality</t>
        </is>
      </c>
      <c r="K165" t="inlineStr">
        <is>
          <t>Western Cape</t>
        </is>
      </c>
      <c r="L165" t="inlineStr">
        <is>
          <t>No</t>
        </is>
      </c>
      <c r="M165" t="inlineStr">
        <is>
          <t>Manufacture of computer, electronic and optical products</t>
        </is>
      </c>
      <c r="N165" t="inlineStr">
        <is>
          <t>No</t>
        </is>
      </c>
      <c r="O165" t="inlineStr"/>
      <c r="P165" t="inlineStr">
        <is>
          <t>No</t>
        </is>
      </c>
      <c r="Q165" t="inlineStr">
        <is>
          <t>N/A</t>
        </is>
      </c>
      <c r="R165" s="3" t="inlineStr">
        <is>
          <t>https://www.etenders.gov.za/home/Download/?blobName=d01f3d4c-36cf-49ae-9966-486ca32c1a4e.pdf&amp;downloadedFileName=PAMun%20Bid%20Document%20-%20RFQ%2083_2026%20Electronic%20equipment.pdf</t>
        </is>
      </c>
      <c r="S165" t="inlineStr"/>
      <c r="T165" t="inlineStr"/>
      <c r="U165" t="inlineStr"/>
      <c r="V165" t="inlineStr"/>
      <c r="W165" t="inlineStr"/>
    </row>
    <row r="166">
      <c r="A166" s="2" t="n">
        <v>46167</v>
      </c>
      <c r="B166" t="n">
        <v>38</v>
      </c>
      <c r="C166" t="inlineStr">
        <is>
          <t>T 2026/011</t>
        </is>
      </c>
      <c r="D166" s="2" t="n">
        <v>46164</v>
      </c>
      <c r="E166" s="2" t="n">
        <v>46178</v>
      </c>
      <c r="F166" t="inlineStr">
        <is>
          <t>11:00</t>
        </is>
      </c>
      <c r="G166" t="inlineStr">
        <is>
          <t>Request for Bid(Open-Tender)</t>
        </is>
      </c>
      <c r="H166" t="inlineStr">
        <is>
          <t>SUPPLY AND DELIVERY OF FURNITURE FOR A PERIOD OF TWELVE MONTHS</t>
        </is>
      </c>
      <c r="I166" t="inlineStr">
        <is>
          <t>ETENDERS.GOV.ZA</t>
        </is>
      </c>
      <c r="J166" t="inlineStr">
        <is>
          <t>Cape Winelands District Municipality</t>
        </is>
      </c>
      <c r="K166" t="inlineStr">
        <is>
          <t>Western Cape</t>
        </is>
      </c>
      <c r="L166" t="inlineStr">
        <is>
          <t>No</t>
        </is>
      </c>
      <c r="M166" t="inlineStr">
        <is>
          <t>Supplies: General</t>
        </is>
      </c>
      <c r="N166" t="inlineStr">
        <is>
          <t>No</t>
        </is>
      </c>
      <c r="O166" t="inlineStr"/>
      <c r="P166" t="inlineStr">
        <is>
          <t>No</t>
        </is>
      </c>
      <c r="Q166" t="inlineStr">
        <is>
          <t>N/A</t>
        </is>
      </c>
      <c r="R166" s="3" t="inlineStr">
        <is>
          <t>https://www.etenders.gov.za/home/Download/?blobName=7a228766-e2ff-442c-9bd4-e069da5fb5d5.pdf&amp;downloadedFileName=T%202026%20011%20TENDER%20DOCUMENT%20FINAL.pdf</t>
        </is>
      </c>
      <c r="S166" t="inlineStr"/>
      <c r="T166" t="inlineStr"/>
      <c r="U166" t="inlineStr"/>
      <c r="V166" t="inlineStr"/>
      <c r="W166" t="inlineStr"/>
    </row>
    <row r="167">
      <c r="A167" s="2" t="n">
        <v>46167</v>
      </c>
      <c r="B167" t="n">
        <v>37</v>
      </c>
      <c r="C167" t="inlineStr">
        <is>
          <t>WCNCB 01/05/2026</t>
        </is>
      </c>
      <c r="D167" s="2" t="n">
        <v>46164</v>
      </c>
      <c r="E167" s="2" t="n">
        <v>46197</v>
      </c>
      <c r="F167" t="inlineStr">
        <is>
          <t>11:00</t>
        </is>
      </c>
      <c r="G167" t="inlineStr">
        <is>
          <t>Request for Bid(Open-Tender)</t>
        </is>
      </c>
      <c r="H167" t="inlineStr">
        <is>
          <t>CapeNature is seeking to appoint a reputable service provider to provide a Managed Wide Area Network and Internet Services for a period of three years (36 months), with the option to extend to five years.</t>
        </is>
      </c>
      <c r="I167" t="inlineStr">
        <is>
          <t>ETENDERS.GOV.ZA</t>
        </is>
      </c>
      <c r="J167" t="inlineStr">
        <is>
          <t>Western Cape - Nature Conservation Board</t>
        </is>
      </c>
      <c r="K167" t="inlineStr">
        <is>
          <t>Western Cape</t>
        </is>
      </c>
      <c r="L167" t="inlineStr">
        <is>
          <t>No</t>
        </is>
      </c>
      <c r="M167" t="inlineStr">
        <is>
          <t>Telecommunications</t>
        </is>
      </c>
      <c r="N167" t="inlineStr">
        <is>
          <t>Yes</t>
        </is>
      </c>
      <c r="O167" s="2" t="n">
        <v>46175</v>
      </c>
      <c r="P167" t="inlineStr">
        <is>
          <t>Yes</t>
        </is>
      </c>
      <c r="Q167" t="inlineStr">
        <is>
          <t>CapeNature Cape Town Office</t>
        </is>
      </c>
      <c r="R167" s="3" t="inlineStr">
        <is>
          <t>https://www.etenders.gov.za/home/Download/?blobName=f5045b78-9828-46cb-9888-bbb70059a926.pdf&amp;downloadedFileName=WCNCB%2001052026%20-%20Managed%20Wide%20Area%20Network%20and%20Internet%20Services.pdf</t>
        </is>
      </c>
      <c r="S167" t="inlineStr"/>
      <c r="T167" t="inlineStr"/>
      <c r="U167" t="inlineStr"/>
      <c r="V167" t="inlineStr"/>
      <c r="W167" t="inlineStr"/>
    </row>
    <row r="168">
      <c r="A168" s="2" t="n">
        <v>46167</v>
      </c>
      <c r="B168" t="n">
        <v>36</v>
      </c>
      <c r="C168" t="inlineStr">
        <is>
          <t>RFQ 201964</t>
        </is>
      </c>
      <c r="D168" s="2" t="n">
        <v>46164</v>
      </c>
      <c r="E168" s="2" t="n">
        <v>46178</v>
      </c>
      <c r="F168" t="inlineStr">
        <is>
          <t>11:00</t>
        </is>
      </c>
      <c r="G168" t="inlineStr">
        <is>
          <t>Request for Quotation</t>
        </is>
      </c>
      <c r="H168" t="inlineStr">
        <is>
          <t>PROVISION OF CLEANING AND HYGIENE SERVICES AT DURBAN CAMPUS FOR A PERIOD OF 36 MONTHS</t>
        </is>
      </c>
      <c r="I168" t="inlineStr">
        <is>
          <t>ETENDERS.GOV.ZA</t>
        </is>
      </c>
      <c r="J168" t="inlineStr">
        <is>
          <t>SA Bureau of Standards</t>
        </is>
      </c>
      <c r="K168" t="inlineStr">
        <is>
          <t>KwaZulu-Natal</t>
        </is>
      </c>
      <c r="L168" t="inlineStr">
        <is>
          <t>No</t>
        </is>
      </c>
      <c r="M168" t="inlineStr">
        <is>
          <t>Services: Functional (Including Cleaning and Security Services)</t>
        </is>
      </c>
      <c r="N168" t="inlineStr">
        <is>
          <t>Yes</t>
        </is>
      </c>
      <c r="O168" s="2" t="n">
        <v>46170</v>
      </c>
      <c r="P168" t="inlineStr">
        <is>
          <t>Yes</t>
        </is>
      </c>
      <c r="Q168" t="inlineStr">
        <is>
          <t>15 Garth Road Waterval, Mayville, Durban, 4058</t>
        </is>
      </c>
      <c r="R168" s="3" t="inlineStr">
        <is>
          <t>https://www.etenders.gov.za/home/Download/?blobName=e56e7b8f-15aa-4570-96f6-5908f7c6ba99.pdf&amp;downloadedFileName=RFQ%20201964%20Provision%20of%20Cleaning%20and%20Hygiene%20Services%20%20Durban.pdf</t>
        </is>
      </c>
      <c r="S168" t="inlineStr"/>
      <c r="T168" t="inlineStr"/>
      <c r="U168" t="inlineStr"/>
      <c r="V168" t="inlineStr"/>
      <c r="W168" t="inlineStr"/>
    </row>
    <row r="169">
      <c r="A169" s="2" t="n">
        <v>46167</v>
      </c>
      <c r="B169" t="n">
        <v>35</v>
      </c>
      <c r="C169" t="inlineStr">
        <is>
          <t>DOH(FS)03/2026/2027</t>
        </is>
      </c>
      <c r="D169" s="2" t="n">
        <v>46164</v>
      </c>
      <c r="E169" s="2" t="n">
        <v>46192</v>
      </c>
      <c r="F169" t="inlineStr">
        <is>
          <t>11:00</t>
        </is>
      </c>
      <c r="G169" t="inlineStr">
        <is>
          <t>Request for Bid(Open-Tender)</t>
        </is>
      </c>
      <c r="H169" t="inlineStr">
        <is>
          <t>Maintenance, service, repairs and replacement heating, ventilation, air conditioning and refrigeration installation at various institution in the Free State Department of Health. (4ME OR HIGHER)</t>
        </is>
      </c>
      <c r="I169" t="inlineStr">
        <is>
          <t>ETENDERS.GOV.ZA</t>
        </is>
      </c>
      <c r="J169" t="inlineStr">
        <is>
          <t>Free State - Health</t>
        </is>
      </c>
      <c r="K169" t="inlineStr">
        <is>
          <t>Free State</t>
        </is>
      </c>
      <c r="L169" t="inlineStr">
        <is>
          <t>No</t>
        </is>
      </c>
      <c r="M169" t="inlineStr">
        <is>
          <t>Services: General</t>
        </is>
      </c>
      <c r="N169" t="inlineStr">
        <is>
          <t>Yes</t>
        </is>
      </c>
      <c r="O169" s="2" t="n">
        <v>46177</v>
      </c>
      <c r="P169" t="inlineStr">
        <is>
          <t>Yes</t>
        </is>
      </c>
      <c r="Q169" t="inlineStr">
        <is>
          <t>Auditorium, First Floor, Bophelo House, c/o Charlotte Maxeke Street and Harvey Road, Bloemfontein</t>
        </is>
      </c>
      <c r="R169" s="3" t="inlineStr">
        <is>
          <t>https://www.etenders.gov.za/home/Download/?blobName=86f074a1-ac56-40a0-a029-963fe44a9c02.pdf&amp;downloadedFileName=DOH(FS)%2003-2026-2027%20DOC.pdf</t>
        </is>
      </c>
      <c r="S169" t="inlineStr"/>
      <c r="T169" t="inlineStr"/>
      <c r="U169" t="inlineStr"/>
      <c r="V169" t="inlineStr"/>
      <c r="W169" t="inlineStr"/>
    </row>
    <row r="170">
      <c r="A170" s="2" t="n">
        <v>46167</v>
      </c>
      <c r="B170" t="n">
        <v>34</v>
      </c>
      <c r="C170" t="inlineStr">
        <is>
          <t>RFQ202627/11</t>
        </is>
      </c>
      <c r="D170" s="2" t="n">
        <v>46164</v>
      </c>
      <c r="E170" s="2" t="n">
        <v>46170</v>
      </c>
      <c r="F170" t="inlineStr">
        <is>
          <t>12:00</t>
        </is>
      </c>
      <c r="G170" t="inlineStr">
        <is>
          <t>Request for Quotation</t>
        </is>
      </c>
      <c r="H170" t="inlineStr">
        <is>
          <t>REQUEST FOR QUOTATIONS FROM SERVICE PROVIDERS FOR THE PROVISION OF ADOBE SOFTWARE TRAINING TO TRADE &amp; INVESTMENT KWAZULU-NATAL STAFF MEMBER.</t>
        </is>
      </c>
      <c r="I170" t="inlineStr">
        <is>
          <t>ETENDERS.GOV.ZA</t>
        </is>
      </c>
      <c r="J170" t="inlineStr">
        <is>
          <t>Kwa-Zulu Natal - Trade and Investment KwaZulu-Natal</t>
        </is>
      </c>
      <c r="K170" t="inlineStr">
        <is>
          <t>KwaZulu-Natal</t>
        </is>
      </c>
      <c r="L170" t="inlineStr">
        <is>
          <t>No</t>
        </is>
      </c>
      <c r="M170" t="inlineStr">
        <is>
          <t>Education</t>
        </is>
      </c>
      <c r="N170" t="inlineStr">
        <is>
          <t>No</t>
        </is>
      </c>
      <c r="O170" t="inlineStr"/>
      <c r="P170" t="inlineStr">
        <is>
          <t>No</t>
        </is>
      </c>
      <c r="Q170" t="inlineStr">
        <is>
          <t>N/A</t>
        </is>
      </c>
      <c r="R170" s="3" t="inlineStr">
        <is>
          <t>https://www.etenders.gov.za/home/Download/?blobName=32b58a99-2c09-48a8-a617-3ec79f3058ab.pdf&amp;downloadedFileName=RFQ202627-11%20ADOBE%20SOFTWARE%20TRAINING.pdf</t>
        </is>
      </c>
      <c r="S170" t="inlineStr"/>
      <c r="T170" t="inlineStr"/>
      <c r="U170" t="inlineStr"/>
      <c r="V170" t="inlineStr"/>
      <c r="W170" t="inlineStr"/>
    </row>
    <row r="171">
      <c r="A171" s="2" t="n">
        <v>46167</v>
      </c>
      <c r="B171" t="n">
        <v>33</v>
      </c>
      <c r="C171" t="inlineStr">
        <is>
          <t>DEDECT 01/2026</t>
        </is>
      </c>
      <c r="D171" s="2" t="n">
        <v>46164</v>
      </c>
      <c r="E171" s="2" t="n">
        <v>46190</v>
      </c>
      <c r="F171" t="inlineStr">
        <is>
          <t>11:00</t>
        </is>
      </c>
      <c r="G171" t="inlineStr">
        <is>
          <t>Request for Bid(Open-Tender)</t>
        </is>
      </c>
      <c r="H171" t="inlineStr">
        <is>
          <t>APPOINTMENT OF SERVICE PROVIDER TO REVIEW AND ALIGN THE ORGANISATIONAL STRUCTURE FOR DEPARTMENT OF ECONOMIC DEVELOPMENT, ENVIRONMENT, CONSERVATION AND TOURISM (DEDECT) IN THE NORTH WEST PROVINCE</t>
        </is>
      </c>
      <c r="I171" t="inlineStr">
        <is>
          <t>ETENDERS.GOV.ZA</t>
        </is>
      </c>
      <c r="J171" t="inlineStr">
        <is>
          <t>North West - Department of Economy and Enterprise Development</t>
        </is>
      </c>
      <c r="K171" t="inlineStr">
        <is>
          <t>North West</t>
        </is>
      </c>
      <c r="L171" t="inlineStr">
        <is>
          <t>No</t>
        </is>
      </c>
      <c r="M171" t="inlineStr">
        <is>
          <t>Services: Professional</t>
        </is>
      </c>
      <c r="N171" t="inlineStr">
        <is>
          <t>Yes</t>
        </is>
      </c>
      <c r="O171" s="2" t="n">
        <v>46190</v>
      </c>
      <c r="P171" t="inlineStr">
        <is>
          <t>No</t>
        </is>
      </c>
      <c r="Q171" t="inlineStr">
        <is>
          <t>NWDC Building, Corner University Drive and Provident Street, Mmabatho</t>
        </is>
      </c>
      <c r="R171" s="3" t="inlineStr">
        <is>
          <t>https://www.etenders.gov.za/home/Download/?blobName=9460eb29-3ed6-4df0-aae4-ca1ccbf8f3c2.pdf&amp;downloadedFileName=Align%20and%20Review%20of%20Organisational%20Structure.pdf</t>
        </is>
      </c>
      <c r="S171" t="inlineStr"/>
      <c r="T171" t="inlineStr"/>
      <c r="U171" t="inlineStr"/>
      <c r="V171" t="inlineStr"/>
      <c r="W171" t="inlineStr"/>
    </row>
    <row r="172">
      <c r="A172" s="2" t="n">
        <v>46167</v>
      </c>
      <c r="B172" t="n">
        <v>32</v>
      </c>
      <c r="C172" t="inlineStr">
        <is>
          <t>RFQJW60SC26</t>
        </is>
      </c>
      <c r="D172" s="2" t="n">
        <v>46164</v>
      </c>
      <c r="E172" s="2" t="n">
        <v>46177</v>
      </c>
      <c r="F172" t="inlineStr">
        <is>
          <t>16:00</t>
        </is>
      </c>
      <c r="G172" t="inlineStr">
        <is>
          <t>Request for Quotation</t>
        </is>
      </c>
      <c r="H172" t="inlineStr">
        <is>
          <t>RFQJW60SC26 - Undertake Investigation to Scan Reservoir 5 Wall West</t>
        </is>
      </c>
      <c r="I172" t="inlineStr">
        <is>
          <t>ETENDERS.GOV.ZA</t>
        </is>
      </c>
      <c r="J172" t="inlineStr">
        <is>
          <t>Johannesburg Water</t>
        </is>
      </c>
      <c r="K172" t="inlineStr">
        <is>
          <t>Gauteng</t>
        </is>
      </c>
      <c r="L172" t="inlineStr">
        <is>
          <t>No</t>
        </is>
      </c>
      <c r="M172" t="inlineStr">
        <is>
          <t>Services: Professional</t>
        </is>
      </c>
      <c r="N172" t="inlineStr">
        <is>
          <t>Yes</t>
        </is>
      </c>
      <c r="O172" s="2" t="n">
        <v>46170</v>
      </c>
      <c r="P172" t="inlineStr">
        <is>
          <t>Yes</t>
        </is>
      </c>
      <c r="Q172" t="inlineStr">
        <is>
          <t>Bryanston Tower Resevoir Complex 26 3’26.44’’S 28 1’31.81’’E</t>
        </is>
      </c>
      <c r="R172" s="3" t="inlineStr">
        <is>
          <t>https://www.etenders.gov.za/home/Download/?blobName=7ec79ad3-c13f-4ea0-9785-b575e7f986ee.pdf&amp;downloadedFileName=RFQJW60SC26%20-%20Undertake%20Investigation%20to%20Scan%20Reservoir%205%20Wall%20West.pdf</t>
        </is>
      </c>
      <c r="S172" t="inlineStr"/>
      <c r="T172" t="inlineStr"/>
      <c r="U172" t="inlineStr"/>
      <c r="V172" t="inlineStr"/>
      <c r="W172" t="inlineStr"/>
    </row>
    <row r="173">
      <c r="A173" s="2" t="n">
        <v>46167</v>
      </c>
      <c r="B173" t="n">
        <v>31</v>
      </c>
      <c r="C173" t="inlineStr">
        <is>
          <t>T 2026/044</t>
        </is>
      </c>
      <c r="D173" s="2" t="n">
        <v>46164</v>
      </c>
      <c r="E173" s="2" t="n">
        <v>46199</v>
      </c>
      <c r="F173" t="inlineStr">
        <is>
          <t>11:00</t>
        </is>
      </c>
      <c r="G173" t="inlineStr">
        <is>
          <t>Request for Bid(Open-Tender)</t>
        </is>
      </c>
      <c r="H173" t="inlineStr">
        <is>
          <t>SUPPLY AND DELIVERY OF FIRE EQUIPMENT FOR THE PERIOD ENDING 30 JUNE 2029</t>
        </is>
      </c>
      <c r="I173" t="inlineStr">
        <is>
          <t>ETENDERS.GOV.ZA</t>
        </is>
      </c>
      <c r="J173" t="inlineStr">
        <is>
          <t>Cape Winelands District Municipality</t>
        </is>
      </c>
      <c r="K173" t="inlineStr">
        <is>
          <t>Western Cape</t>
        </is>
      </c>
      <c r="L173" t="inlineStr">
        <is>
          <t>No</t>
        </is>
      </c>
      <c r="M173" t="inlineStr">
        <is>
          <t>Supplies: General</t>
        </is>
      </c>
      <c r="N173" t="inlineStr">
        <is>
          <t>No</t>
        </is>
      </c>
      <c r="O173" t="inlineStr"/>
      <c r="P173" t="inlineStr">
        <is>
          <t>No</t>
        </is>
      </c>
      <c r="Q173" t="inlineStr">
        <is>
          <t>N/A</t>
        </is>
      </c>
      <c r="R173" s="3" t="inlineStr">
        <is>
          <t>https://www.etenders.gov.za/home/Download/?blobName=709e7278-e990-405b-aa9b-8ebee3a6064a.pdf&amp;downloadedFileName=T%202026%20044%20TENDER%20DOCUMENT%20FINAL.pdf</t>
        </is>
      </c>
      <c r="S173" t="inlineStr"/>
      <c r="T173" t="inlineStr"/>
      <c r="U173" t="inlineStr"/>
      <c r="V173" t="inlineStr"/>
      <c r="W173" t="inlineStr"/>
    </row>
    <row r="174">
      <c r="A174" s="2" t="n">
        <v>46167</v>
      </c>
      <c r="B174" t="n">
        <v>30</v>
      </c>
      <c r="C174" t="inlineStr">
        <is>
          <t>RFP 3 OF 2026</t>
        </is>
      </c>
      <c r="D174" s="2" t="n">
        <v>46164</v>
      </c>
      <c r="E174" s="2" t="n">
        <v>46184</v>
      </c>
      <c r="F174" t="inlineStr">
        <is>
          <t>12:00</t>
        </is>
      </c>
      <c r="G174" t="inlineStr">
        <is>
          <t>Request for Proposal</t>
        </is>
      </c>
      <c r="H174" t="inlineStr">
        <is>
          <t>APPOINTMENT OF A SERVICE PROVIDER FOR THE PROVISIONING OF INTREST AND TELEPHONE AT THE TWO NELSON MANDELA MUSEUM SITES</t>
        </is>
      </c>
      <c r="I174" t="inlineStr">
        <is>
          <t>ETENDERS.GOV.ZA</t>
        </is>
      </c>
      <c r="J174" t="inlineStr">
        <is>
          <t>Nelson Mandela National Museum</t>
        </is>
      </c>
      <c r="K174" t="inlineStr">
        <is>
          <t>Eastern Cape</t>
        </is>
      </c>
      <c r="L174" t="inlineStr">
        <is>
          <t>No</t>
        </is>
      </c>
      <c r="M174" t="inlineStr">
        <is>
          <t>Telecommunications</t>
        </is>
      </c>
      <c r="N174" t="inlineStr">
        <is>
          <t>Yes</t>
        </is>
      </c>
      <c r="O174" s="2" t="n">
        <v>46170</v>
      </c>
      <c r="P174" t="inlineStr">
        <is>
          <t>Yes</t>
        </is>
      </c>
      <c r="Q174" t="inlineStr">
        <is>
          <t>Ingquza Hill Memorial Site (flagstaff)</t>
        </is>
      </c>
      <c r="R174" s="3" t="inlineStr">
        <is>
          <t>https://www.etenders.gov.za/home/Download/?blobName=79d89856-0199-4f17-b41a-6db3ccc23fce.pdf&amp;downloadedFileName=Internet%20Connectivity%20and%20Telephones%20Terms%20of%20Reference%20-%20OR%20Tambo%20and%20Ingquza%20Hill%20TORs%20(1)%20(3)%20(1)%20(2).pdf</t>
        </is>
      </c>
      <c r="S174" t="inlineStr"/>
      <c r="T174" t="inlineStr"/>
      <c r="U174" t="inlineStr"/>
      <c r="V174" t="inlineStr"/>
      <c r="W174" t="inlineStr"/>
    </row>
    <row r="175">
      <c r="A175" s="2" t="n">
        <v>46167</v>
      </c>
      <c r="B175" t="n">
        <v>29</v>
      </c>
      <c r="C175" t="inlineStr">
        <is>
          <t>115_2025-2026T</t>
        </is>
      </c>
      <c r="D175" s="2" t="n">
        <v>46164</v>
      </c>
      <c r="E175" s="2" t="n">
        <v>46196</v>
      </c>
      <c r="F175" t="inlineStr">
        <is>
          <t>12:00</t>
        </is>
      </c>
      <c r="G175" t="inlineStr">
        <is>
          <t>Request for Bid(Open-Tender)</t>
        </is>
      </c>
      <c r="H175" t="inlineStr">
        <is>
          <t>Construction of 6KM Paved Roads with Stormwater Control in New Rest (Sterkspruit) (Ward 8 Phase 1)</t>
        </is>
      </c>
      <c r="I175" t="inlineStr">
        <is>
          <t>ETENDERS.GOV.ZA</t>
        </is>
      </c>
      <c r="J175" t="inlineStr">
        <is>
          <t>Senqu Local Municipality</t>
        </is>
      </c>
      <c r="K175" t="inlineStr">
        <is>
          <t>Eastern Cape</t>
        </is>
      </c>
      <c r="L175" t="inlineStr">
        <is>
          <t>No</t>
        </is>
      </c>
      <c r="M175" t="inlineStr">
        <is>
          <t>Construction</t>
        </is>
      </c>
      <c r="N175" t="inlineStr">
        <is>
          <t>Yes</t>
        </is>
      </c>
      <c r="O175" t="inlineStr"/>
      <c r="P175" t="inlineStr">
        <is>
          <t>Yes</t>
        </is>
      </c>
      <c r="Q175" t="inlineStr">
        <is>
          <t>Bhunga Hall Sterkspruit</t>
        </is>
      </c>
      <c r="R175" s="3" t="inlineStr">
        <is>
          <t>https://www.etenders.gov.za/home/Download/?blobName=f02d882c-e736-46fc-9630-7a0c8637d987.pdf&amp;downloadedFileName=Advert%20115_2025-2026T%20Construction%20of%206KM%20New%20Rest%20Paving%20in%20Sterkspruit.pdf</t>
        </is>
      </c>
      <c r="S175" t="inlineStr"/>
      <c r="T175" t="inlineStr"/>
      <c r="U175" t="inlineStr"/>
      <c r="V175" t="inlineStr"/>
      <c r="W175" t="inlineStr"/>
    </row>
    <row r="176">
      <c r="A176" s="2" t="n">
        <v>46167</v>
      </c>
      <c r="B176" t="n">
        <v>28</v>
      </c>
      <c r="C176" t="inlineStr">
        <is>
          <t>NOTICE 101 OF 2026</t>
        </is>
      </c>
      <c r="D176" s="2" t="n">
        <v>46164</v>
      </c>
      <c r="E176" s="2" t="n">
        <v>46234</v>
      </c>
      <c r="F176" t="inlineStr">
        <is>
          <t>16:30</t>
        </is>
      </c>
      <c r="G176" t="inlineStr">
        <is>
          <t>Request for Information</t>
        </is>
      </c>
      <c r="H176" t="inlineStr">
        <is>
          <t>NOTICE 101 OF 2026 INVITATION TO REGISTER AND TO UPDATE DETAILS ON THE CENTRAL SUPPLIER DATABASE (CSD)</t>
        </is>
      </c>
      <c r="I176" t="inlineStr">
        <is>
          <t>ETENDERS.GOV.ZA</t>
        </is>
      </c>
      <c r="J176" t="inlineStr">
        <is>
          <t>Oudtshoorn Municipality</t>
        </is>
      </c>
      <c r="K176" t="inlineStr">
        <is>
          <t>Western Cape</t>
        </is>
      </c>
      <c r="L176" t="inlineStr">
        <is>
          <t>No</t>
        </is>
      </c>
      <c r="M176" t="inlineStr">
        <is>
          <t>Administrative and support activities</t>
        </is>
      </c>
      <c r="N176" t="inlineStr">
        <is>
          <t>No</t>
        </is>
      </c>
      <c r="O176" t="inlineStr"/>
      <c r="P176" t="inlineStr">
        <is>
          <t>No</t>
        </is>
      </c>
      <c r="Q176" t="inlineStr">
        <is>
          <t>N/A</t>
        </is>
      </c>
      <c r="R176" s="3" t="inlineStr">
        <is>
          <t>https://www.etenders.gov.za/home/Download/?blobName=4d5aeb89-5557-4c8e-8aeb-0f4dee0e6392.pdf&amp;downloadedFileName=CSD%20NOTICE.pdf</t>
        </is>
      </c>
      <c r="S176" t="inlineStr"/>
      <c r="T176" t="inlineStr"/>
      <c r="U176" t="inlineStr"/>
      <c r="V176" t="inlineStr"/>
      <c r="W176" t="inlineStr"/>
    </row>
    <row r="177">
      <c r="A177" s="2" t="n">
        <v>46167</v>
      </c>
      <c r="B177" t="n">
        <v>27</v>
      </c>
      <c r="C177" t="inlineStr">
        <is>
          <t>T 2026/060</t>
        </is>
      </c>
      <c r="D177" s="2" t="n">
        <v>46164</v>
      </c>
      <c r="E177" s="2" t="n">
        <v>46199</v>
      </c>
      <c r="F177" t="inlineStr">
        <is>
          <t>11:00</t>
        </is>
      </c>
      <c r="G177" t="inlineStr">
        <is>
          <t>Request for Bid(Open-Tender)</t>
        </is>
      </c>
      <c r="H177" t="inlineStr">
        <is>
          <t>SUPPLY AND DELIVERY OF RATION PACKS FOR THE PERIOD ENDING 30 JUNE 2029</t>
        </is>
      </c>
      <c r="I177" t="inlineStr">
        <is>
          <t>ETENDERS.GOV.ZA</t>
        </is>
      </c>
      <c r="J177" t="inlineStr">
        <is>
          <t>Cape Winelands District Municipality</t>
        </is>
      </c>
      <c r="K177" t="inlineStr">
        <is>
          <t>Western Cape</t>
        </is>
      </c>
      <c r="L177" t="inlineStr">
        <is>
          <t>No</t>
        </is>
      </c>
      <c r="M177" t="inlineStr">
        <is>
          <t>Services: General</t>
        </is>
      </c>
      <c r="N177" t="inlineStr">
        <is>
          <t>No</t>
        </is>
      </c>
      <c r="O177" t="inlineStr"/>
      <c r="P177" t="inlineStr">
        <is>
          <t>No</t>
        </is>
      </c>
      <c r="Q177" t="inlineStr">
        <is>
          <t>N/A</t>
        </is>
      </c>
      <c r="R177" s="3" t="inlineStr">
        <is>
          <t>https://www.etenders.gov.za/home/Download/?blobName=8f26f8e3-3233-48f9-a6b8-c108e17be21c.pdf&amp;downloadedFileName=T%202026%20060%20TENDER%20DOCUMENT%20FINAL.pdf</t>
        </is>
      </c>
      <c r="S177" t="inlineStr"/>
      <c r="T177" t="inlineStr"/>
      <c r="U177" t="inlineStr"/>
      <c r="V177" t="inlineStr"/>
      <c r="W177" t="inlineStr"/>
    </row>
    <row r="178">
      <c r="A178" s="2" t="n">
        <v>46167</v>
      </c>
      <c r="B178" t="n">
        <v>26</v>
      </c>
      <c r="C178" t="inlineStr">
        <is>
          <t>RFQ 2027/18</t>
        </is>
      </c>
      <c r="D178" s="2" t="n">
        <v>46164</v>
      </c>
      <c r="E178" s="2" t="n">
        <v>46185</v>
      </c>
      <c r="F178" t="inlineStr">
        <is>
          <t>11:00</t>
        </is>
      </c>
      <c r="G178" t="inlineStr">
        <is>
          <t>Request for Quotation</t>
        </is>
      </c>
      <c r="H178" t="inlineStr">
        <is>
          <t>FIXING OF VARIOUS ROADS</t>
        </is>
      </c>
      <c r="I178" t="inlineStr">
        <is>
          <t>ETENDERS.GOV.ZA</t>
        </is>
      </c>
      <c r="J178" t="inlineStr">
        <is>
          <t>DENEL (Pty) Ltd</t>
        </is>
      </c>
      <c r="K178" t="inlineStr">
        <is>
          <t>Western Cape</t>
        </is>
      </c>
      <c r="L178" t="inlineStr">
        <is>
          <t>No</t>
        </is>
      </c>
      <c r="M178" t="inlineStr">
        <is>
          <t>Services: Civil</t>
        </is>
      </c>
      <c r="N178" t="inlineStr">
        <is>
          <t>Yes</t>
        </is>
      </c>
      <c r="O178" s="2" t="n">
        <v>46175</v>
      </c>
      <c r="P178" t="inlineStr">
        <is>
          <t>Yes</t>
        </is>
      </c>
      <c r="Q178" t="inlineStr">
        <is>
          <t>ARNISTON ROAD,ARNISTON,WESTERN CAPE</t>
        </is>
      </c>
      <c r="R178" s="3" t="inlineStr">
        <is>
          <t>https://www.etenders.gov.za/home/Download/?blobName=467b9844-23de-486c-b5c4-1378829e8dea.pdf&amp;downloadedFileName=OTR%20RFQ%20DOCUMENT%20RFQ%202027-18%20%20fixing%20of%20various%20roads.pdf</t>
        </is>
      </c>
      <c r="S178" t="inlineStr"/>
      <c r="T178" t="inlineStr"/>
      <c r="U178" t="inlineStr"/>
      <c r="V178" t="inlineStr"/>
      <c r="W178" t="inlineStr"/>
    </row>
    <row r="179">
      <c r="A179" s="2" t="n">
        <v>46167</v>
      </c>
      <c r="B179" t="n">
        <v>25</v>
      </c>
      <c r="C179" t="inlineStr">
        <is>
          <t>MLM 06/25/26</t>
        </is>
      </c>
      <c r="D179" s="2" t="n">
        <v>46164</v>
      </c>
      <c r="E179" s="2" t="n">
        <v>46199</v>
      </c>
      <c r="F179" t="inlineStr">
        <is>
          <t>11:00</t>
        </is>
      </c>
      <c r="G179" t="inlineStr">
        <is>
          <t>Request for Bid(Open-Tender)</t>
        </is>
      </c>
      <c r="H179" t="inlineStr">
        <is>
          <t>Hosting, Supply, Installation and Commissioning of MSCOA Compliant Financial Management and Internal Controls (Three Years Period)</t>
        </is>
      </c>
      <c r="I179" t="inlineStr">
        <is>
          <t>ETENDERS.GOV.ZA</t>
        </is>
      </c>
      <c r="J179" t="inlineStr">
        <is>
          <t>Mantsopa Local Municipality</t>
        </is>
      </c>
      <c r="K179" t="inlineStr">
        <is>
          <t>Free State</t>
        </is>
      </c>
      <c r="L179" t="inlineStr">
        <is>
          <t>No</t>
        </is>
      </c>
      <c r="M179" t="inlineStr">
        <is>
          <t>Information and communication</t>
        </is>
      </c>
      <c r="N179" t="inlineStr">
        <is>
          <t>Yes</t>
        </is>
      </c>
      <c r="O179" s="2" t="n">
        <v>46171</v>
      </c>
      <c r="P179" t="inlineStr">
        <is>
          <t>Yes</t>
        </is>
      </c>
      <c r="Q179" t="inlineStr">
        <is>
          <t>Manyatseng Council Chamber</t>
        </is>
      </c>
      <c r="R179" s="3" t="inlineStr">
        <is>
          <t>https://www.etenders.gov.za/home/Download/?blobName=b3cf17d9-ed22-4d65-bc48-4bac9e1c0621.pdf&amp;downloadedFileName=ADVERT-%20VARIOUS%20BIDS%20-%2022%20MAY%202026.pdf</t>
        </is>
      </c>
      <c r="S179" t="inlineStr"/>
      <c r="T179" t="inlineStr"/>
      <c r="U179" t="inlineStr"/>
      <c r="V179" t="inlineStr"/>
      <c r="W179" t="inlineStr"/>
    </row>
    <row r="180">
      <c r="A180" s="2" t="n">
        <v>46167</v>
      </c>
      <c r="B180" t="n">
        <v>24</v>
      </c>
      <c r="C180" t="inlineStr">
        <is>
          <t>2329</t>
        </is>
      </c>
      <c r="D180" s="2" t="n">
        <v>46164</v>
      </c>
      <c r="E180" s="2" t="n">
        <v>46169</v>
      </c>
      <c r="F180" t="inlineStr">
        <is>
          <t>11:00</t>
        </is>
      </c>
      <c r="G180" t="inlineStr">
        <is>
          <t>Request for Quotation</t>
        </is>
      </c>
      <c r="H180" t="inlineStr">
        <is>
          <t>TERMS OF REFERENCE TO UNDERTAKE “SPECIALIST STRUCTURAL ASSESSMENT: SUSPENDED SLAB INVESTIGATION”</t>
        </is>
      </c>
      <c r="I180" t="inlineStr">
        <is>
          <t>ETENDERS.GOV.ZA</t>
        </is>
      </c>
      <c r="J180" t="inlineStr">
        <is>
          <t>Mine Health and Safety Council</t>
        </is>
      </c>
      <c r="K180" t="inlineStr">
        <is>
          <t>National</t>
        </is>
      </c>
      <c r="L180" t="inlineStr">
        <is>
          <t>No</t>
        </is>
      </c>
      <c r="M180" t="inlineStr">
        <is>
          <t>Civil engineering</t>
        </is>
      </c>
      <c r="N180" t="inlineStr">
        <is>
          <t>No</t>
        </is>
      </c>
      <c r="O180" t="inlineStr"/>
      <c r="P180" t="inlineStr">
        <is>
          <t>No</t>
        </is>
      </c>
      <c r="Q180" t="inlineStr">
        <is>
          <t>N/A</t>
        </is>
      </c>
      <c r="R180" s="3" t="inlineStr">
        <is>
          <t>https://www.etenders.gov.za/home/Download/?blobName=07f35a9d-e5f8-4736-be75-de7e2f03b9e0.pdf&amp;downloadedFileName=RFQ%202329%20-%20SPECIALISED%20STRUCTURAL%20ASESSMENT%20WORKS.pdf</t>
        </is>
      </c>
      <c r="S180" t="inlineStr"/>
      <c r="T180" t="inlineStr"/>
      <c r="U180" t="inlineStr"/>
      <c r="V180" t="inlineStr"/>
      <c r="W180" t="inlineStr"/>
    </row>
    <row r="181">
      <c r="A181" s="2" t="n">
        <v>46167</v>
      </c>
      <c r="B181" t="n">
        <v>23</v>
      </c>
      <c r="C181" t="inlineStr">
        <is>
          <t>E2950GXMPMAT</t>
        </is>
      </c>
      <c r="D181" s="2" t="n">
        <v>46164</v>
      </c>
      <c r="E181" s="2" t="n">
        <v>46190</v>
      </c>
      <c r="F181" t="inlineStr">
        <is>
          <t>10:00</t>
        </is>
      </c>
      <c r="G181" t="inlineStr">
        <is>
          <t>Request for Bid(Open-Tender)</t>
        </is>
      </c>
      <c r="H181" t="inlineStr">
        <is>
          <t>Provision of Cooling Towers 1 – 6 Internal Civil Refurbishment during planned (GO and MGO) at Matla Power Station for a period of 5 years as an when required basis.</t>
        </is>
      </c>
      <c r="I181" t="inlineStr">
        <is>
          <t>ETENDERS.GOV.ZA</t>
        </is>
      </c>
      <c r="J181" t="inlineStr">
        <is>
          <t>ESKOM</t>
        </is>
      </c>
      <c r="K181" t="inlineStr">
        <is>
          <t>Mpumalanga</t>
        </is>
      </c>
      <c r="L181" t="inlineStr">
        <is>
          <t>No</t>
        </is>
      </c>
      <c r="M181" t="inlineStr">
        <is>
          <t>Services: Civil</t>
        </is>
      </c>
      <c r="N181" t="inlineStr">
        <is>
          <t>Yes</t>
        </is>
      </c>
      <c r="O181" t="inlineStr"/>
      <c r="P181" t="inlineStr">
        <is>
          <t>No</t>
        </is>
      </c>
      <c r="Q181" t="inlineStr">
        <is>
          <t>MS TEAMS</t>
        </is>
      </c>
      <c r="R181" s="3" t="inlineStr">
        <is>
          <t>https://www.etenders.gov.za/home/Download/?blobName=1f93a6f2-baa3-49b8-bc36-0e4cdcb084e9.pdf&amp;downloadedFileName=Annexure%20B%20Safety%20Requirements.pdf</t>
        </is>
      </c>
      <c r="S181" t="inlineStr"/>
      <c r="T181" t="inlineStr"/>
      <c r="U181" t="inlineStr"/>
      <c r="V181" t="inlineStr"/>
      <c r="W181" t="inlineStr"/>
    </row>
    <row r="182">
      <c r="A182" s="2" t="n">
        <v>46167</v>
      </c>
      <c r="B182" t="n">
        <v>22</v>
      </c>
      <c r="C182" t="inlineStr">
        <is>
          <t>TDR146/2025/2026:</t>
        </is>
      </c>
      <c r="D182" s="2" t="n">
        <v>46164</v>
      </c>
      <c r="E182" s="2" t="n">
        <v>46199</v>
      </c>
      <c r="F182" t="inlineStr">
        <is>
          <t>12:00</t>
        </is>
      </c>
      <c r="G182" t="inlineStr">
        <is>
          <t>Request for Bid(Open-Tender)</t>
        </is>
      </c>
      <c r="H182" t="inlineStr">
        <is>
          <t>SUPPLY AND DELIVERY OF MANHOLE COVERS AND RINGS</t>
        </is>
      </c>
      <c r="I182" t="inlineStr">
        <is>
          <t>ETENDERS.GOV.ZA</t>
        </is>
      </c>
      <c r="J182" t="inlineStr">
        <is>
          <t>Mossel Bay Municipality</t>
        </is>
      </c>
      <c r="K182" t="inlineStr">
        <is>
          <t>Western Cape</t>
        </is>
      </c>
      <c r="L182" t="inlineStr">
        <is>
          <t>No</t>
        </is>
      </c>
      <c r="M182" t="inlineStr">
        <is>
          <t>Other service activities</t>
        </is>
      </c>
      <c r="N182" t="inlineStr">
        <is>
          <t>No</t>
        </is>
      </c>
      <c r="O182" t="inlineStr"/>
      <c r="P182" t="inlineStr">
        <is>
          <t>No</t>
        </is>
      </c>
      <c r="Q182" t="inlineStr">
        <is>
          <t>N/A</t>
        </is>
      </c>
      <c r="R182" s="3" t="inlineStr">
        <is>
          <t>https://www.etenders.gov.za/home/Download/?blobName=a1687e71-0a5a-4ca0-aa78-ac47c1095d12.pdf&amp;downloadedFileName=146-2025-2026%20TENDER%20DOCUMENT.pdf</t>
        </is>
      </c>
      <c r="S182" t="inlineStr"/>
      <c r="T182" t="inlineStr"/>
      <c r="U182" t="inlineStr"/>
      <c r="V182" t="inlineStr"/>
      <c r="W182" t="inlineStr"/>
    </row>
    <row r="183">
      <c r="A183" s="2" t="n">
        <v>46167</v>
      </c>
      <c r="B183" t="n">
        <v>21</v>
      </c>
      <c r="C183" t="inlineStr">
        <is>
          <t>E2896GXMPARN</t>
        </is>
      </c>
      <c r="D183" s="2" t="n">
        <v>46164</v>
      </c>
      <c r="E183" s="2" t="n">
        <v>46178</v>
      </c>
      <c r="F183" t="inlineStr">
        <is>
          <t>10:00</t>
        </is>
      </c>
      <c r="G183" t="inlineStr">
        <is>
          <t>Restricted Bidding</t>
        </is>
      </c>
      <c r="H183" t="inlineStr">
        <is>
          <t>The provision of compressor maintenance at Arnot Power Station for a period of 4 years.</t>
        </is>
      </c>
      <c r="I183" t="inlineStr">
        <is>
          <t>ETENDERS.GOV.ZA</t>
        </is>
      </c>
      <c r="J183" t="inlineStr">
        <is>
          <t>ESKOM</t>
        </is>
      </c>
      <c r="K183" t="inlineStr">
        <is>
          <t>Mpumalanga</t>
        </is>
      </c>
      <c r="L183" t="inlineStr">
        <is>
          <t>No</t>
        </is>
      </c>
      <c r="M183" t="inlineStr">
        <is>
          <t>Services: General</t>
        </is>
      </c>
      <c r="N183" t="inlineStr">
        <is>
          <t>Yes</t>
        </is>
      </c>
      <c r="O183" t="inlineStr"/>
      <c r="P183" t="inlineStr">
        <is>
          <t>Yes</t>
        </is>
      </c>
      <c r="Q183" t="inlineStr">
        <is>
          <t>N/A</t>
        </is>
      </c>
      <c r="R183" s="3" t="inlineStr">
        <is>
          <t>https://www.etenders.gov.za/home/Download/?blobName=ee69b029-692a-4eb2-97ad-3b33cf82b9f2.pdf&amp;downloadedFileName=Eskom%20Acknowlegement%20form%20for%20OHS%20legal%20requirement.pdf</t>
        </is>
      </c>
      <c r="S183" t="inlineStr"/>
      <c r="T183" t="inlineStr"/>
      <c r="U183" t="inlineStr"/>
      <c r="V183" t="inlineStr"/>
      <c r="W183" t="inlineStr"/>
    </row>
    <row r="184">
      <c r="A184" s="2" t="n">
        <v>46167</v>
      </c>
      <c r="B184" t="n">
        <v>20</v>
      </c>
      <c r="C184" t="inlineStr">
        <is>
          <t>WRSCM-2026/2027-0003</t>
        </is>
      </c>
      <c r="D184" s="2" t="n">
        <v>46164</v>
      </c>
      <c r="E184" s="2" t="n">
        <v>46205</v>
      </c>
      <c r="F184" t="inlineStr">
        <is>
          <t>11:00</t>
        </is>
      </c>
      <c r="G184" t="inlineStr">
        <is>
          <t>Request for Bid(Open-Tender)</t>
        </is>
      </c>
      <c r="H184" t="inlineStr">
        <is>
          <t>APPOINTMENT OF A PROPERTY OWNER/MANDATED PROPERTY MANAGEMENT COMPANY TO PROVIDE LEASED OFFICE SPACE TO HOUSE THE W&amp;RSETA KZN REGIONAL OFFICE</t>
        </is>
      </c>
      <c r="I184" t="inlineStr">
        <is>
          <t>ETENDERS.GOV.ZA</t>
        </is>
      </c>
      <c r="J184" t="inlineStr">
        <is>
          <t>Wholesale and Retail Sector Education and Training Authority</t>
        </is>
      </c>
      <c r="K184" t="inlineStr">
        <is>
          <t>KwaZulu-Natal</t>
        </is>
      </c>
      <c r="L184" t="inlineStr">
        <is>
          <t>No</t>
        </is>
      </c>
      <c r="M184" t="inlineStr">
        <is>
          <t>Rental and leasing activities</t>
        </is>
      </c>
      <c r="N184" t="inlineStr">
        <is>
          <t>Yes</t>
        </is>
      </c>
      <c r="O184" s="2" t="n">
        <v>46184</v>
      </c>
      <c r="P184" t="inlineStr">
        <is>
          <t>No</t>
        </is>
      </c>
      <c r="Q184" t="inlineStr">
        <is>
          <t>via Teams</t>
        </is>
      </c>
      <c r="R184" s="3" t="inlineStr">
        <is>
          <t>https://www.etenders.gov.za/home/Download/?blobName=0837a0ae-8516-49f3-84ca-e8b73ea5e54f.pdf&amp;downloadedFileName=KwaZulu%20Natal%20Regional%20Office%20-%20Office%20Lease%20Specification%20and%20Bid%20Document.pdf</t>
        </is>
      </c>
      <c r="S184" t="inlineStr"/>
      <c r="T184" t="inlineStr"/>
      <c r="U184" t="inlineStr"/>
      <c r="V184" t="inlineStr"/>
      <c r="W184" t="inlineStr"/>
    </row>
    <row r="185">
      <c r="A185" s="2" t="n">
        <v>46167</v>
      </c>
      <c r="B185" t="n">
        <v>19</v>
      </c>
      <c r="C185" t="inlineStr">
        <is>
          <t>T 2026/006</t>
        </is>
      </c>
      <c r="D185" s="2" t="n">
        <v>46164</v>
      </c>
      <c r="E185" s="2" t="n">
        <v>46178</v>
      </c>
      <c r="F185" t="inlineStr">
        <is>
          <t>11:00</t>
        </is>
      </c>
      <c r="G185" t="inlineStr">
        <is>
          <t>Request for Bid(Open-Tender)</t>
        </is>
      </c>
      <c r="H185" t="inlineStr">
        <is>
          <t>SUPPLY AND DELIVERY OF APPLICANCES FOR A PERIOD OF TWELVE MONTHS</t>
        </is>
      </c>
      <c r="I185" t="inlineStr">
        <is>
          <t>ETENDERS.GOV.ZA</t>
        </is>
      </c>
      <c r="J185" t="inlineStr">
        <is>
          <t>Cape Winelands District Municipality</t>
        </is>
      </c>
      <c r="K185" t="inlineStr">
        <is>
          <t>Western Cape</t>
        </is>
      </c>
      <c r="L185" t="inlineStr">
        <is>
          <t>No</t>
        </is>
      </c>
      <c r="M185" t="inlineStr">
        <is>
          <t>Supplies: General</t>
        </is>
      </c>
      <c r="N185" t="inlineStr">
        <is>
          <t>No</t>
        </is>
      </c>
      <c r="O185" t="inlineStr"/>
      <c r="P185" t="inlineStr">
        <is>
          <t>No</t>
        </is>
      </c>
      <c r="Q185" t="inlineStr">
        <is>
          <t>N/A</t>
        </is>
      </c>
      <c r="R185" s="3" t="inlineStr">
        <is>
          <t>https://www.etenders.gov.za/home/Download/?blobName=5d5f8c4e-62fb-412f-aeee-253677557b91.pdf&amp;downloadedFileName=T%202026%20006%20TENDER%20DOCUMENT%20FINAL.pdf</t>
        </is>
      </c>
      <c r="S185" t="inlineStr"/>
      <c r="T185" t="inlineStr"/>
      <c r="U185" t="inlineStr"/>
      <c r="V185" t="inlineStr"/>
      <c r="W185" t="inlineStr"/>
    </row>
    <row r="186">
      <c r="A186" s="2" t="n">
        <v>46167</v>
      </c>
      <c r="B186" t="n">
        <v>18</v>
      </c>
      <c r="C186" t="inlineStr">
        <is>
          <t>VCW269/ERPIS/21</t>
        </is>
      </c>
      <c r="D186" s="2" t="n">
        <v>46164</v>
      </c>
      <c r="E186" s="2" t="n">
        <v>46191</v>
      </c>
      <c r="F186" t="inlineStr">
        <is>
          <t>12:00</t>
        </is>
      </c>
      <c r="G186" t="inlineStr">
        <is>
          <t>Request for Proposal</t>
        </is>
      </c>
      <c r="H186" t="inlineStr">
        <is>
          <t>REQUEST FOR PROPOSAL FOR APPOINTMENT OF PROFESSIONAL SERVICE PROVIDER TO IMPLEMENT AN ENTERPRISE RESOURCE PLANNING (ERP) INFORMATION SYSTEM ON BEHALF OF VAAL CENTRAL WATER</t>
        </is>
      </c>
      <c r="I186" t="inlineStr">
        <is>
          <t>ETENDERS.GOV.ZA</t>
        </is>
      </c>
      <c r="J186" t="inlineStr">
        <is>
          <t>Vaal Central Water</t>
        </is>
      </c>
      <c r="K186" t="inlineStr">
        <is>
          <t>Free State</t>
        </is>
      </c>
      <c r="L186" t="inlineStr">
        <is>
          <t>No</t>
        </is>
      </c>
      <c r="M186" t="inlineStr">
        <is>
          <t>Information and communication</t>
        </is>
      </c>
      <c r="N186" t="inlineStr">
        <is>
          <t>Yes</t>
        </is>
      </c>
      <c r="O186" s="2" t="n">
        <v>46176</v>
      </c>
      <c r="P186" t="inlineStr">
        <is>
          <t>Yes</t>
        </is>
      </c>
      <c r="Q186" t="inlineStr">
        <is>
          <t>Vaal Central Water Head Office</t>
        </is>
      </c>
      <c r="R186" s="3" t="inlineStr">
        <is>
          <t>https://www.etenders.gov.za/home/Download/?blobName=52347784-ed39-4e27-a454-db25822a0b00.pdf&amp;downloadedFileName=APPOINTMENT%20OF%20PROFESSIONAL%20SERVICE%20PROVIDER%20TO%20IMPLEMENT%20AN%20ERP%20INFORMATION%20SYSTEM.pdf</t>
        </is>
      </c>
      <c r="S186" t="inlineStr"/>
      <c r="T186" t="inlineStr"/>
      <c r="U186" t="inlineStr"/>
      <c r="V186" t="inlineStr"/>
      <c r="W186" t="inlineStr"/>
    </row>
    <row r="187">
      <c r="A187" s="2" t="n">
        <v>46167</v>
      </c>
      <c r="B187" t="n">
        <v>17</v>
      </c>
      <c r="C187" t="inlineStr">
        <is>
          <t>BID 3 OF 2026</t>
        </is>
      </c>
      <c r="D187" s="2" t="n">
        <v>46164</v>
      </c>
      <c r="E187" s="2" t="n">
        <v>46181</v>
      </c>
      <c r="F187" t="inlineStr">
        <is>
          <t>12:00</t>
        </is>
      </c>
      <c r="G187" t="inlineStr">
        <is>
          <t>Request for Bid(Open-Tender)</t>
        </is>
      </c>
      <c r="H187" t="inlineStr">
        <is>
          <t>SUPPLY, DELIVERY AND COMMISSIONING OF MACHINERY AND EQUIPMENT FOR DUNCAN VILLAGE WASTE MANAGEMENT</t>
        </is>
      </c>
      <c r="I187" t="inlineStr">
        <is>
          <t>ETENDERS.GOV.ZA</t>
        </is>
      </c>
      <c r="J187" t="inlineStr">
        <is>
          <t>BUFFALO CITY METROPOLITAN DEVELOPMENT AGENCY</t>
        </is>
      </c>
      <c r="K187" t="inlineStr">
        <is>
          <t>Eastern Cape</t>
        </is>
      </c>
      <c r="L187" t="inlineStr">
        <is>
          <t>No</t>
        </is>
      </c>
      <c r="M187" t="inlineStr">
        <is>
          <t>Supplies: General</t>
        </is>
      </c>
      <c r="N187" t="inlineStr">
        <is>
          <t>No</t>
        </is>
      </c>
      <c r="O187" t="inlineStr"/>
      <c r="P187" t="inlineStr">
        <is>
          <t>No</t>
        </is>
      </c>
      <c r="Q187" t="inlineStr">
        <is>
          <t>N/A</t>
        </is>
      </c>
      <c r="R187" s="3" t="inlineStr">
        <is>
          <t>https://www.etenders.gov.za/home/Download/?blobName=cfb6a393-e596-4d1d-bbb4-ca8910349bdd.pdf&amp;downloadedFileName=TENDER%20DOCUMENT%20OF%20BID%203%20OF%202026_SUPPLY%20DELIVERY%20AND%20COMMISSIONING%20OF%20MACHINERY%20AND%20EQUIPMENT%20FOR%20DUNCAN%20VILLAGE%20WASTE%20MANAGEMENT%20PROGRAMME.pdf</t>
        </is>
      </c>
      <c r="S187" t="inlineStr"/>
      <c r="T187" t="inlineStr"/>
      <c r="U187" t="inlineStr"/>
      <c r="V187" t="inlineStr"/>
      <c r="W187" t="inlineStr"/>
    </row>
    <row r="188">
      <c r="A188" s="2" t="n">
        <v>46167</v>
      </c>
      <c r="B188" t="n">
        <v>16</v>
      </c>
      <c r="C188" t="inlineStr">
        <is>
          <t>RFP01/26</t>
        </is>
      </c>
      <c r="D188" s="2" t="n">
        <v>46164</v>
      </c>
      <c r="E188" s="2" t="n">
        <v>46190</v>
      </c>
      <c r="F188" t="inlineStr">
        <is>
          <t>11:00</t>
        </is>
      </c>
      <c r="G188" t="inlineStr">
        <is>
          <t>Request for Bid(Open-Tender)</t>
        </is>
      </c>
      <c r="H188" t="inlineStr">
        <is>
          <t>APPOINTMENT OF A SERVICE PROVIDER TO OPERATE FOUR ACCREDITED SHARED CHEMICAL AND DETERGENT MANUFACTURING AND TRAINING FACILITIES IN THE KWA-ZULU NATAL PROVINCE FOR A PERIOD OF 36 MONTHS.</t>
        </is>
      </c>
      <c r="I188" t="inlineStr">
        <is>
          <t>ETENDERS.GOV.ZA</t>
        </is>
      </c>
      <c r="J188" t="inlineStr">
        <is>
          <t>Kwa-Zulu Natal - Ithala Development Finance Corporation</t>
        </is>
      </c>
      <c r="K188" t="inlineStr">
        <is>
          <t>KwaZulu-Natal</t>
        </is>
      </c>
      <c r="L188" t="inlineStr">
        <is>
          <t>No</t>
        </is>
      </c>
      <c r="M188" t="inlineStr">
        <is>
          <t>Manufacture of chemicals and chemical products</t>
        </is>
      </c>
      <c r="N188" t="inlineStr">
        <is>
          <t>Yes</t>
        </is>
      </c>
      <c r="O188" s="2" t="n">
        <v>46175</v>
      </c>
      <c r="P188" t="inlineStr">
        <is>
          <t>Yes</t>
        </is>
      </c>
      <c r="Q188" t="inlineStr">
        <is>
          <t>Esikhawini Vula Detergent Centre, 1074 Ihlokohloko Street Esikhawini H</t>
        </is>
      </c>
      <c r="R188" s="3" t="inlineStr">
        <is>
          <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t>
        </is>
      </c>
      <c r="S188" t="inlineStr"/>
      <c r="T188" t="inlineStr"/>
      <c r="U188" t="inlineStr"/>
      <c r="V188" t="inlineStr"/>
      <c r="W188" t="inlineStr"/>
    </row>
    <row r="189">
      <c r="A189" s="2" t="n">
        <v>46167</v>
      </c>
      <c r="B189" t="n">
        <v>15</v>
      </c>
      <c r="C189" t="inlineStr">
        <is>
          <t>GQET-26/27-036</t>
        </is>
      </c>
      <c r="D189" s="2" t="n">
        <v>46164</v>
      </c>
      <c r="E189" s="2" t="n">
        <v>46182</v>
      </c>
      <c r="F189" t="inlineStr">
        <is>
          <t>11:00</t>
        </is>
      </c>
      <c r="G189" t="inlineStr">
        <is>
          <t>Request for Quotation</t>
        </is>
      </c>
      <c r="H189" t="inlineStr">
        <is>
          <t>BOILER OPERATIONS AND REPAIRS AT FORT GLAMORGAN PRISON FOR A PERIOD OF FIVE (05) MONTHS</t>
        </is>
      </c>
      <c r="I189" t="inlineStr">
        <is>
          <t>ETENDERS.GOV.ZA</t>
        </is>
      </c>
      <c r="J189" t="inlineStr">
        <is>
          <t>Public Works</t>
        </is>
      </c>
      <c r="K189" t="inlineStr">
        <is>
          <t>Eastern Cape</t>
        </is>
      </c>
      <c r="L189" t="inlineStr">
        <is>
          <t>No</t>
        </is>
      </c>
      <c r="M189" t="inlineStr">
        <is>
          <t>Services: General</t>
        </is>
      </c>
      <c r="N189" t="inlineStr">
        <is>
          <t>No</t>
        </is>
      </c>
      <c r="O189" t="inlineStr"/>
      <c r="P189" t="inlineStr">
        <is>
          <t>No</t>
        </is>
      </c>
      <c r="Q189" t="inlineStr">
        <is>
          <t>N/A</t>
        </is>
      </c>
      <c r="R189" s="3" t="inlineStr">
        <is>
          <t>https://www.etenders.gov.za/home/Download/?blobName=cd16ba9c-8a1f-4cd2-bb7c-04a908427b8c.pdf&amp;downloadedFileName=Boiler%20operations%20and%20repairs%20at%20Fort%20Glamorgan%20Prison%20(GQET-26-27-036).pdf</t>
        </is>
      </c>
      <c r="S189" t="inlineStr"/>
      <c r="T189" t="inlineStr"/>
      <c r="U189" t="inlineStr"/>
      <c r="V189" t="inlineStr"/>
      <c r="W189" t="inlineStr"/>
    </row>
    <row r="190">
      <c r="A190" s="2" t="n">
        <v>46167</v>
      </c>
      <c r="B190" t="n">
        <v>14</v>
      </c>
      <c r="C190" t="inlineStr">
        <is>
          <t>OLT2128187</t>
        </is>
      </c>
      <c r="D190" s="2" t="n">
        <v>46164</v>
      </c>
      <c r="E190" s="2" t="n">
        <v>46174</v>
      </c>
      <c r="F190" t="inlineStr">
        <is>
          <t>10:00</t>
        </is>
      </c>
      <c r="G190" t="inlineStr">
        <is>
          <t>Request for Proposal</t>
        </is>
      </c>
      <c r="H190" t="inlineStr">
        <is>
          <t>ONCE-OFF tender for removal, purchase and collection of KVA transformers located at Middelburg RDC, Kwaggafontein, Caroline and Mayflower CNC in Mpumalanga OU – Distribution.</t>
        </is>
      </c>
      <c r="I190" t="inlineStr">
        <is>
          <t>ETENDERS.GOV.ZA</t>
        </is>
      </c>
      <c r="J190" t="inlineStr">
        <is>
          <t>ESKOM</t>
        </is>
      </c>
      <c r="K190" t="inlineStr">
        <is>
          <t>Mpumalanga</t>
        </is>
      </c>
      <c r="L190" t="inlineStr">
        <is>
          <t>No</t>
        </is>
      </c>
      <c r="M190" t="inlineStr">
        <is>
          <t>Disposals: General</t>
        </is>
      </c>
      <c r="N190" t="inlineStr">
        <is>
          <t>No</t>
        </is>
      </c>
      <c r="O190" t="inlineStr"/>
      <c r="P190" t="inlineStr">
        <is>
          <t>No</t>
        </is>
      </c>
      <c r="Q190" t="inlineStr">
        <is>
          <t>N/A</t>
        </is>
      </c>
      <c r="R190" s="3" t="inlineStr">
        <is>
          <t>https://www.etenders.gov.za/home/Download/?blobName=83fb6f99-57ce-4d3d-949d-0ad6efc5aeec.pdf&amp;downloadedFileName=SHE%20REQUIREMENTS.pdf</t>
        </is>
      </c>
      <c r="S190" t="inlineStr"/>
      <c r="T190" t="inlineStr"/>
      <c r="U190" t="inlineStr"/>
      <c r="V190" t="inlineStr"/>
      <c r="W190" t="inlineStr"/>
    </row>
    <row r="191">
      <c r="A191" s="2" t="n">
        <v>46167</v>
      </c>
      <c r="B191" t="n">
        <v>13</v>
      </c>
      <c r="C191" t="inlineStr">
        <is>
          <t>ERI/2024/BMS/14 A</t>
        </is>
      </c>
      <c r="D191" s="2" t="n">
        <v>46164</v>
      </c>
      <c r="E191" s="2" t="n">
        <v>46195</v>
      </c>
      <c r="F191" t="inlineStr">
        <is>
          <t>10:00</t>
        </is>
      </c>
      <c r="G191" t="inlineStr">
        <is>
          <t>Request for Bid(Open-Tender)</t>
        </is>
      </c>
      <c r="H191" t="inlineStr">
        <is>
          <t>Regret letter for Provision of Traffic Safety Management at various power stations on as and when required basis for a period of 48 months (4 years)</t>
        </is>
      </c>
      <c r="I191" t="inlineStr">
        <is>
          <t>ETENDERS.GOV.ZA</t>
        </is>
      </c>
      <c r="J191" t="inlineStr">
        <is>
          <t>ESKOM</t>
        </is>
      </c>
      <c r="K191" t="inlineStr">
        <is>
          <t>National</t>
        </is>
      </c>
      <c r="L191" t="inlineStr">
        <is>
          <t>No</t>
        </is>
      </c>
      <c r="M191" t="inlineStr">
        <is>
          <t>Services: General</t>
        </is>
      </c>
      <c r="N191" t="inlineStr">
        <is>
          <t>No</t>
        </is>
      </c>
      <c r="O191" t="inlineStr"/>
      <c r="P191" t="inlineStr">
        <is>
          <t>No</t>
        </is>
      </c>
      <c r="Q191" t="inlineStr">
        <is>
          <t>N/A</t>
        </is>
      </c>
      <c r="R191" s="3" t="inlineStr">
        <is>
          <t>https://www.etenders.gov.za/home/Download/?blobName=82c46bd2-2aa0-492e-97ea-fe1daf7de604.pdf&amp;downloadedFileName=Regret%20Letter%20Template%20for%20Unsuccessful%20Suppliers%20-%20February%202025%20(2).pdf</t>
        </is>
      </c>
      <c r="S191" t="inlineStr"/>
      <c r="T191" t="inlineStr"/>
      <c r="U191" t="inlineStr"/>
      <c r="V191" t="inlineStr"/>
      <c r="W191" t="inlineStr"/>
    </row>
    <row r="192">
      <c r="A192" s="2" t="n">
        <v>46167</v>
      </c>
      <c r="B192" t="n">
        <v>12</v>
      </c>
      <c r="C192" t="inlineStr">
        <is>
          <t>SCMU8-26/27-0077</t>
        </is>
      </c>
      <c r="D192" s="2" t="n">
        <v>46164</v>
      </c>
      <c r="E192" s="2" t="n">
        <v>46195</v>
      </c>
      <c r="F192" t="inlineStr">
        <is>
          <t>11:00</t>
        </is>
      </c>
      <c r="G192" t="inlineStr">
        <is>
          <t>Request for Bid(Open-Tender)</t>
        </is>
      </c>
      <c r="H192" t="inlineStr">
        <is>
          <t>SUPPLY AND DELIVERY OF PRODUCTION INPUTS (POULTRY FEED) FOR THE ILIMA LOKULIMA PROGRAM IN THE THREE LOCAL MUNICIPALITIES: JOE GQABI DISTRICT</t>
        </is>
      </c>
      <c r="I192" t="inlineStr">
        <is>
          <t>ETENDERS.GOV.ZA</t>
        </is>
      </c>
      <c r="J192" t="inlineStr">
        <is>
          <t>Eastern Cape - Agriculture</t>
        </is>
      </c>
      <c r="K192" t="inlineStr">
        <is>
          <t>Eastern Cape</t>
        </is>
      </c>
      <c r="L192" t="inlineStr">
        <is>
          <t>No</t>
        </is>
      </c>
      <c r="M192" t="inlineStr">
        <is>
          <t>Supplies: General</t>
        </is>
      </c>
      <c r="N192" t="inlineStr">
        <is>
          <t>No</t>
        </is>
      </c>
      <c r="O192" t="inlineStr"/>
      <c r="P192" t="inlineStr">
        <is>
          <t>No</t>
        </is>
      </c>
      <c r="Q192" t="inlineStr">
        <is>
          <t>N/A</t>
        </is>
      </c>
      <c r="R192" s="3" t="inlineStr">
        <is>
          <t>https://www.etenders.gov.za/home/Download/?blobName=73bbb985-94de-47b1-a589-1c1ae55d2297.pdf&amp;downloadedFileName=SCMU8-26-27-0077.pdf</t>
        </is>
      </c>
      <c r="S192" t="inlineStr"/>
      <c r="T192" t="inlineStr"/>
      <c r="U192" t="inlineStr"/>
      <c r="V192" t="inlineStr"/>
      <c r="W192" t="inlineStr"/>
    </row>
    <row r="193">
      <c r="A193" s="2" t="n">
        <v>46167</v>
      </c>
      <c r="B193" t="n">
        <v>11</v>
      </c>
      <c r="C193" t="inlineStr">
        <is>
          <t>RFP/IT/2026/10249272/11</t>
        </is>
      </c>
      <c r="D193" s="2" t="n">
        <v>46164</v>
      </c>
      <c r="E193" s="2" t="n">
        <v>46190</v>
      </c>
      <c r="F193" t="inlineStr">
        <is>
          <t>12:00</t>
        </is>
      </c>
      <c r="G193" t="inlineStr">
        <is>
          <t>Request for Proposal</t>
        </is>
      </c>
      <c r="H193" t="inlineStr">
        <is>
          <t>APPOINTMENT OF SERVICE PROVIDER FOR LICENSING, IMPLEMENTATION, MAINTENANCE AND SUPPORT OF THE ENTERPRISE VULNERABILITY SCANNING MANAGEMENT SOLUTION FOR A PERIOD OF 5 YEARS</t>
        </is>
      </c>
      <c r="I193" t="inlineStr">
        <is>
          <t>ETENDERS.GOV.ZA</t>
        </is>
      </c>
      <c r="J193" t="inlineStr">
        <is>
          <t>South African Broadcasting Corporation Limited</t>
        </is>
      </c>
      <c r="K193" t="inlineStr">
        <is>
          <t>National</t>
        </is>
      </c>
      <c r="L193" t="inlineStr">
        <is>
          <t>No</t>
        </is>
      </c>
      <c r="M193" t="inlineStr">
        <is>
          <t>Administrative and support activities</t>
        </is>
      </c>
      <c r="N193" t="inlineStr">
        <is>
          <t>Yes</t>
        </is>
      </c>
      <c r="O193" s="2" t="n">
        <v>46176</v>
      </c>
      <c r="P193" t="inlineStr">
        <is>
          <t>No</t>
        </is>
      </c>
      <c r="Q193" t="inlineStr">
        <is>
          <t>Microsoft teams on the tender document</t>
        </is>
      </c>
      <c r="R193" s="3" t="inlineStr">
        <is>
          <t>https://www.etenders.gov.za/home/Download/?blobName=5ce047c1-1b4c-4c01-a408-1a5df409c7b5.pdf&amp;downloadedFileName=ENTERPRISE%20VULNERABILITY%20SCANNING%20MANAGEMENT%20SOLUTION%20FOR%20A%20PERIOD%20OF%205%20YEARS%20%20..pdf</t>
        </is>
      </c>
      <c r="S193" t="inlineStr"/>
      <c r="T193" t="inlineStr"/>
      <c r="U193" t="inlineStr"/>
      <c r="V193" t="inlineStr"/>
      <c r="W193" t="inlineStr"/>
    </row>
    <row r="194">
      <c r="A194" s="2" t="n">
        <v>46167</v>
      </c>
      <c r="B194" t="n">
        <v>10</v>
      </c>
      <c r="C194" t="inlineStr">
        <is>
          <t>RFQ2026-27-21</t>
        </is>
      </c>
      <c r="D194" s="2" t="n">
        <v>46164</v>
      </c>
      <c r="E194" s="2" t="n">
        <v>46170</v>
      </c>
      <c r="F194" t="inlineStr">
        <is>
          <t>11:00</t>
        </is>
      </c>
      <c r="G194" t="inlineStr">
        <is>
          <t>Request for Quotation</t>
        </is>
      </c>
      <c r="H194" t="inlineStr">
        <is>
          <t>Procurement JAWS Software License and Duxbury Braille Translator for Windows (Single-User License).</t>
        </is>
      </c>
      <c r="I194" t="inlineStr">
        <is>
          <t>ETENDERS.GOV.ZA</t>
        </is>
      </c>
      <c r="J194" t="inlineStr">
        <is>
          <t>The South African Qualifications Authority (SAQA)</t>
        </is>
      </c>
      <c r="K194" t="inlineStr">
        <is>
          <t>Gauteng</t>
        </is>
      </c>
      <c r="L194" t="inlineStr">
        <is>
          <t>No</t>
        </is>
      </c>
      <c r="M194" t="inlineStr">
        <is>
          <t>Professional, scientific and technical activities</t>
        </is>
      </c>
      <c r="N194" t="inlineStr">
        <is>
          <t>No</t>
        </is>
      </c>
      <c r="O194" t="inlineStr"/>
      <c r="P194" t="inlineStr">
        <is>
          <t>No</t>
        </is>
      </c>
      <c r="Q194" t="inlineStr">
        <is>
          <t>N/A</t>
        </is>
      </c>
      <c r="R194" s="3" t="inlineStr">
        <is>
          <t>https://www.etenders.gov.za/home/Download/?blobName=ba532b32-6591-42e3-a04a-b89eaae1bd40.pdf&amp;downloadedFileName=SAQA%20RFQ-Procurement%20of%20JAWS%20Software%20%20Duxbury%20braile%20translator%20for%20windows%20licenses.pdf</t>
        </is>
      </c>
      <c r="S194" t="inlineStr"/>
      <c r="T194" t="inlineStr"/>
      <c r="U194" t="inlineStr"/>
      <c r="V194" t="inlineStr"/>
      <c r="W194" t="inlineStr"/>
    </row>
    <row r="195">
      <c r="A195" s="2" t="n">
        <v>46167</v>
      </c>
      <c r="B195" t="n">
        <v>9</v>
      </c>
      <c r="C195" t="inlineStr">
        <is>
          <t>SCMU5-26/27-002 JGR</t>
        </is>
      </c>
      <c r="D195" s="2" t="n">
        <v>46164</v>
      </c>
      <c r="E195" s="2" t="n">
        <v>46191</v>
      </c>
      <c r="F195" t="inlineStr">
        <is>
          <t>11:00</t>
        </is>
      </c>
      <c r="G195" t="inlineStr">
        <is>
          <t>Request for Bid(Open-Tender)</t>
        </is>
      </c>
      <c r="H195" t="inlineStr">
        <is>
          <t>TERM CONTRACT FOR DEEP CLEANING SERVICES TO ALL BUILDINGS OCCUPIED BY DEPARTMENT OF PUBLIC WORKS AND INFRASTRUCTURE OFFICIALS IN THE JOE GQABI DISTRICT FOR TWENTY FOUR (24) MONTHS</t>
        </is>
      </c>
      <c r="I195" t="inlineStr">
        <is>
          <t>ETENDERS.GOV.ZA</t>
        </is>
      </c>
      <c r="J195" t="inlineStr">
        <is>
          <t>Eastern Cape - Roads and Public Works</t>
        </is>
      </c>
      <c r="K195" t="inlineStr">
        <is>
          <t>Eastern Cape</t>
        </is>
      </c>
      <c r="L195" t="inlineStr">
        <is>
          <t>No</t>
        </is>
      </c>
      <c r="M195" t="inlineStr">
        <is>
          <t>Services: Functional (Including Cleaning and Security Services)</t>
        </is>
      </c>
      <c r="N195" t="inlineStr">
        <is>
          <t>No</t>
        </is>
      </c>
      <c r="O195" t="inlineStr"/>
      <c r="P195" t="inlineStr">
        <is>
          <t>No</t>
        </is>
      </c>
      <c r="Q195" t="inlineStr">
        <is>
          <t>N/A</t>
        </is>
      </c>
      <c r="R195" s="3" t="inlineStr">
        <is>
          <t>https://www.etenders.gov.za/home/Download/?blobName=9afb85c8-0c1b-4592-919c-aae942e67076.pdf&amp;downloadedFileName=Deep%20cleaning_22052026170151.pdf</t>
        </is>
      </c>
      <c r="S195" t="inlineStr"/>
      <c r="T195" t="inlineStr"/>
      <c r="U195" t="inlineStr"/>
      <c r="V195" t="inlineStr"/>
      <c r="W195" t="inlineStr"/>
    </row>
    <row r="196">
      <c r="A196" s="2" t="n">
        <v>46167</v>
      </c>
      <c r="B196" t="n">
        <v>8</v>
      </c>
      <c r="C196" t="inlineStr">
        <is>
          <t>T 8.3.33-2026 MN104-2026</t>
        </is>
      </c>
      <c r="D196" s="2" t="n">
        <v>46164</v>
      </c>
      <c r="E196" s="2" t="n">
        <v>46196</v>
      </c>
      <c r="F196" t="inlineStr">
        <is>
          <t>12:00</t>
        </is>
      </c>
      <c r="G196" t="inlineStr">
        <is>
          <t>Request for Bid(Open-Tender)</t>
        </is>
      </c>
      <c r="H196" t="inlineStr">
        <is>
          <t>UPGRADING OF KERK LAAN</t>
        </is>
      </c>
      <c r="I196" t="inlineStr">
        <is>
          <t>ETENDERS.GOV.ZA</t>
        </is>
      </c>
      <c r="J196" t="inlineStr">
        <is>
          <t>Bergrivier - WC Local Municipality</t>
        </is>
      </c>
      <c r="K196" t="inlineStr">
        <is>
          <t>Western Cape</t>
        </is>
      </c>
      <c r="L196" t="inlineStr">
        <is>
          <t>No</t>
        </is>
      </c>
      <c r="M196" t="inlineStr">
        <is>
          <t>Civil engineering</t>
        </is>
      </c>
      <c r="N196" t="inlineStr">
        <is>
          <t>Yes</t>
        </is>
      </c>
      <c r="O196" s="2" t="n">
        <v>46175</v>
      </c>
      <c r="P196" t="inlineStr">
        <is>
          <t>Yes</t>
        </is>
      </c>
      <c r="Q196" t="inlineStr">
        <is>
          <t>Bergrivier Municipal Offices in Velddrif, Voortrekker Street, Velddrif, 7365</t>
        </is>
      </c>
      <c r="R196" s="3" t="inlineStr">
        <is>
          <t>https://www.etenders.gov.za/home/Download/?blobName=1593df15-8649-49b3-a45a-634f7cc55306.pdf&amp;downloadedFileName=Upgrading%20of%20Kerklaan%20Advert.pdf</t>
        </is>
      </c>
      <c r="S196" t="inlineStr"/>
      <c r="T196" t="inlineStr"/>
      <c r="U196" t="inlineStr"/>
      <c r="V196" t="inlineStr"/>
      <c r="W196" t="inlineStr"/>
    </row>
    <row r="197">
      <c r="A197" s="2" t="n">
        <v>46167</v>
      </c>
      <c r="B197" t="n">
        <v>7</v>
      </c>
      <c r="C197" t="inlineStr">
        <is>
          <t>FORMAL TENDER RFQ 02/05/2026</t>
        </is>
      </c>
      <c r="D197" s="2" t="n">
        <v>46164</v>
      </c>
      <c r="E197" s="2" t="n">
        <v>46176</v>
      </c>
      <c r="F197" t="inlineStr">
        <is>
          <t>12:00</t>
        </is>
      </c>
      <c r="G197" t="inlineStr">
        <is>
          <t>Request for Quotation</t>
        </is>
      </c>
      <c r="H197" t="inlineStr">
        <is>
          <t>FORMAL TENDER RFQ 02/05/2026: REQUEST FOR QUOTATION: SUPPLY AND DELIVERY OF PETROL TAMPING RAMMERS TO OUDTSHOORN MUNICIPALITY AS AND WHEN REQUIRED FROM DATE OF APPOINTMENT</t>
        </is>
      </c>
      <c r="I197" t="inlineStr">
        <is>
          <t>ETENDERS.GOV.ZA</t>
        </is>
      </c>
      <c r="J197" t="inlineStr">
        <is>
          <t>Oudtshoorn Municipality</t>
        </is>
      </c>
      <c r="K197" t="inlineStr">
        <is>
          <t>Western Cape</t>
        </is>
      </c>
      <c r="L197" t="inlineStr">
        <is>
          <t>No</t>
        </is>
      </c>
      <c r="M197" t="inlineStr">
        <is>
          <t>Manufacturing</t>
        </is>
      </c>
      <c r="N197" t="inlineStr">
        <is>
          <t>No</t>
        </is>
      </c>
      <c r="O197" t="inlineStr"/>
      <c r="P197" t="inlineStr">
        <is>
          <t>No</t>
        </is>
      </c>
      <c r="Q197" t="inlineStr">
        <is>
          <t>N/A</t>
        </is>
      </c>
      <c r="R197" s="3" t="inlineStr">
        <is>
          <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t>
        </is>
      </c>
      <c r="S197" t="inlineStr"/>
      <c r="T197" t="inlineStr"/>
      <c r="U197" t="inlineStr"/>
      <c r="V197" t="inlineStr"/>
      <c r="W197" t="inlineStr"/>
    </row>
    <row r="198">
      <c r="A198" s="2" t="n">
        <v>46167</v>
      </c>
      <c r="B198" t="n">
        <v>6</v>
      </c>
      <c r="C198" t="inlineStr">
        <is>
          <t>SCM/2026/64/ENG</t>
        </is>
      </c>
      <c r="D198" s="2" t="n">
        <v>46164</v>
      </c>
      <c r="E198" s="2" t="n">
        <v>46192</v>
      </c>
      <c r="F198" t="inlineStr">
        <is>
          <t>12:00</t>
        </is>
      </c>
      <c r="G198" t="inlineStr">
        <is>
          <t>Request for Proposal</t>
        </is>
      </c>
      <c r="H198" t="inlineStr">
        <is>
          <t>UPGRADE OF MARINE WAY SEWER</t>
        </is>
      </c>
      <c r="I198" t="inlineStr">
        <is>
          <t>ETENDERS.GOV.ZA</t>
        </is>
      </c>
      <c r="J198" t="inlineStr">
        <is>
          <t>Bitou Municipality</t>
        </is>
      </c>
      <c r="K198" t="inlineStr">
        <is>
          <t>Western Cape</t>
        </is>
      </c>
      <c r="L198" t="inlineStr">
        <is>
          <t>No</t>
        </is>
      </c>
      <c r="M198" t="inlineStr">
        <is>
          <t>Sewerage</t>
        </is>
      </c>
      <c r="N198" t="inlineStr">
        <is>
          <t>Yes</t>
        </is>
      </c>
      <c r="O198" s="2" t="n">
        <v>46176</v>
      </c>
      <c r="P198" t="inlineStr">
        <is>
          <t>Yes</t>
        </is>
      </c>
      <c r="Q198" t="inlineStr">
        <is>
          <t>Engineering Services Boardroom, 17 Marine Way, Plettenberg Bay</t>
        </is>
      </c>
      <c r="R198" s="3" t="inlineStr">
        <is>
          <t>https://www.etenders.gov.za/home/Download/?blobName=4caad5dd-5a14-46be-89d8-6bbdaeacb5e6.pdf&amp;downloadedFileName=SCM%20%202026%2064%20ENG%20ADVERT.pdf</t>
        </is>
      </c>
      <c r="S198" t="inlineStr"/>
      <c r="T198" t="inlineStr"/>
      <c r="U198" t="inlineStr"/>
      <c r="V198" t="inlineStr"/>
      <c r="W198" t="inlineStr"/>
    </row>
    <row r="199">
      <c r="A199" s="2" t="n">
        <v>46167</v>
      </c>
      <c r="B199" t="n">
        <v>5</v>
      </c>
      <c r="C199" t="inlineStr">
        <is>
          <t>MB-RFP- 2026.2027</t>
        </is>
      </c>
      <c r="D199" s="2" t="n">
        <v>46164</v>
      </c>
      <c r="E199" s="2" t="n">
        <v>46181</v>
      </c>
      <c r="F199" t="inlineStr">
        <is>
          <t>11:00</t>
        </is>
      </c>
      <c r="G199" t="inlineStr">
        <is>
          <t>Request for Proposal</t>
        </is>
      </c>
      <c r="H199" t="inlineStr">
        <is>
          <t>THE PROVISION OF MEDICAL AID SCHEME BROKERAGE SERVICES TO EZEMVELO KZN WILDLIFE FOR A PERIOD OF FIVE (5) YEARS</t>
        </is>
      </c>
      <c r="I199" t="inlineStr">
        <is>
          <t>ETENDERS.GOV.ZA</t>
        </is>
      </c>
      <c r="J199" t="inlineStr">
        <is>
          <t>Kwa-Zulu Natal - Ezemvelo KwaZulu-Natal Wildlife</t>
        </is>
      </c>
      <c r="K199" t="inlineStr">
        <is>
          <t>KwaZulu-Natal</t>
        </is>
      </c>
      <c r="L199" t="inlineStr">
        <is>
          <t>No</t>
        </is>
      </c>
      <c r="M199" t="inlineStr">
        <is>
          <t>Financial service activities, except insurance and pension funding</t>
        </is>
      </c>
      <c r="N199" t="inlineStr">
        <is>
          <t>No</t>
        </is>
      </c>
      <c r="O199" t="inlineStr"/>
      <c r="P199" t="inlineStr">
        <is>
          <t>No</t>
        </is>
      </c>
      <c r="Q199" t="inlineStr">
        <is>
          <t>N/A</t>
        </is>
      </c>
      <c r="R199" s="3" t="inlineStr">
        <is>
          <t>https://www.etenders.gov.za/home/Download/?blobName=672e65a5-e880-4b9c-8aba-645d375153d9.pdf&amp;downloadedFileName=Final%20document%20for%20Medical%20broker.pdf</t>
        </is>
      </c>
      <c r="S199" t="inlineStr"/>
      <c r="T199" t="inlineStr"/>
      <c r="U199" t="inlineStr"/>
      <c r="V199" t="inlineStr"/>
      <c r="W199" t="inlineStr"/>
    </row>
    <row r="200">
      <c r="A200" s="2" t="n">
        <v>46167</v>
      </c>
      <c r="B200" t="n">
        <v>4</v>
      </c>
      <c r="C200" t="inlineStr">
        <is>
          <t>RFQ 12129</t>
        </is>
      </c>
      <c r="D200" s="2" t="n">
        <v>46164</v>
      </c>
      <c r="E200" s="2" t="n">
        <v>46185</v>
      </c>
      <c r="F200" t="inlineStr">
        <is>
          <t>15:00</t>
        </is>
      </c>
      <c r="G200" t="inlineStr">
        <is>
          <t>Request for Quotation</t>
        </is>
      </c>
      <c r="H200" t="inlineStr">
        <is>
          <t>Generator Replacement Program at Airports Company South Africa at King Phalo Airport.</t>
        </is>
      </c>
      <c r="I200" t="inlineStr">
        <is>
          <t>ETENDERS.GOV.ZA</t>
        </is>
      </c>
      <c r="J200" t="inlineStr">
        <is>
          <t>Airports Company of South Africa</t>
        </is>
      </c>
      <c r="K200" t="inlineStr">
        <is>
          <t>Eastern Cape</t>
        </is>
      </c>
      <c r="L200" t="inlineStr">
        <is>
          <t>No</t>
        </is>
      </c>
      <c r="M200" t="inlineStr">
        <is>
          <t>Services: Professional</t>
        </is>
      </c>
      <c r="N200" t="inlineStr">
        <is>
          <t>Yes</t>
        </is>
      </c>
      <c r="O200" t="inlineStr"/>
      <c r="P200" t="inlineStr">
        <is>
          <t>Yes</t>
        </is>
      </c>
      <c r="Q200" t="inlineStr">
        <is>
          <t>Information desk, King Phalo Airport</t>
        </is>
      </c>
      <c r="R200" s="3" t="inlineStr">
        <is>
          <t>https://www.etenders.gov.za/home/Download/?blobName=8c8d9af4-c5e1-4213-9a4d-6157469542ee.pdf&amp;downloadedFileName=NEC%203%20PSC-Terminal%20Building%20Diesel%20Generator%20Replacement%20Project.pdf</t>
        </is>
      </c>
      <c r="S200" t="inlineStr"/>
      <c r="T200" t="inlineStr"/>
      <c r="U200" t="inlineStr"/>
      <c r="V200" t="inlineStr"/>
      <c r="W200" t="inlineStr"/>
    </row>
    <row r="201">
      <c r="A201" s="2" t="n">
        <v>46167</v>
      </c>
      <c r="B201" t="n">
        <v>3</v>
      </c>
      <c r="C201" t="inlineStr">
        <is>
          <t>PP09-26/27-07</t>
        </is>
      </c>
      <c r="D201" s="2" t="n">
        <v>46165</v>
      </c>
      <c r="E201" s="2" t="n">
        <v>46195</v>
      </c>
      <c r="F201" t="inlineStr">
        <is>
          <t>11:00</t>
        </is>
      </c>
      <c r="G201" t="inlineStr">
        <is>
          <t>Request for Bid(Open-Tender)</t>
        </is>
      </c>
      <c r="H201" t="inlineStr">
        <is>
          <t>APPOINTMENT OF SERVICE PROVIDER TO DEVELOP EASTERN CAPE ENVIRONMENTAL IMPLEMENTATION PLAN (EIP) 4TH EDITION</t>
        </is>
      </c>
      <c r="I201" t="inlineStr">
        <is>
          <t>ETENDERS.GOV.ZA</t>
        </is>
      </c>
      <c r="J201" t="inlineStr">
        <is>
          <t>Eastern Cape - Economic Development &amp; Environmental Affairs</t>
        </is>
      </c>
      <c r="K201" t="inlineStr">
        <is>
          <t>Eastern Cape</t>
        </is>
      </c>
      <c r="L201" t="inlineStr">
        <is>
          <t>No</t>
        </is>
      </c>
      <c r="M201" t="inlineStr">
        <is>
          <t>Services: Professional</t>
        </is>
      </c>
      <c r="N201" t="inlineStr">
        <is>
          <t>No</t>
        </is>
      </c>
      <c r="O201" t="inlineStr"/>
      <c r="P201" t="inlineStr">
        <is>
          <t>No</t>
        </is>
      </c>
      <c r="Q201" t="inlineStr">
        <is>
          <t>N/A</t>
        </is>
      </c>
      <c r="R201" s="3" t="inlineStr">
        <is>
          <t>https://www.etenders.gov.za/home/Download/?blobName=e6b88d84-391a-4d87-b38b-0f1cda18a6de.docx&amp;downloadedFileName=SBD%206.1%20IN%20TERMS%20OF%20PPR2022.docx</t>
        </is>
      </c>
      <c r="S201" t="inlineStr"/>
      <c r="T201" t="inlineStr"/>
      <c r="U201" t="inlineStr"/>
      <c r="V201" t="inlineStr"/>
      <c r="W201" t="inlineStr"/>
    </row>
    <row r="202">
      <c r="A202" s="2" t="n">
        <v>46167</v>
      </c>
      <c r="B202" t="n">
        <v>2</v>
      </c>
      <c r="C202" t="inlineStr">
        <is>
          <t>E2889GXGPE</t>
        </is>
      </c>
      <c r="D202" s="2" t="n">
        <v>46165</v>
      </c>
      <c r="E202" s="2" t="n">
        <v>46233</v>
      </c>
      <c r="F202" t="inlineStr">
        <is>
          <t>11:00</t>
        </is>
      </c>
      <c r="G202" t="inlineStr">
        <is>
          <t>Sole source bidding</t>
        </is>
      </c>
      <c r="H202" t="inlineStr">
        <is>
          <t>WATER SUPPLY FEASIBILITY STUDY FOR THE TUBATSE PUMPED STORAGE SCHEME PROJECT</t>
        </is>
      </c>
      <c r="I202" t="inlineStr">
        <is>
          <t>ETENDERS.GOV.ZA</t>
        </is>
      </c>
      <c r="J202" t="inlineStr">
        <is>
          <t>ESKOM</t>
        </is>
      </c>
      <c r="K202" t="inlineStr">
        <is>
          <t>Limpopo</t>
        </is>
      </c>
      <c r="L202" t="inlineStr">
        <is>
          <t>No</t>
        </is>
      </c>
      <c r="M202" t="inlineStr">
        <is>
          <t>Services: Professional</t>
        </is>
      </c>
      <c r="N202" t="inlineStr">
        <is>
          <t>Yes</t>
        </is>
      </c>
      <c r="O202" t="inlineStr"/>
      <c r="P202" t="inlineStr">
        <is>
          <t>Yes</t>
        </is>
      </c>
      <c r="Q202" t="inlineStr">
        <is>
          <t>N/A</t>
        </is>
      </c>
      <c r="R202" s="3" t="inlineStr">
        <is>
          <t>https://www.etenders.gov.za/home/Download/?blobName=32020679-e54c-4572-8332-5f6538a2ae1b.pdf&amp;downloadedFileName=Invitation%20to%20Tender%20(ITT)%20or%20Request%20for%20Proposal%20(RFP).pdf</t>
        </is>
      </c>
      <c r="S202" t="inlineStr"/>
      <c r="T202" t="inlineStr"/>
      <c r="U202" t="inlineStr"/>
      <c r="V202" t="inlineStr"/>
      <c r="W202" t="inlineStr"/>
    </row>
    <row r="203">
      <c r="A203" s="2" t="n">
        <v>46167</v>
      </c>
      <c r="B203" t="n">
        <v>1</v>
      </c>
      <c r="C203" t="inlineStr">
        <is>
          <t>EDET 0382/2026</t>
        </is>
      </c>
      <c r="D203" s="2" t="n">
        <v>46166</v>
      </c>
      <c r="E203" s="2" t="n">
        <v>46175</v>
      </c>
      <c r="F203" t="inlineStr">
        <is>
          <t>11:00</t>
        </is>
      </c>
      <c r="G203" t="inlineStr">
        <is>
          <t>Request for Quotation</t>
        </is>
      </c>
      <c r="H203" t="inlineStr">
        <is>
          <t>SPECIFICATION FOR REPAIR OF FIREARMS</t>
        </is>
      </c>
      <c r="I203" t="inlineStr">
        <is>
          <t>ETENDERS.GOV.ZA</t>
        </is>
      </c>
      <c r="J203" t="inlineStr">
        <is>
          <t>Limpopo - Economic Development Environment &amp; Tourism</t>
        </is>
      </c>
      <c r="K203" t="inlineStr">
        <is>
          <t>Limpopo</t>
        </is>
      </c>
      <c r="L203" t="inlineStr">
        <is>
          <t>No</t>
        </is>
      </c>
      <c r="M203" t="inlineStr">
        <is>
          <t>Other service activities</t>
        </is>
      </c>
      <c r="N203" t="inlineStr">
        <is>
          <t>No</t>
        </is>
      </c>
      <c r="O203" t="inlineStr"/>
      <c r="P203" t="inlineStr">
        <is>
          <t>No</t>
        </is>
      </c>
      <c r="Q203" t="inlineStr">
        <is>
          <t>N/A</t>
        </is>
      </c>
      <c r="R203" s="3" t="inlineStr">
        <is>
          <t>https://www.etenders.gov.za/home/Download/?blobName=85887991-161c-4401-a976-bf8a6f9031ff.pdf&amp;downloadedFileName=Spec%20-%20Rifle%20Repairs%202.pdf</t>
        </is>
      </c>
      <c r="S203" t="inlineStr"/>
      <c r="T203" t="inlineStr"/>
      <c r="U203" t="inlineStr"/>
      <c r="V203" t="inlineStr"/>
      <c r="W203"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24/05/2026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Investigations Unit*")</f>
        <v/>
      </c>
      <c r="C24">
        <f>COUNTIFS('Tender Data'!M:M,"Information service activities",'Tender Data'!J:J,"Special Investigations Unit*")+COUNTIFS('Tender Data'!M:M,"Information and communication",'Tender Data'!J:J,"Special Investigations Unit*")</f>
        <v/>
      </c>
      <c r="D24">
        <f>COUNTIFS('Tender Data'!J:J,"Special Investigations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CP JHB</t>
        </is>
      </c>
      <c r="B27">
        <f>COUNTIF('Tender Data'!J:J,"*Joburg Property*")</f>
        <v/>
      </c>
      <c r="C27">
        <f>COUNTIFS('Tender Data'!M:M,"Information service activities",'Tender Data'!J:J,"*Joburg Property*")+COUNTIFS('Tender Data'!M:M,"Information and communication",'Tender Data'!J:J,"*Joburg Property*")</f>
        <v/>
      </c>
      <c r="D27">
        <f>COUNTIFS('Tender Data'!J:J,"*Joburg Property*",'Tender Data'!G:G,"Request for Quotation")</f>
        <v/>
      </c>
    </row>
    <row r="28">
      <c r="A28" t="inlineStr">
        <is>
          <t>W JHB</t>
        </is>
      </c>
      <c r="B28">
        <f>COUNTIF('Tender Data'!J:J,"*Johannesburg Water*")</f>
        <v/>
      </c>
      <c r="C28">
        <f>COUNTIFS('Tender Data'!M:M,"Information service activities",'Tender Data'!J:J,"*Johannesburg Water*")+COUNTIFS('Tender Data'!M:M,"Information and communication",'Tender Data'!J:J,"*Johannesburg Water*")</f>
        <v/>
      </c>
      <c r="D28">
        <f>COUNTIFS('Tender Data'!J:J,"*Johannesburg Water*",'Tender Data'!G:G,"Request for Quotation")</f>
        <v/>
      </c>
    </row>
    <row r="29">
      <c r="B29">
        <f>SUM(B4:B28)</f>
        <v/>
      </c>
      <c r="C29">
        <f>SUM(C4:C28)</f>
        <v/>
      </c>
      <c r="D29">
        <f>SUM(D4:D28)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2026-05-25T07:56:15Z</dcterms:created>
  <dcterms:modified xmlns:dcterms="http://purl.org/dc/terms/" xmlns:xsi="http://www.w3.org/2001/XMLSchema-instance" xsi:type="dcterms:W3CDTF">2026-05-25T07:56:15Z</dcterms:modified>
</cp:coreProperties>
</file>