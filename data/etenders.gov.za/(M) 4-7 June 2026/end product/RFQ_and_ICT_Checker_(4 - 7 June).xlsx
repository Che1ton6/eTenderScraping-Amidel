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nder Data" sheetId="1" state="visible" r:id="rId1"/>
    <sheet xmlns:r="http://schemas.openxmlformats.org/officeDocument/2006/relationships" name="Final"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27eec0fc-3f23-463b-97b6-f0e978241a87.pdf&amp;downloadedFileName=TENDER%20DOCUMENT-064422.pdf" TargetMode="External" Id="rId1"/><Relationship Type="http://schemas.openxmlformats.org/officeDocument/2006/relationships/hyperlink" Target="https://www.etenders.gov.za/home/Download/?blobName=de3f668e-d0c7-4da7-b476-dcedebc5cc0d.pdf&amp;downloadedFileName=TENDER%20DOCUMENT-070131.pdf" TargetMode="External" Id="rId2"/><Relationship Type="http://schemas.openxmlformats.org/officeDocument/2006/relationships/hyperlink" Target="https://www.etenders.gov.za/home/Download/?blobName=b0506364-5d9d-49ca-bc85-c318aafae36a.pdf&amp;downloadedFileName=FSCOGTA%20(RFB)%20001%202026-2027.pdf" TargetMode="External" Id="rId3"/><Relationship Type="http://schemas.openxmlformats.org/officeDocument/2006/relationships/hyperlink" Target="https://www.etenders.gov.za/home/Download/?blobName=bae73286-7beb-4306-ba96-85cc6ea35669.pdf&amp;downloadedFileName=GRDM3225-26%20Appointment%20of%20a%20service%20provider%20to%20undertake%20specific%20initiatives%20and%20collaborations%20in%20terms%20of%20marketing%20destination.pdf" TargetMode="External" Id="rId4"/><Relationship Type="http://schemas.openxmlformats.org/officeDocument/2006/relationships/hyperlink" Target="https://www.etenders.gov.za/home/Download/?blobName=5c1171ea-7d7d-4c71-9158-8ac1b30201a1.pdf&amp;downloadedFileName=Advert%2003-06-2026._%20(002).pdf" TargetMode="External" Id="rId5"/><Relationship Type="http://schemas.openxmlformats.org/officeDocument/2006/relationships/hyperlink" Target="https://www.etenders.gov.za/home/Download/?blobName=a80badfa-bb01-4522-a795-6831018484d6.pdf&amp;downloadedFileName=Advert%2003-06-2026._%20(002).pdf" TargetMode="External" Id="rId6"/><Relationship Type="http://schemas.openxmlformats.org/officeDocument/2006/relationships/hyperlink" Target="https://www.etenders.gov.za/home/Download/?blobName=b70e8c3f-2918-4f64-bb08-9370cc9c57fb.pdf&amp;downloadedFileName=Advert%2003-06-2026._%20(002).pdf" TargetMode="External" Id="rId7"/><Relationship Type="http://schemas.openxmlformats.org/officeDocument/2006/relationships/hyperlink" Target="https://www.etenders.gov.za/home/Download/?blobName=b3fb02f1-a8aa-420e-8363-9fe248d39264.pdf&amp;downloadedFileName=Advert%2003-06-2026._%20(002).pdf" TargetMode="External" Id="rId8"/><Relationship Type="http://schemas.openxmlformats.org/officeDocument/2006/relationships/hyperlink" Target="https://www.etenders.gov.za/home/Download/?blobName=b60ab401-9a0f-4f99-81b5-142e35c8ac94.pdf&amp;downloadedFileName=NDA-%20Denel%20Dynamics%20Procurement%20%2004%20June%202026.pdf" TargetMode="External" Id="rId9"/><Relationship Type="http://schemas.openxmlformats.org/officeDocument/2006/relationships/hyperlink" Target="https://www.etenders.gov.za/home/Download/?blobName=3a83ad60-364b-4506-b9fa-ba6b15bf009c.pdf&amp;downloadedFileName=Panel%20of%20full%20service%20agencies%20for%20SABC%20special%20needs%20RFP%20(1).pdf" TargetMode="External" Id="rId10"/><Relationship Type="http://schemas.openxmlformats.org/officeDocument/2006/relationships/hyperlink" Target="https://www.etenders.gov.za/home/Download/?blobName=7cee3e98-aee7-4ca8-891f-89b41ce8589a.pdf&amp;downloadedFileName=TORAppointment%20for%20service%20provider%20to%20provide%20vidoe%20conference%20support%20and%20maintenance%20in%20boardroom%20108%20144%20and%20145.pdf" TargetMode="External" Id="rId11"/><Relationship Type="http://schemas.openxmlformats.org/officeDocument/2006/relationships/hyperlink" Target="https://www.etenders.gov.za/home/Download/?blobName=2c34e7e1-a45a-40fd-8004-0ed287151b44.PDF&amp;downloadedFileName=ATA-RF~1.PDF" TargetMode="External" Id="rId12"/><Relationship Type="http://schemas.openxmlformats.org/officeDocument/2006/relationships/hyperlink" Target="https://www.etenders.gov.za/home/Download/?blobName=701b19a6-5739-418d-ac69-9fd5baceafb6.pdf&amp;downloadedFileName=MAPW%20RFQ%20051%20INTERNET%20CONNECTION.pdf" TargetMode="External" Id="rId13"/><Relationship Type="http://schemas.openxmlformats.org/officeDocument/2006/relationships/hyperlink" Target="https://www.etenders.gov.za/home/Download/?blobName=ba56ddd1-7244-4038-ad18-953a5273d435.zip&amp;downloadedFileName=TENDER%20DOCUMENTS%20FOR%20RADIATION%20PROTECTION%20PRODUCTS.zip" TargetMode="External" Id="rId14"/><Relationship Type="http://schemas.openxmlformats.org/officeDocument/2006/relationships/hyperlink" Target="https://www.etenders.gov.za/home/Download/?blobName=fedc1212-2add-40f3-930d-500f26dab0c5.pdf&amp;downloadedFileName=NEC3%20PSC_Loss%20Adjusting%20Services.pdf" TargetMode="External" Id="rId15"/><Relationship Type="http://schemas.openxmlformats.org/officeDocument/2006/relationships/hyperlink" Target="https://www.etenders.gov.za/home/Download/?blobName=4384dadd-be1d-4651-9725-5302aae1f442.pdf&amp;downloadedFileName=240-105658000%20Supplier%20Quality%20Management%20Specification%20(3).pdf" TargetMode="External" Id="rId16"/><Relationship Type="http://schemas.openxmlformats.org/officeDocument/2006/relationships/hyperlink" Target="https://www.etenders.gov.za/home/Download/?blobName=962492bf-240d-45f4-87dc-c93b5c1ba101.pdf&amp;downloadedFileName=Tender%20Closing%2010%20July%202026.pdf" TargetMode="External" Id="rId17"/><Relationship Type="http://schemas.openxmlformats.org/officeDocument/2006/relationships/hyperlink" Target="https://www.etenders.gov.za/home/Download/?blobName=e7f6bad9-b925-47f5-9c13-513572136672.pdf&amp;downloadedFileName=GMT053%20of%2025-26%20-%20ADVERT.pdf" TargetMode="External" Id="rId18"/><Relationship Type="http://schemas.openxmlformats.org/officeDocument/2006/relationships/hyperlink" Target="https://www.etenders.gov.za/home/Download/?blobName=d182bf98-fa86-4ff2-84a1-56526fbcb904.pdf&amp;downloadedFileName=GMT049_25-26%20-%20Advert_25%20May%202026%20-%20Final.pdf" TargetMode="External" Id="rId19"/><Relationship Type="http://schemas.openxmlformats.org/officeDocument/2006/relationships/hyperlink" Target="https://www.etenders.gov.za/home/Download/?blobName=0d515a98-96b4-45f7-aa0d-032c37941c61.pdf&amp;downloadedFileName=DARD05.2026.pdf" TargetMode="External" Id="rId20"/><Relationship Type="http://schemas.openxmlformats.org/officeDocument/2006/relationships/hyperlink" Target="https://www.etenders.gov.za/home/Download/?blobName=38ec278e-ca49-4803-bb76-776ad8e90b79.pdf&amp;downloadedFileName=DARD06.2026.pdf" TargetMode="External" Id="rId21"/><Relationship Type="http://schemas.openxmlformats.org/officeDocument/2006/relationships/hyperlink" Target="https://www.etenders.gov.za/home/Download/?blobName=4b008915-7c83-4e45-940b-c5582064a07f.pdf&amp;downloadedFileName=COJ0111-25-26%20%20A4%20PAPER.pdf" TargetMode="External" Id="rId22"/><Relationship Type="http://schemas.openxmlformats.org/officeDocument/2006/relationships/hyperlink" Target="https://www.etenders.gov.za/home/Download/?blobName=e2bac974-476a-46b1-b1d7-76d8fc08c007.pdf&amp;downloadedFileName=COJ0112-25-26%20JOZI%20IHLOMILE%20REPORTING.pdf" TargetMode="External" Id="rId23"/><Relationship Type="http://schemas.openxmlformats.org/officeDocument/2006/relationships/hyperlink" Target="https://www.etenders.gov.za/home/Download/?blobName=9436fa80-720d-4c16-9f86-6c789f0cd858.docx&amp;downloadedFileName=COJ0113-25-26%20ADOBE%20LICENSE.docx" TargetMode="External" Id="rId24"/><Relationship Type="http://schemas.openxmlformats.org/officeDocument/2006/relationships/hyperlink" Target="https://www.etenders.gov.za/home/Download/?blobName=c24010cc-2bbb-4055-b128-0fc4a0dc09aa.pdf&amp;downloadedFileName=ANNEXURE%20G%20-%20SLA.pdf" TargetMode="External" Id="rId25"/><Relationship Type="http://schemas.openxmlformats.org/officeDocument/2006/relationships/hyperlink" Target="https://www.etenders.gov.za/home/Download/?blobName=e09c0147-6ee1-4f44-aff2-7619dbf46e38.pdf&amp;downloadedFileName=Advert%2003-06-2026._%20(002).pdf" TargetMode="External" Id="rId26"/><Relationship Type="http://schemas.openxmlformats.org/officeDocument/2006/relationships/hyperlink" Target="https://www.etenders.gov.za/home/Download/?blobName=d9baca66-ab04-434a-ad41-6f8129cc864b.pdf&amp;downloadedFileName=Advert%2003-06-2026._%20(002).pdf" TargetMode="External" Id="rId27"/><Relationship Type="http://schemas.openxmlformats.org/officeDocument/2006/relationships/hyperlink" Target="https://www.etenders.gov.za/home/Download/?blobName=f7ac8cc3-4af3-41f5-9837-27231929cad3.pdf&amp;downloadedFileName=SCM-T-2026-27-001%20-%20Final%20Notice.pdf" TargetMode="External" Id="rId28"/><Relationship Type="http://schemas.openxmlformats.org/officeDocument/2006/relationships/hyperlink" Target="https://www.etenders.gov.za/home/Download/?blobName=6e505d84-f50d-46c1-bcfc-f4f734c60647.pdf&amp;downloadedFileName=SCM-T-2026-27-002%20-%20Final%20Notice.pdf" TargetMode="External" Id="rId29"/><Relationship Type="http://schemas.openxmlformats.org/officeDocument/2006/relationships/hyperlink" Target="https://www.etenders.gov.za/home/Download/?blobName=9b9fbbae-83d3-443e-9179-f4f2b02383e2.pdf&amp;downloadedFileName=Q94-2025-26%20QUOTATION%20DOCUMENT.pdf" TargetMode="External" Id="rId30"/><Relationship Type="http://schemas.openxmlformats.org/officeDocument/2006/relationships/hyperlink" Target="https://www.etenders.gov.za/home/Download/?blobName=66ef53ce-dfe8-425e-a279-8c4f2bf84fde.pdf&amp;downloadedFileName=RFQ%20for%20Independent%20Design%20Verification%20Services%20Overpack%20Steel%20Container%20for%20Transport%20of%20LLW%20Concrete%20Drums.pdf" TargetMode="External" Id="rId31"/><Relationship Type="http://schemas.openxmlformats.org/officeDocument/2006/relationships/hyperlink" Target="https://www.etenders.gov.za/home/Download/?blobName=5de61010-6260-49b3-8049-c9181c4a2406.pdf&amp;downloadedFileName=RFQ-MICT-19-2026-PANEL%20OF%20CATERING%20SERVICES.pdf" TargetMode="External" Id="rId32"/><Relationship Type="http://schemas.openxmlformats.org/officeDocument/2006/relationships/hyperlink" Target="https://www.etenders.gov.za/home/Download/?blobName=6ebe3cd2-6a32-4467-9d17-388fa92011e6.pdf&amp;downloadedFileName=ADVERT%20FOR%20ADVERTISING,%20ICT%20MAINTENANCE%20AND%20INDIGENT%20(310mm%20High%20%20X%20%20158mm%20Wide%204column)%2031X5.pdf" TargetMode="External" Id="rId33"/><Relationship Type="http://schemas.openxmlformats.org/officeDocument/2006/relationships/hyperlink" Target="https://www.etenders.gov.za/home/Download/?blobName=b04a56ea-69b0-4197-bcad-395d7ccddca3.pdf&amp;downloadedFileName=ADVERT%20FOR%20ADVERTISING,%20ICT%20MAINTENANCE%20AND%20INDIGENT%20(310mm%20High%20%20X%20%20158mm%20Wide%204column)%2031X5.pdf" TargetMode="External" Id="rId34"/><Relationship Type="http://schemas.openxmlformats.org/officeDocument/2006/relationships/hyperlink" Target="https://www.etenders.gov.za/home/Download/?blobName=49134a1c-f135-47b1-8e4a-8dfb4f447584.pdf&amp;downloadedFileName=ADVERT%20FOR%20ADVERTISING,%20ICT%20MAINTENANCE%20AND%20INDIGENT%20(310mm%20High%20%20X%20%20158mm%20Wide%204column)%2031X5.pdf" TargetMode="External" Id="rId35"/><Relationship Type="http://schemas.openxmlformats.org/officeDocument/2006/relationships/hyperlink" Target="https://www.etenders.gov.za/home/Download/?blobName=35d9f67e-90fb-488f-8b5f-c162a29d5d14.pdf&amp;downloadedFileName=Advert%2003-06-2026._%20(002).pdf" TargetMode="External" Id="rId36"/><Relationship Type="http://schemas.openxmlformats.org/officeDocument/2006/relationships/hyperlink" Target="https://www.etenders.gov.za/home/Download/?blobName=a2898608-6787-4963-82a5-9724ed3eef3e.pdf&amp;downloadedFileName=Advert%2003-06-2026._%20(002).pdf" TargetMode="External" Id="rId37"/><Relationship Type="http://schemas.openxmlformats.org/officeDocument/2006/relationships/hyperlink" Target="https://www.etenders.gov.za/home/Download/?blobName=943cb8a4-ae6c-45c9-9e08-83eb621b8374.pdf&amp;downloadedFileName=Advert%2003-06-2026._%20(002).pdf" TargetMode="External" Id="rId38"/><Relationship Type="http://schemas.openxmlformats.org/officeDocument/2006/relationships/hyperlink" Target="https://www.etenders.gov.za/home/Download/?blobName=0d0b65c2-50d1-479f-97ed-2758b9665c26.pdf&amp;downloadedFileName=Advert%2003-06-2026._%20(002).pdf" TargetMode="External" Id="rId39"/><Relationship Type="http://schemas.openxmlformats.org/officeDocument/2006/relationships/hyperlink" Target="https://www.etenders.gov.za/home/Download/?blobName=cc5c1587-1346-41c2-8dc5-7162a830164a.pdf&amp;downloadedFileName=BID%20ADVERTS%20-%20Electrification%20of%2042%20Households%20and%20Energy%20efficiency%20Demand%20Management%20and%20GRAP%20Complaint.pdf" TargetMode="External" Id="rId40"/><Relationship Type="http://schemas.openxmlformats.org/officeDocument/2006/relationships/hyperlink" Target="https://www.etenders.gov.za/home/Download/?blobName=b6991a22-820e-49e6-a58f-83b8621e92bf.pdf&amp;downloadedFileName=BID%20ADVERTS%20-%20Electrification%20of%2042%20Households%20and%20Energy%20efficiency%20Demand%20Management%20and%20GRAP%20Complaint.pdf" TargetMode="External" Id="rId41"/><Relationship Type="http://schemas.openxmlformats.org/officeDocument/2006/relationships/hyperlink" Target="https://www.etenders.gov.za/home/Download/?blobName=47d22ea8-e82b-458e-9900-2a303e8a0c65.pdf&amp;downloadedFileName=NWDOH%2014%202026%20BID%20COC.pdf" TargetMode="External" Id="rId42"/><Relationship Type="http://schemas.openxmlformats.org/officeDocument/2006/relationships/hyperlink" Target="https://www.etenders.gov.za/home/Download/?blobName=1f1c6e4f-b5d6-4335-839a-42b92587892d.pdf&amp;downloadedFileName=Advert%2003-06-2026._%20(002).pdf" TargetMode="External" Id="rId43"/><Relationship Type="http://schemas.openxmlformats.org/officeDocument/2006/relationships/hyperlink" Target="https://www.etenders.gov.za/home/Download/?blobName=68bce7d7-d4d4-4972-a935-681bf67f9e5b.pdf&amp;downloadedFileName=Advert%2003-06-2026._%20(002).pdf" TargetMode="External" Id="rId44"/><Relationship Type="http://schemas.openxmlformats.org/officeDocument/2006/relationships/hyperlink" Target="https://www.etenders.gov.za/home/Download/?blobName=a49865dd-4160-4289-b23c-5764e7fc8374.pdf&amp;downloadedFileName=Advert%2003-06-2026._%20(002).pdf" TargetMode="External" Id="rId45"/><Relationship Type="http://schemas.openxmlformats.org/officeDocument/2006/relationships/hyperlink" Target="https://www.etenders.gov.za/home/Download/?blobName=f67a0177-b623-42c3-ac9a-0696d225641d.PDF&amp;downloadedFileName=RFIFOR~1.PDF" TargetMode="External" Id="rId46"/><Relationship Type="http://schemas.openxmlformats.org/officeDocument/2006/relationships/hyperlink" Target="https://www.etenders.gov.za/home/Download/?blobName=42cb0887-1085-4b93-ad99-60c2bd82e6cf.pdf&amp;downloadedFileName=Bid%20Document%20EO-017-06-2026-%20(EO%20Community-based%20Solution).pdf" TargetMode="External" Id="rId47"/><Relationship Type="http://schemas.openxmlformats.org/officeDocument/2006/relationships/hyperlink" Target="https://www.etenders.gov.za/home/Download/?blobName=cf4edc48-ef03-4213-b72d-a649707bc393.pdf&amp;downloadedFileName=BID%20ADVERTS%20-%20Electrification%20of%2042%20Households%20and%20Energy%20efficiency%20Demand%20Management%20and%20GRAP%20Complaint.pdf" TargetMode="External" Id="rId48"/><Relationship Type="http://schemas.openxmlformats.org/officeDocument/2006/relationships/hyperlink" Target="https://www.etenders.gov.za/home/Download/?blobName=78923bee-27b6-4c1c-8d02-f18ca1cf8202.pdf&amp;downloadedFileName=MAPW%20RFQ%20062%20CHLORINE%20GAS.pdf" TargetMode="External" Id="rId49"/><Relationship Type="http://schemas.openxmlformats.org/officeDocument/2006/relationships/hyperlink" Target="https://www.etenders.gov.za/home/Download/?blobName=0d5ad304-6cb5-44db-b6d8-4e2f318e0f59.pdf&amp;downloadedFileName=Bid%20Document%20LDE-B05-2026-27.pdf" TargetMode="External" Id="rId50"/><Relationship Type="http://schemas.openxmlformats.org/officeDocument/2006/relationships/hyperlink" Target="https://www.etenders.gov.za/home/Download/?blobName=1ead71f8-9232-4fc4-890e-54eadc670ea8.pdf&amp;downloadedFileName=Bid%20Document%20LDE-B06-2026-27.pdf" TargetMode="External" Id="rId51"/><Relationship Type="http://schemas.openxmlformats.org/officeDocument/2006/relationships/hyperlink" Target="https://www.etenders.gov.za/home/Download/?blobName=46f66120-d79a-4e61-be77-0c67c82b7c92.pdf&amp;downloadedFileName=RFQ%20Risk%20Calibration%20-%20Mark%20X%20Machines%20(002).pdf" TargetMode="External" Id="rId52"/><Relationship Type="http://schemas.openxmlformats.org/officeDocument/2006/relationships/hyperlink" Target="https://www.etenders.gov.za/home/Download/?blobName=328373b0-c4ac-43b8-8623-bf9be51f5f0a.pdf&amp;downloadedFileName=Supplier%20Self%20Registration.pdf" TargetMode="External" Id="rId53"/><Relationship Type="http://schemas.openxmlformats.org/officeDocument/2006/relationships/hyperlink" Target="https://www.etenders.gov.za/home/Download/?blobName=9bf8e169-bd23-4ce9-949c-c88edcb91817.pdf&amp;downloadedFileName=Tender%20DOCS%20AD0099.pdf" TargetMode="External" Id="rId54"/><Relationship Type="http://schemas.openxmlformats.org/officeDocument/2006/relationships/hyperlink" Target="https://www.etenders.gov.za/home/Download/?blobName=e7dfe98d-9ebe-4761-8955-281fa2952193.pdf&amp;downloadedFileName=General%20Conditions%20of%20Contract%20-%20July%202010.pdf" TargetMode="External" Id="rId55"/><Relationship Type="http://schemas.openxmlformats.org/officeDocument/2006/relationships/hyperlink" Target="https://www.etenders.gov.za/home/Download/?blobName=f379a2a1-f83d-4da3-a419-f6fcdc64e833.pdf&amp;downloadedFileName=NNRSCM-03-2026-APPOINTMENT%20OF%20A%20SERVICE%20PROVIDER%20FOR%20CLEANING%20SERVICE%20AT%20NNR%20CENTURION%20-SITE%20OFFICE%20AND%20LABORATORY.pdf" TargetMode="External" Id="rId56"/><Relationship Type="http://schemas.openxmlformats.org/officeDocument/2006/relationships/hyperlink" Target="https://www.etenders.gov.za/home/Download/?blobName=3722d7f2-940e-4dc4-a418-b74368c4f1be.pdf&amp;downloadedFileName=Notice%20292026%20-%20Supply%20and%20Deliver%20Plotter.pdf" TargetMode="External" Id="rId57"/><Relationship Type="http://schemas.openxmlformats.org/officeDocument/2006/relationships/hyperlink" Target="https://www.etenders.gov.za/home/Download/?blobName=77e2743d-a75c-418b-bbc2-f0d806ac58e4.pdf&amp;downloadedFileName=Notice%20302026%20Document%20-%20GIS%20training.pdf" TargetMode="External" Id="rId58"/><Relationship Type="http://schemas.openxmlformats.org/officeDocument/2006/relationships/hyperlink" Target="https://www.etenders.gov.za/home/Download/?blobName=651211ff-dc02-4e85-9a0f-233c2857f646.docx&amp;downloadedFileName=Tender%20Invitation%20and%20Standard%20Bidding%20Documents_.docx" TargetMode="External" Id="rId59"/><Relationship Type="http://schemas.openxmlformats.org/officeDocument/2006/relationships/hyperlink" Target="https://www.etenders.gov.za/home/Download/?blobName=c4e8b6b5-a5fb-4a3f-9bcf-0d722304fc7c.pdf&amp;downloadedFileName=NGB%20001(2026-2027)%20Datacenter%20and%20DRS.pdf" TargetMode="External" Id="rId60"/><Relationship Type="http://schemas.openxmlformats.org/officeDocument/2006/relationships/hyperlink" Target="https://www.etenders.gov.za/home/Download/?blobName=fb14e8a9-ceba-4e01-9324-0130281e3191.pdf&amp;downloadedFileName=PPE%20TENDER%20DOCUMENT%20DRT%2002%2005%202026.pdf" TargetMode="External" Id="rId61"/><Relationship Type="http://schemas.openxmlformats.org/officeDocument/2006/relationships/hyperlink" Target="https://www.etenders.gov.za/home/Download/?blobName=cfe4e49a-855d-42d0-839e-4fafcf2d4715.pdf&amp;downloadedFileName=Procurement%20Government%20GCC.pdf" TargetMode="External" Id="rId62"/><Relationship Type="http://schemas.openxmlformats.org/officeDocument/2006/relationships/hyperlink" Target="https://www.etenders.gov.za/home/Download/?blobName=365349db-17cc-478a-bc73-6d16e1b6c55f.pdf&amp;downloadedFileName=TENDER%20NOTICE%20-%20FIN2026-BID-013.pdf" TargetMode="External" Id="rId63"/><Relationship Type="http://schemas.openxmlformats.org/officeDocument/2006/relationships/hyperlink" Target="https://www.etenders.gov.za/home/Download/?blobName=7629c71b-5a02-4c7a-a067-b1a7346a541f.pdf&amp;downloadedFileName=WTE1001CE.pdf" TargetMode="External" Id="rId64"/><Relationship Type="http://schemas.openxmlformats.org/officeDocument/2006/relationships/hyperlink" Target="https://www.etenders.gov.za/home/Download/?blobName=8349ccea-c633-4494-abce-abb9c2dc4463.pdf&amp;downloadedFileName=WTE1015CE.pdf" TargetMode="External" Id="rId65"/><Relationship Type="http://schemas.openxmlformats.org/officeDocument/2006/relationships/hyperlink" Target="https://www.etenders.gov.za/home/Download/?blobName=04c0b201-e8a1-4fe1-bc94-fafa880b6456.pdf&amp;downloadedFileName=WTE1014CE.pdf" TargetMode="External" Id="rId66"/><Relationship Type="http://schemas.openxmlformats.org/officeDocument/2006/relationships/hyperlink" Target="https://www.etenders.gov.za/home/Download/?blobName=20f71843-4750-4e6a-996e-bb98152dc282.pdf&amp;downloadedFileName=RFQ%20for%20Weather%20Station.pdf" TargetMode="External" Id="rId67"/><Relationship Type="http://schemas.openxmlformats.org/officeDocument/2006/relationships/hyperlink" Target="https://www.etenders.gov.za/home/Download/?blobName=e8dfcd6a-8756-4308-b5d2-284e0dc57b78.pdf&amp;downloadedFileName=WTE1010CE.pdf" TargetMode="External" Id="rId68"/><Relationship Type="http://schemas.openxmlformats.org/officeDocument/2006/relationships/hyperlink" Target="https://www.etenders.gov.za/home/Download/?blobName=d19990a5-a28b-4539-b799-81bc13f6ec61.pdf&amp;downloadedFileName=Contract%20No.%20SCM%2048%20OF%2025.26%20-%20Supply%20and%20Construction%20of%20VIP%20Toilets.pdf" TargetMode="External" Id="rId69"/><Relationship Type="http://schemas.openxmlformats.org/officeDocument/2006/relationships/hyperlink" Target="https://www.etenders.gov.za/home/Download/?blobName=cfd000e7-4ba5-41f3-8ca8-a206dfd3b7af.pdf&amp;downloadedFileName=PROVISION%20OF%20BANKING%20SERVICES%20FOR%20THE%20PERIOD%20OF%20FIVE%20(05)%20YEARS.pdf" TargetMode="External" Id="rId70"/><Relationship Type="http://schemas.openxmlformats.org/officeDocument/2006/relationships/hyperlink" Target="https://www.etenders.gov.za/home/Download/?blobName=8b3aef31-a223-429e-a5e1-28fc72953ca4.pdf&amp;downloadedFileName=264S.2025.26%20-%20SCMBAC-05%20June%202026%20(002).pdf" TargetMode="External" Id="rId71"/><Relationship Type="http://schemas.openxmlformats.org/officeDocument/2006/relationships/hyperlink" Target="https://www.etenders.gov.za/home/Download/?blobName=c85a20c2-197a-4194-ad3a-102d051d342e.pdf&amp;downloadedFileName=Tender%20265G-2025-26%20Aluminium%20Sulphate%20%20FINAL.pdf" TargetMode="External" Id="rId72"/><Relationship Type="http://schemas.openxmlformats.org/officeDocument/2006/relationships/hyperlink" Target="https://www.etenders.gov.za/home/Download/?blobName=7e0b20f1-453a-498e-8855-c265de3ac11e.pdf&amp;downloadedFileName=266G-2025-26%20Final%20Tender%20document_.pdf" TargetMode="External" Id="rId73"/><Relationship Type="http://schemas.openxmlformats.org/officeDocument/2006/relationships/hyperlink" Target="https://www.etenders.gov.za/home/Download/?blobName=b6c2e8c4-75e9-4c7c-b507-f482fddc3aba.pdf&amp;downloadedFileName=Tender%20Document.pdf" TargetMode="External" Id="rId74"/><Relationship Type="http://schemas.openxmlformats.org/officeDocument/2006/relationships/hyperlink" Target="https://www.etenders.gov.za/home/Download/?blobName=5d522bb2-d1d9-4dfd-8825-32a4a683cb72.pdf&amp;downloadedFileName=273G-2025-26_Supply%20and%20delivery%20of%20office%20stationery%20on%20an%20adhoc%20basis_Final.pdf" TargetMode="External" Id="rId75"/><Relationship Type="http://schemas.openxmlformats.org/officeDocument/2006/relationships/hyperlink" Target="https://www.etenders.gov.za/home/Download/?blobName=d90a7627-5b6c-4984-b66a-0081cef2d4f0.pdf&amp;downloadedFileName=Tender%20Document_268G_2025_26.pdf" TargetMode="External" Id="rId76"/><Relationship Type="http://schemas.openxmlformats.org/officeDocument/2006/relationships/hyperlink" Target="https://www.etenders.gov.za/home/Download/?blobName=956bd356-16db-4842-ab64-3b2223a7da21.pdf&amp;downloadedFileName=270Q-2025-26%20Advert%20Document.pdf" TargetMode="External" Id="rId77"/><Relationship Type="http://schemas.openxmlformats.org/officeDocument/2006/relationships/hyperlink" Target="https://www.etenders.gov.za/home/Download/?blobName=9739e3b3-6371-41a9-bcc0-ea2debe16b0a.pdf&amp;downloadedFileName=267G-25-25%20SCM%20542%20V10_NT_Goods%20and%20Services%20-%20SCM%20Vetted.pdf" TargetMode="External" Id="rId78"/><Relationship Type="http://schemas.openxmlformats.org/officeDocument/2006/relationships/hyperlink" Target="https://www.etenders.gov.za/home/Download/?blobName=a192edc7-f1dc-4959-9baa-57c3e79f613a.pdf&amp;downloadedFileName=271S_2025_26_Tender%20document_FINAL%20DOC.pdf" TargetMode="External" Id="rId79"/><Relationship Type="http://schemas.openxmlformats.org/officeDocument/2006/relationships/hyperlink" Target="https://www.etenders.gov.za/home/Download/?blobName=9c3b03d0-4c02-4340-8555-aea4bb165f62.pdf&amp;downloadedFileName=Tender%20Document-SS%2053%20of%202026-Repairs%20To%20Railway%20Sidings.pdf" TargetMode="External" Id="rId80"/><Relationship Type="http://schemas.openxmlformats.org/officeDocument/2006/relationships/hyperlink" Target="https://www.etenders.gov.za/home/Download/?blobName=77baaac9-3b1b-428d-9a37-8ce17041628d.pdf&amp;downloadedFileName=272S_2025_26%20-%20Final%2002.06.2026.1.pdf" TargetMode="External" Id="rId81"/><Relationship Type="http://schemas.openxmlformats.org/officeDocument/2006/relationships/hyperlink" Target="https://www.etenders.gov.za/home/Download/?blobName=6196a0ee-8d55-4b98-9702-5092b5155919.pdf&amp;downloadedFileName=GMQ106%20of%2025-26%20%20%E2%80%93%20%20%20QUOTATION%20FOR%20THE%20SUPPLY,%20DELIVERY%20AND%20INSTALLATION%20OF%20NEW%20OFFICE%20FURNITURE.pdf" TargetMode="External" Id="rId82"/><Relationship Type="http://schemas.openxmlformats.org/officeDocument/2006/relationships/hyperlink" Target="https://www.etenders.gov.za/home/Download/?blobName=a653361f-6c19-46b4-b100-425ca0ed1a61.docx&amp;downloadedFileName=Advert%20COJ_GCSS02_25_26.docx" TargetMode="External" Id="rId83"/><Relationship Type="http://schemas.openxmlformats.org/officeDocument/2006/relationships/hyperlink" Target="https://www.etenders.gov.za/home/Download/?blobName=e9722d5e-ab58-42df-a166-24bd72b24a2a.pdf&amp;downloadedFileName=INTERNAL%20ROADS%20CONSTRUCTION%20IN%20WARD%2021.pdf" TargetMode="External" Id="rId84"/><Relationship Type="http://schemas.openxmlformats.org/officeDocument/2006/relationships/hyperlink" Target="https://www.etenders.gov.za/home/Download/?blobName=2f843d87-eedd-4dc6-8128-3fec9828b563.pdf&amp;downloadedFileName=INTERNAL%20ROADS%20CONSTRUCTION%20IN%20WARD%207.pdf" TargetMode="External" Id="rId85"/><Relationship Type="http://schemas.openxmlformats.org/officeDocument/2006/relationships/hyperlink" Target="https://www.etenders.gov.za/home/Download/?blobName=a20630a3-27dc-49bb-b845-ed37d4b3d93f.pdf&amp;downloadedFileName=SCHEDULE%20D%20-%20EQUIPPING%20OF%20BOREHOLES%20IN%20VARIOUS%20WARDS.pdf" TargetMode="External" Id="rId86"/><Relationship Type="http://schemas.openxmlformats.org/officeDocument/2006/relationships/hyperlink" Target="https://www.etenders.gov.za/home/Download/?blobName=dcd68a71-2246-41a9-98e5-1f26f7c8fc30.pdf&amp;downloadedFileName=WARD%2012%20-%20WATER%20RETICULATION%20AND%20YARD%20CONNECTION.pdf" TargetMode="External" Id="rId87"/><Relationship Type="http://schemas.openxmlformats.org/officeDocument/2006/relationships/hyperlink" Target="https://www.etenders.gov.za/home/Download/?blobName=6b1e188d-b467-4316-856a-416fb922f3b3.pdf&amp;downloadedFileName=Repairs%20maintenance%20and%20desluging%20of%20all%20specific%20tanks.pdf" TargetMode="External" Id="rId88"/><Relationship Type="http://schemas.openxmlformats.org/officeDocument/2006/relationships/hyperlink" Target="https://www.etenders.gov.za/home/Download/?blobName=ddd6300b-105b-4307-9729-3dbb57de0f98.pdf&amp;downloadedFileName=RFQ%2026-27-34%20Supply%20and%20Install%20Air-Conditioner%20at%20Stanger%20Post%20office.pdf" TargetMode="External" Id="rId89"/><Relationship Type="http://schemas.openxmlformats.org/officeDocument/2006/relationships/hyperlink" Target="https://www.etenders.gov.za/home/Download/?blobName=40535b9b-51d0-4c8e-9306-b075367c1397.pdf&amp;downloadedFileName=WCGHSC0006.1.2026%20KDH%20catering%20service%20%20Final%20Doc%2029%20May%202026.pdf" TargetMode="External" Id="rId90"/><Relationship Type="http://schemas.openxmlformats.org/officeDocument/2006/relationships/hyperlink" Target="https://www.etenders.gov.za/home/Download/?blobName=62b39790-acb6-48ce-af75-00e135c63306.pdf&amp;downloadedFileName=CASIDRA%20PORTAL.pdf" TargetMode="External" Id="rId91"/><Relationship Type="http://schemas.openxmlformats.org/officeDocument/2006/relationships/hyperlink" Target="https://www.etenders.gov.za/home/Download/?blobName=2c39be59-8d5c-4b50-8703-1f241aac753c.pdf&amp;downloadedFileName=TEN0000000076-GTAC005-2026-27%20Advert.pdf" TargetMode="External" Id="rId92"/><Relationship Type="http://schemas.openxmlformats.org/officeDocument/2006/relationships/hyperlink" Target="https://www.etenders.gov.za/home/Download/?blobName=f216c5eb-48f4-4913-a15a-abc488e3a596.pdf&amp;downloadedFileName=Mathibestad%20Tender.pdf" TargetMode="External" Id="rId93"/><Relationship Type="http://schemas.openxmlformats.org/officeDocument/2006/relationships/hyperlink" Target="https://www.etenders.gov.za/home/Download/?blobName=38e3000b-2023-49a3-ae96-b0c612e1f367.pdf&amp;downloadedFileName=REHABILITATION%20OF%20INTERNAL%20ROADS%20AND%20STORMWATER%20CONTROL%20FOR%20WARD%203.pdf" TargetMode="External" Id="rId94"/><Relationship Type="http://schemas.openxmlformats.org/officeDocument/2006/relationships/hyperlink" Target="https://www.etenders.gov.za/home/Download/?blobName=996ee6fd-ce71-40d6-8799-ae7b628f7ffb.pdf&amp;downloadedFileName=W2.HML.Draft%20Tender%20Document%20-.pdf" TargetMode="External" Id="rId95"/><Relationship Type="http://schemas.openxmlformats.org/officeDocument/2006/relationships/hyperlink" Target="https://www.etenders.gov.za/home/Download/?blobName=bd34a684-b994-4c40-b3c1-445b159f6e2d.pdf&amp;downloadedFileName=Advert.pdf" TargetMode="External" Id="rId96"/><Relationship Type="http://schemas.openxmlformats.org/officeDocument/2006/relationships/hyperlink" Target="https://www.etenders.gov.za/home/Download/?blobName=58b65918-fa8f-4435-a955-8386a4b96387.pdf&amp;downloadedFileName=W21_Tender_Road%20-.pdf" TargetMode="External" Id="rId97"/><Relationship Type="http://schemas.openxmlformats.org/officeDocument/2006/relationships/hyperlink" Target="https://www.etenders.gov.za/home/Download/?blobName=2b50b41d-dc51-495f-b8f7-d4a53d587e80.pdf&amp;downloadedFileName=Advert.pdf" TargetMode="External" Id="rId98"/><Relationship Type="http://schemas.openxmlformats.org/officeDocument/2006/relationships/hyperlink" Target="https://www.etenders.gov.za/home/Download/?blobName=ffec5f6b-366b-4a38-9fdd-15de437ed5f7.pdf&amp;downloadedFileName=240-68099512%20Form%20A_Cat%203_%20Rev%209.pdf" TargetMode="External" Id="rId99"/><Relationship Type="http://schemas.openxmlformats.org/officeDocument/2006/relationships/hyperlink" Target="https://www.etenders.gov.za/home/Download/?blobName=1d28d102-296e-4264-93fc-0f51d6f86686.pdf&amp;downloadedFileName=Regret%20Letter%20Template%20for%20Unsuccessful%20Suppliers%20-%20February%202025%20(3)%20(1)%20(2).pdf" TargetMode="External" Id="rId100"/><Relationship Type="http://schemas.openxmlformats.org/officeDocument/2006/relationships/hyperlink" Target="https://www.etenders.gov.za/home/Download/?blobName=728f1d5d-f71b-40b5-9009-2d6dd9d11e76.pdf&amp;downloadedFileName=General%20Conditions%20of%20Contract_ETDP%20SETA.pdf" TargetMode="External" Id="rId101"/><Relationship Type="http://schemas.openxmlformats.org/officeDocument/2006/relationships/hyperlink" Target="https://www.etenders.gov.za/home/Download/?blobName=5a8fee48-4991-4346-a9ef-fed90fe58e03.docx&amp;downloadedFileName=240-68099512%20Form%20A_Cat%204_%20Rev%209.docx" TargetMode="External" Id="rId102"/><Relationship Type="http://schemas.openxmlformats.org/officeDocument/2006/relationships/hyperlink" Target="https://www.etenders.gov.za/home/Download/?blobName=af78effe-74e3-4aff-b5b3-d7f9205704c3.pdf&amp;downloadedFileName=Letter%20to%20Extend%20validity%20period%20of%20Tender%20-C&amp;I%20Cable%20Installation.pdf" TargetMode="External" Id="rId103"/><Relationship Type="http://schemas.openxmlformats.org/officeDocument/2006/relationships/hyperlink" Target="https://www.etenders.gov.za/home/Download/?blobName=55d2b50b-a85f-4eba-adda-80fa082ddfe4.pdf&amp;downloadedFileName=SBD1%20ICT.pdf" TargetMode="External" Id="rId104"/><Relationship Type="http://schemas.openxmlformats.org/officeDocument/2006/relationships/hyperlink" Target="https://www.etenders.gov.za/home/Download/?blobName=f89a13c0-9672-4897-8211-c7dcd2b62b00.pdf&amp;downloadedFileName=RFQ%20-%2031093-TNP-2026-27.pdf" TargetMode="External" Id="rId105"/><Relationship Type="http://schemas.openxmlformats.org/officeDocument/2006/relationships/hyperlink" Target="https://www.etenders.gov.za/home/Download/?blobName=e61db610-0d7c-4166-ad8c-d54bc0ea8246.pdf&amp;downloadedFileName=etender%20advert%20DSTV%20Service.pdf" TargetMode="External" Id="rId106"/><Relationship Type="http://schemas.openxmlformats.org/officeDocument/2006/relationships/hyperlink" Target="https://www.etenders.gov.za/home/Download/?blobName=280f955b-2a86-4a2d-a11b-be2314e4991d.zip&amp;downloadedFileName=OneDrive_2026-06-05.zip" TargetMode="External" Id="rId107"/><Relationship Type="http://schemas.openxmlformats.org/officeDocument/2006/relationships/hyperlink" Target="https://www.etenders.gov.za/home/Download/?blobName=bc71985e-3159-4463-9c62-b2f767977e03.zip&amp;downloadedFileName=MBDs.zip" TargetMode="External" Id="rId108"/><Relationship Type="http://schemas.openxmlformats.org/officeDocument/2006/relationships/hyperlink" Target="https://www.etenders.gov.za/home/Download/?blobName=d6af5f6b-9eb9-4e18-aa51-b1a243315065.pdf&amp;downloadedFileName=SCMU5-26-27-0004SB.pdf" TargetMode="External" Id="rId109"/><Relationship Type="http://schemas.openxmlformats.org/officeDocument/2006/relationships/hyperlink" Target="https://www.etenders.gov.za/home/Download/?blobName=720c61f6-d480-4ecb-a627-12c05b83b9a6.pdf&amp;downloadedFileName=Eskom_-_Standard_Conditions_of_Tender_-_30_January_2025%20-%20JAN%202030.pdf" TargetMode="External" Id="rId110"/><Relationship Type="http://schemas.openxmlformats.org/officeDocument/2006/relationships/hyperlink" Target="https://www.etenders.gov.za/home/Download/?blobName=1cf27294-9165-499e-9330-fc0c02493f41.pdf&amp;downloadedFileName=ECC3%20Contract%20for%20Design%20Supply%20and%20installation%20of%20Duvha%20Acid%20Regen%20.pdf" TargetMode="External" Id="rId111"/><Relationship Type="http://schemas.openxmlformats.org/officeDocument/2006/relationships/hyperlink" Target="https://www.etenders.gov.za/home/Download/?blobName=75ec217f-fd44-4b16-a03d-635b391e3491.pdf&amp;downloadedFileName=RFQ_DAIRY_PRODUCTS.pdf" TargetMode="External" Id="rId112"/><Relationship Type="http://schemas.openxmlformats.org/officeDocument/2006/relationships/hyperlink" Target="https://www.etenders.gov.za/home/Download/?blobName=65877c65-82cb-4ab7-85e1-a8e0469d276f.pdf&amp;downloadedFileName=RFQ_Soups_9_Months.pdf" TargetMode="External" Id="rId113"/><Relationship Type="http://schemas.openxmlformats.org/officeDocument/2006/relationships/hyperlink" Target="https://www.etenders.gov.za/home/Download/?blobName=1d1fc959-64a9-4389-b3d2-fa9ccaeb35d4.PDF&amp;downloadedFileName=NTCSAO~2.PDF" TargetMode="External" Id="rId114"/><Relationship Type="http://schemas.openxmlformats.org/officeDocument/2006/relationships/hyperlink" Target="https://www.etenders.gov.za/home/Download/?blobName=250023c2-b1b4-4bb8-a4b1-9e1c7965465b.pdf&amp;downloadedFileName=SDL&amp;I%20Strategy%20for%20Sludge%20Sump%20Walls%20Repair%20and%20Isolations%20project.pdf" TargetMode="External" Id="rId115"/><Relationship Type="http://schemas.openxmlformats.org/officeDocument/2006/relationships/hyperlink" Target="https://www.etenders.gov.za/home/Download/?blobName=62b0f47f-1007-4db8-8725-1c43762f005f.pdf&amp;downloadedFileName=RFQ_Laundry_Detergents.pdf" TargetMode="External" Id="rId116"/><Relationship Type="http://schemas.openxmlformats.org/officeDocument/2006/relationships/hyperlink" Target="https://www.etenders.gov.za/home/Download/?blobName=785b598f-fe49-4dfd-8ea9-67c342ac96ec.docx&amp;downloadedFileName=E-Tenderers%20E-Tendering%20Training%20Acknowledgement%20Form%20-%2027%20January%202025.docx" TargetMode="External" Id="rId117"/><Relationship Type="http://schemas.openxmlformats.org/officeDocument/2006/relationships/hyperlink" Target="https://www.etenders.gov.za/home/Download/?blobName=ab25b45d-3186-4939-8046-65c936ad9def.docx&amp;downloadedFileName=E-tendering%20Help%20Manual%20for%20supplier%20-%2027%20January%202025.docx" TargetMode="External" Id="rId118"/><Relationship Type="http://schemas.openxmlformats.org/officeDocument/2006/relationships/hyperlink" Target="https://www.etenders.gov.za/home/Download/?blobName=7b12b837-ba04-4abd-8471-620804fd1160.pdf&amp;downloadedFileName=PS%20Envelope%20A.pdf" TargetMode="External" Id="rId119"/><Relationship Type="http://schemas.openxmlformats.org/officeDocument/2006/relationships/hyperlink" Target="https://www.etenders.gov.za/home/Download/?blobName=d4a6c51f-c005-49aa-a478-a72137243ca3.pdf&amp;downloadedFileName=SMQ76-25-26_Advert.pdf" TargetMode="External" Id="rId120"/><Relationship Type="http://schemas.openxmlformats.org/officeDocument/2006/relationships/hyperlink" Target="https://www.etenders.gov.za/home/Download/?blobName=fb3cf344-8e89-4ac6-ab4e-1129f0333a4b.pdf&amp;downloadedFileName=SDM%20Term%20Contract%20Asbestos%20Removal%20Dennilton%20final.pdf" TargetMode="External" Id="rId121"/><Relationship Type="http://schemas.openxmlformats.org/officeDocument/2006/relationships/hyperlink" Target="https://www.etenders.gov.za/home/Download/?blobName=b8f21583-21af-4c56-a8ca-e4e4babfe8ba.pdf&amp;downloadedFileName=SMQ75-25-26_Advert.pdf" TargetMode="External" Id="rId122"/><Relationship Type="http://schemas.openxmlformats.org/officeDocument/2006/relationships/hyperlink" Target="https://www.etenders.gov.za/home/Download/?blobName=297892ef-aa72-44f3-8dac-23c833703335.pdf&amp;downloadedFileName=SBD%206.1%20IN%20TERMS%20OF%20PPR2022.pdf" TargetMode="External" Id="rId123"/><Relationship Type="http://schemas.openxmlformats.org/officeDocument/2006/relationships/hyperlink" Target="https://www.etenders.gov.za/home/Download/?blobName=f930725b-f4ba-41be-9d5f-f08b314f44cc.pdf&amp;downloadedFileName=ADVERT-2026-06-05.pdf" TargetMode="External" Id="rId124"/><Relationship Type="http://schemas.openxmlformats.org/officeDocument/2006/relationships/hyperlink" Target="https://www.etenders.gov.za/home/Download/?blobName=cee38fcf-6fe1-4169-8fa2-e877f8c58e53.pdf&amp;downloadedFileName=ADVERT-2026-06-05.pdf" TargetMode="External" Id="rId125"/><Relationship Type="http://schemas.openxmlformats.org/officeDocument/2006/relationships/hyperlink" Target="https://www.etenders.gov.za/home/Download/?blobName=ae4a6c0b-7a46-4690-a594-08cbee68da87.pdf&amp;downloadedFileName=ADVERT-2026-06-05.pdf" TargetMode="External" Id="rId126"/><Relationship Type="http://schemas.openxmlformats.org/officeDocument/2006/relationships/hyperlink" Target="https://www.etenders.gov.za/home/Download/?blobName=1870ee43-6c81-436d-81c8-3d8b984b439c.pdf&amp;downloadedFileName=ADVERT-2026-06-05.pdf" TargetMode="External" Id="rId127"/><Relationship Type="http://schemas.openxmlformats.org/officeDocument/2006/relationships/hyperlink" Target="https://www.etenders.gov.za/home/Download/?blobName=76b84625-bd5d-4210-9821-007440c3e776.pdf&amp;downloadedFileName=Advert%20114_2025-2026T%20Integrated%20Fleet%20Management%20Services%20On%20An%20%E2%80%9CAs-And-When%20Required%20Basis%E2%80%9D%20For%20A%20Period%20Of%20Thirty-Six%20(36)%20Months.pdf" TargetMode="External" Id="rId128"/><Relationship Type="http://schemas.openxmlformats.org/officeDocument/2006/relationships/hyperlink" Target="https://www.etenders.gov.za/home/Download/?blobName=b6e1a8b0-8813-4182-ae26-1eeafd31ba22.pdf&amp;downloadedFileName=ZNT%2005%20-25%20-%2026%20%20-%20PANEL%20OF%20ATTORNEYS.pdf1.pdf" TargetMode="External" Id="rId129"/><Relationship Type="http://schemas.openxmlformats.org/officeDocument/2006/relationships/hyperlink" Target="https://www.etenders.gov.za/home/Download/?blobName=782c68e6-aa67-4be7-9348-e72dc2bd0612.pdf&amp;downloadedFileName=Advertisement%20-%20GMQ105%20of%2025-26.pdf" TargetMode="External" Id="rId130"/><Relationship Type="http://schemas.openxmlformats.org/officeDocument/2006/relationships/hyperlink" Target="https://www.etenders.gov.za/home/Download/?blobName=ae3485bd-9cd2-487e-a8fa-48045c802805.pdf&amp;downloadedFileName=QUOTATION%20DOCUMENT%20%20Q%2002%20EDTEA%2026-27.pdf" TargetMode="External" Id="rId131"/><Relationship Type="http://schemas.openxmlformats.org/officeDocument/2006/relationships/hyperlink" Target="https://www.etenders.gov.za/home/Download/?blobName=0d119077-6aab-471c-a830-3aaebd3c9ec7.pdf&amp;downloadedFileName=Advert%20ZNQ10.26.27.pdf" TargetMode="External" Id="rId132"/><Relationship Type="http://schemas.openxmlformats.org/officeDocument/2006/relationships/hyperlink" Target="https://www.etenders.gov.za/home/Download/?blobName=dd9febd2-c1bc-4798-bfd4-248926f360de.docx&amp;downloadedFileName=TENDER%20NO%20204-%202025.docx" TargetMode="External" Id="rId133"/><Relationship Type="http://schemas.openxmlformats.org/officeDocument/2006/relationships/hyperlink" Target="https://www.etenders.gov.za/home/Download/?blobName=2d625084-b05d-480d-9ca6-09c005f9985a.pdf&amp;downloadedFileName=DARD07.2026.pdf" TargetMode="External" Id="rId134"/><Relationship Type="http://schemas.openxmlformats.org/officeDocument/2006/relationships/hyperlink" Target="https://www.etenders.gov.za/home/Download/?blobName=00288e22-8c0b-4059-a07e-af79beb919c4.pdf&amp;downloadedFileName=BID%20ADVERT%20ZNB%205296-2026-H%20-%20Copy.pdf" TargetMode="External" Id="rId135"/><Relationship Type="http://schemas.openxmlformats.org/officeDocument/2006/relationships/hyperlink" Target="https://www.etenders.gov.za/home/Download/?blobName=9962cdac-9e91-41c7-bbe3-0f3b7dd2f67f.pdf&amp;downloadedFileName=ADVERT%20-%20MFMP.pdf" TargetMode="External" Id="rId136"/><Relationship Type="http://schemas.openxmlformats.org/officeDocument/2006/relationships/hyperlink" Target="https://www.etenders.gov.za/home/Download/?blobName=ff613cf4-53d1-44ae-9330-2f868a17f40c.pdf&amp;downloadedFileName=Znq%2018.26.27%20Adv.pdf" TargetMode="External" Id="rId137"/><Relationship Type="http://schemas.openxmlformats.org/officeDocument/2006/relationships/hyperlink" Target="https://www.etenders.gov.za/home/Download/?blobName=91a36c49-4f0e-46f8-bde5-a5ac9b373028.pdf&amp;downloadedFileName=ADVERT%20100117686.pdf" TargetMode="External" Id="rId138"/><Relationship Type="http://schemas.openxmlformats.org/officeDocument/2006/relationships/hyperlink" Target="https://www.etenders.gov.za/home/Download/?blobName=6e387161-73f1-4066-a3dc-1d27c5fbf04a.pdf&amp;downloadedFileName=Edet%20321%20Bid%20document.pdf" TargetMode="External" Id="rId139"/><Relationship Type="http://schemas.openxmlformats.org/officeDocument/2006/relationships/hyperlink" Target="https://www.etenders.gov.za/home/Download/?blobName=36c0d9f2-2158-4023-9c7f-44f91a6000f3.pdf&amp;downloadedFileName=Tender%20Advert%20RETENDER%20MEDICAL%20SURVEILLANCE%20.pdf" TargetMode="External" Id="rId140"/><Relationship Type="http://schemas.openxmlformats.org/officeDocument/2006/relationships/hyperlink" Target="https://www.etenders.gov.za/home/Download/?blobName=3fca3de7-7edf-4f25-ad25-f125b02dc32c.pdf&amp;downloadedFileName=Tender%20Advert%20SUPPLY,%20DELIVER,%20INSTALL,%20SERVICE%20AND%20MAINTAIN%20FIRE%20EQUIPMENT.pdf" TargetMode="External" Id="rId141"/><Relationship Type="http://schemas.openxmlformats.org/officeDocument/2006/relationships/hyperlink" Target="https://www.etenders.gov.za/home/Download/?blobName=56cb8698-6288-4780-ad1e-3014d8043ea0.pdf&amp;downloadedFileName=Tender%20Advert%20GUARDING%20SECURITY%20SERVICES%20FOR%20MAGALIES%20WATER%20FAR%20WEST%20AND%20SOUTHWEST%20REGIONS.pdf" TargetMode="External" Id="rId142"/><Relationship Type="http://schemas.openxmlformats.org/officeDocument/2006/relationships/hyperlink" Target="https://www.etenders.gov.za/home/Download/?blobName=317046cc-88fe-40f9-9f2f-e4132071378a.pdf&amp;downloadedFileName=MHSC_008_2026_2027.pdf" TargetMode="External" Id="rId143"/><Relationship Type="http://schemas.openxmlformats.org/officeDocument/2006/relationships/hyperlink" Target="https://www.etenders.gov.za/home/Download/?blobName=4fb53fce-c339-4f4a-b0c0-856697fb1763.pdf&amp;downloadedFileName=MHSC_009_2026_2027.pdf" TargetMode="External" Id="rId144"/><Relationship Type="http://schemas.openxmlformats.org/officeDocument/2006/relationships/hyperlink" Target="https://www.etenders.gov.za/home/Download/?blobName=3bd4ff95-0d74-41b9-9a7e-1bb11edf6f23.pdf&amp;downloadedFileName=Tender%20document%20-LNW_24_25_26%20APPOINTMENT%20OF%20AN%20INDEPENDENT%20PROJECT%20MANAGEMENT%20AND%20QUALITY%20ASSURANCE%20SERVICE%20PROVIDER.pdf" TargetMode="External" Id="rId145"/><Relationship Type="http://schemas.openxmlformats.org/officeDocument/2006/relationships/hyperlink" Target="https://www.etenders.gov.za/home/Download/?blobName=5bac37f2-f9e8-44e1-a941-82b897c3e983.docx&amp;downloadedFileName=SBD%206.1%20IN%20TERMS%20OF%20PPR2022%20(003).docx" TargetMode="External" Id="rId146"/><Relationship Type="http://schemas.openxmlformats.org/officeDocument/2006/relationships/hyperlink" Target="https://www.etenders.gov.za/home/Download/?blobName=38a0532c-f5fa-4524-83a3-b55824752bfb.pdf&amp;downloadedFileName=appointment%20of%20service%20providers%20for%20the%20cleaning%20of%20illegal%20hotspot.pdf" TargetMode="External" Id="rId147"/><Relationship Type="http://schemas.openxmlformats.org/officeDocument/2006/relationships/hyperlink" Target="https://www.etenders.gov.za/home/Download/?blobName=5b30b3bc-b689-4023-83b3-3a3b4d882547.pdf&amp;downloadedFileName=MHSC010_2026_2027.pdf" TargetMode="External" Id="rId148"/><Relationship Type="http://schemas.openxmlformats.org/officeDocument/2006/relationships/hyperlink" Target="https://www.etenders.gov.za/home/Download/?blobName=e3b9ffc2-3001-4e5c-a24a-2a43f1ba6c23.pdf&amp;downloadedFileName=MHSC_011_2026_2027.pdf" TargetMode="External" Id="rId149"/><Relationship Type="http://schemas.openxmlformats.org/officeDocument/2006/relationships/hyperlink" Target="https://www.etenders.gov.za/home/Download/?blobName=377c1e62-7404-454b-bec8-7162f984f664.doc&amp;downloadedFileName=MHSC%20Research%20Proposal%20template%20-%20Final.doc" TargetMode="External" Id="rId150"/><Relationship Type="http://schemas.openxmlformats.org/officeDocument/2006/relationships/hyperlink" Target="https://www.etenders.gov.za/home/Download/?blobName=d742f0ea-7354-4ec5-9823-0480d47268d2.doc&amp;downloadedFileName=MHSC%20Research%20Proposal%20template%20-%20Final.doc" TargetMode="External" Id="rId151"/><Relationship Type="http://schemas.openxmlformats.org/officeDocument/2006/relationships/hyperlink" Target="https://www.etenders.gov.za/home/Download/?blobName=48b354cd-8837-4bef-bc5d-2c41253def9b.pdf&amp;downloadedFileName=Ngobi%20Village%20Ward_6_Tender%20Document_Updated.pdf" TargetMode="External" Id="rId152"/><Relationship Type="http://schemas.openxmlformats.org/officeDocument/2006/relationships/hyperlink" Target="https://www.etenders.gov.za/home/Download/?blobName=c0560576-c7d7-4f5b-9f36-efaf1d8cf274.pdf&amp;downloadedFileName=Ward%2015%20(Maubane)%20Community%20Stadium%20-%20Part%20A%2015.pdf" TargetMode="External" Id="rId153"/><Relationship Type="http://schemas.openxmlformats.org/officeDocument/2006/relationships/hyperlink" Target="https://www.etenders.gov.za/home/Download/?blobName=b9ebb18a-7e34-4218-86eb-df9af3200da1.pdf&amp;downloadedFileName=W5_Tender_Road.pdf" TargetMode="External" Id="rId154"/><Relationship Type="http://schemas.openxmlformats.org/officeDocument/2006/relationships/hyperlink" Target="https://www.etenders.gov.za/home/Download/?blobName=12812f96-6785-4ec6-944d-70e1735eef66.pdf&amp;downloadedFileName=Q2025%20106%20DOC.pdf" TargetMode="External" Id="rId155"/><Relationship Type="http://schemas.openxmlformats.org/officeDocument/2006/relationships/hyperlink" Target="https://www.etenders.gov.za/home/Download/?blobName=0d859753-9f78-4e20-a37c-d346159d882a.pdf&amp;downloadedFileName=RFQ%20CLEANING.pdf" TargetMode="External" Id="rId156"/><Relationship Type="http://schemas.openxmlformats.org/officeDocument/2006/relationships/hyperlink" Target="https://www.etenders.gov.za/home/Download/?blobName=ccc7be58-8725-4d43-9ae7-4299f9298698.pdf&amp;downloadedFileName=PPA-109802%20-%20Tippler%2001%20Rigging%20and%20Crane%20Hire%20%20service%20rev00.pdf" TargetMode="External" Id="rId157"/><Relationship Type="http://schemas.openxmlformats.org/officeDocument/2006/relationships/hyperlink" Target="https://www.etenders.gov.za/home/Download/?blobName=f8d41117-aed1-4289-8042-f9f86de10ee4.pdf&amp;downloadedFileName=BID%20DOCUMENT%20BUILDINGS%20REPAIRS%20ARC.20.08.2025.1%20.pdf" TargetMode="External" Id="rId158"/><Relationship Type="http://schemas.openxmlformats.org/officeDocument/2006/relationships/hyperlink" Target="https://www.etenders.gov.za/home/Download/?blobName=896b6471-13c6-4de8-b59d-379546fc3ddd.pdf&amp;downloadedFileName=BID%20DOCUMENT%20ELECTRICAL%20REPAIRS%20ARC.21.08.2025.1%20doc.pdf" TargetMode="External" Id="rId159"/><Relationship Type="http://schemas.openxmlformats.org/officeDocument/2006/relationships/hyperlink" Target="https://www.etenders.gov.za/home/Download/?blobName=229c7734-eca0-49bd-8064-3105d5300eb0.pdf&amp;downloadedFileName=2026-374_Bela%20Bela%20LM_31x5.pdf" TargetMode="External" Id="rId160"/><Relationship Type="http://schemas.openxmlformats.org/officeDocument/2006/relationships/hyperlink" Target="https://www.etenders.gov.za/home/Download/?blobName=12f6a8c7-5b48-4777-b9d1-3f4edede23d6.xls&amp;downloadedFileName=Annexure%20B%20-%20Pricing%20(Bursary).xls" TargetMode="External" Id="rId161"/><Relationship Type="http://schemas.openxmlformats.org/officeDocument/2006/relationships/hyperlink" Target="https://www.etenders.gov.za/home/Download/?blobName=d3ff3750-74dd-47d9-8ccf-4fe5133cc790.pdf&amp;downloadedFileName=2026-374_Bela%20Bela%20LM_31x5.pdf" TargetMode="External" Id="rId162"/><Relationship Type="http://schemas.openxmlformats.org/officeDocument/2006/relationships/hyperlink" Target="https://www.etenders.gov.za/home/Download/?blobName=668ea6f2-4ec5-4aa4-a6c3-3302f07248c4.pdf&amp;downloadedFileName=2026-374_Bela%20Bela%20LM_31x5.pdf" TargetMode="External" Id="rId163"/><Relationship Type="http://schemas.openxmlformats.org/officeDocument/2006/relationships/hyperlink" Target="https://www.etenders.gov.za/home/Download/?blobName=aaf5034c-147c-4ade-9a2e-b75115134cde.pdf&amp;downloadedFileName=IATS%202025%202026%2010.pdf" TargetMode="External" Id="rId164"/><Relationship Type="http://schemas.openxmlformats.org/officeDocument/2006/relationships/hyperlink" Target="https://www.etenders.gov.za/home/Download/?blobName=67692273-f2e3-45b5-94f7-ea96e8f692ed.pdf&amp;downloadedFileName=OVI012606RFQ00000011.pdf" TargetMode="External" Id="rId165"/><Relationship Type="http://schemas.openxmlformats.org/officeDocument/2006/relationships/hyperlink" Target="https://www.etenders.gov.za/home/Download/?blobName=84db0165-5cdd-453b-873d-bd25cd2a00e8.pdf&amp;downloadedFileName=OVI012606RFQ00000009.pdf" TargetMode="External" Id="rId166"/><Relationship Type="http://schemas.openxmlformats.org/officeDocument/2006/relationships/hyperlink" Target="https://www.etenders.gov.za/home/Download/?blobName=b4e147d8-7e5d-49e0-8318-d8a1e0a66d93.pdf&amp;downloadedFileName=5-2-1-1-2026-2027-77.pdf" TargetMode="External" Id="rId167"/><Relationship Type="http://schemas.openxmlformats.org/officeDocument/2006/relationships/hyperlink" Target="https://www.etenders.gov.za/home/Download/?blobName=6f476cd8-e2bf-4938-881e-4b04013606f0.pdf&amp;downloadedFileName=IATS%202025%202026%2011.pdf" TargetMode="External" Id="rId168"/><Relationship Type="http://schemas.openxmlformats.org/officeDocument/2006/relationships/hyperlink" Target="https://www.etenders.gov.za/home/Download/?blobName=9c5961db-d242-43b4-9ab8-53b2564e4bcc.pdf&amp;downloadedFileName=bid%20document%20AB%201826.pdf" TargetMode="External" Id="rId169"/><Relationship Type="http://schemas.openxmlformats.org/officeDocument/2006/relationships/hyperlink" Target="https://www.etenders.gov.za/home/Download/?blobName=50aaaf67-a333-4faa-b3b4-41ff16aba8aa.pdf&amp;downloadedFileName=RFQ%2010353141%20-%20Calibration%20of%20Gauges%20-%203.pdf" TargetMode="External" Id="rId170"/><Relationship Type="http://schemas.openxmlformats.org/officeDocument/2006/relationships/hyperlink" Target="https://www.etenders.gov.za/home/Download/?blobName=491e1952-145c-4731-bb1e-901895993acb.pdf&amp;downloadedFileName=RFQ%2010369481%20-%20Calibration%20of%20Measuring%20Instruments%20-%203.pdf" TargetMode="External" Id="rId171"/><Relationship Type="http://schemas.openxmlformats.org/officeDocument/2006/relationships/hyperlink" Target="https://www.etenders.gov.za/home/Download/?blobName=77c11535-4d71-4648-8bef-46e17a76f8da.pdf&amp;downloadedFileName=RFQ%2001%20Document%20for%20dic%20Training%20.pdf" TargetMode="External" Id="rId172"/><Relationship Type="http://schemas.openxmlformats.org/officeDocument/2006/relationships/hyperlink" Target="https://www.etenders.gov.za/home/Download/?blobName=d642669c-afcf-48f7-9f77-96da93e7fd43.pdf&amp;downloadedFileName=KZN-PRASA-2026-06-03-Q-REPORT%20WRITTING%20AND%20PRESENTATION%20TRAINING.pdf" TargetMode="External" Id="rId173"/><Relationship Type="http://schemas.openxmlformats.org/officeDocument/2006/relationships/hyperlink" Target="https://www.etenders.gov.za/home/Download/?blobName=59409bda-8200-47ad-ac72-b3ac30ddb1a4.pdf&amp;downloadedFileName=KZN-PRASA-2026-06-04-Q-%20WORKING%20ON%20HEIGHTS.pdf" TargetMode="External" Id="rId174"/><Relationship Type="http://schemas.openxmlformats.org/officeDocument/2006/relationships/hyperlink" Target="https://www.etenders.gov.za/home/Download/?blobName=cb0c9b86-6cee-429e-99af-1fe1c99c1304.pdf&amp;downloadedFileName=ANNEXURE%20C%20-%20PRICE%20SCHEDULE%20ENGINE%20PROTECTION%20DEVICE.pdf" TargetMode="External" Id="rId175"/><Relationship Type="http://schemas.openxmlformats.org/officeDocument/2006/relationships/hyperlink" Target="https://www.etenders.gov.za/home/Download/?blobName=f64b341b-0ae7-424d-85bc-976895ce69dd.pdf&amp;downloadedFileName=RFP%20for%20Septic%20Tanks.pdf" TargetMode="External" Id="rId176"/><Relationship Type="http://schemas.openxmlformats.org/officeDocument/2006/relationships/hyperlink" Target="https://www.etenders.gov.za/home/Download/?blobName=88816824-ef35-426b-9b9d-49d214a8a347.pdf&amp;downloadedFileName=T31%20-06-26_Talent%20Acquisition%20Response%20Handling%20and%20Recruitment%20Services.pdf" TargetMode="External" Id="rId177"/><Relationship Type="http://schemas.openxmlformats.org/officeDocument/2006/relationships/hyperlink" Target="https://www.etenders.gov.za/home/Download/?blobName=49c2904d-263d-482e-b758-7d7dc95e7689.pdf&amp;downloadedFileName=2026-374_Bela%20Bela%20LM_31x5.pdf" TargetMode="External" Id="rId178"/><Relationship Type="http://schemas.openxmlformats.org/officeDocument/2006/relationships/hyperlink" Target="https://www.etenders.gov.za/home/Download/?blobName=1d4e4d07-281d-44c2-8d8b-82dd8a7c3b38.pdf&amp;downloadedFileName=2026-374_Bela%20Bela%20LM_31x5.pdf" TargetMode="External" Id="rId179"/><Relationship Type="http://schemas.openxmlformats.org/officeDocument/2006/relationships/hyperlink" Target="https://www.etenders.gov.za/home/Download/?blobName=23054846-4d47-4c2a-8145-db6369dbb6b1.pdf&amp;downloadedFileName=2026-374_Bela%20Bela%20LM_31x5.pdf" TargetMode="External" Id="rId180"/><Relationship Type="http://schemas.openxmlformats.org/officeDocument/2006/relationships/hyperlink" Target="https://www.etenders.gov.za/home/Download/?blobName=67f2b75d-0f46-4874-b1fa-31e8bca35e03.pdf&amp;downloadedFileName=EERSTE%20TENDER%20DOCUMENT-%20HR%20SERVICES.pdf" TargetMode="External" Id="rId181"/><Relationship Type="http://schemas.openxmlformats.org/officeDocument/2006/relationships/hyperlink" Target="https://www.etenders.gov.za/home/Download/?blobName=f8da6aa4-0fdc-4c07-b5fc-daced37c7461.pdf&amp;downloadedFileName=NOTICE%202%20OF%202026%20-%20SUPPLY,%20DELIVERY%20AND%20INSTALLATION%20OF%20OFFICE%20FURNITURE%20AND%20IT%20EQUIPMENT%20FOR%20THE%20DUNCAN%20VILLAGE%20WASTE%20MA.pdf" TargetMode="External" Id="rId182"/><Relationship Type="http://schemas.openxmlformats.org/officeDocument/2006/relationships/hyperlink" Target="https://www.etenders.gov.za/home/Download/?blobName=43b2b02c-8955-4329-862f-002e9493eba1.pdf&amp;downloadedFileName=Annexure%207%20-%20Uninterrupted_Power_Supply_specification.pdf" TargetMode="External" Id="rId183"/><Relationship Type="http://schemas.openxmlformats.org/officeDocument/2006/relationships/hyperlink" Target="https://www.etenders.gov.za/home/Download/?blobName=3d14913d-dfd0-482c-be71-f45ecc6443f6.pdf&amp;downloadedFileName=Tender%20Document%20Additional%20Panel%20of%20Contractors%20Civil%20Engineering%202025.pdf" TargetMode="External" Id="rId184"/><Relationship Type="http://schemas.openxmlformats.org/officeDocument/2006/relationships/hyperlink" Target="https://www.etenders.gov.za/home/Download/?blobName=a7538df9-a1a2-4004-ae0c-95378f86ec7e.pdf&amp;downloadedFileName=2026-374_Bela%20Bela%20LM_31x5.pdf" TargetMode="External" Id="rId185"/><Relationship Type="http://schemas.openxmlformats.org/officeDocument/2006/relationships/hyperlink" Target="https://www.etenders.gov.za/home/Download/?blobName=21d91e3b-e9d0-4f1b-bae6-51c04c7c2fd3.pdf&amp;downloadedFileName=TENDER%20DOCUMENT%20FOR%20PANEL%20OF%20CONTRACTORS%20ELECTRICAL%20ENGINEERING%20SERVICES%20FOR%20A%20PERIOD%20OF%2002%20YEARS.pdf" TargetMode="External" Id="rId186"/><Relationship Type="http://schemas.openxmlformats.org/officeDocument/2006/relationships/hyperlink" Target="https://www.etenders.gov.za/home/Download/?blobName=7041b476-929a-4d6b-83c2-910c15cf1ed9.pdf&amp;downloadedFileName=T30-06-26%20Panel%20of%20Valuers.pdf" TargetMode="External" Id="rId187"/><Relationship Type="http://schemas.openxmlformats.org/officeDocument/2006/relationships/hyperlink" Target="https://www.etenders.gov.za/home/Download/?blobName=21d1d81b-729b-49d8-913d-3231f3f4527a.pdf&amp;downloadedFileName=TENDER%20DOCUMENT%20FOR%20PROFESSIONAL%20SERVICES%20FOR%20ELECTRICAL%20ENGINEERING%20SERVICES%20TO%20INGQUZA%20HILL%20LOCAL%20MUNICIPALITY%20FOR%20A%20PERIOD%202%20(TWO)%20YEARS..pdf" TargetMode="External" Id="rId188"/><Relationship Type="http://schemas.openxmlformats.org/officeDocument/2006/relationships/hyperlink" Target="https://www.etenders.gov.za/home/Download/?blobName=db93a7c0-894d-496e-9807-896f0377f3f1.pdf&amp;downloadedFileName=BID%20DOCUMENT%20FOR%20CATERING%20FOR%20300%20PEOPLE%20ATTENDING%20MAYORAL%20CUP%20FINAL%20EVENT.pdf" TargetMode="External" Id="rId189"/><Relationship Type="http://schemas.openxmlformats.org/officeDocument/2006/relationships/hyperlink" Target="https://www.etenders.gov.za/home/Download/?blobName=e2a7ef88-956f-4969-ac6b-1af7d8b681cc.pdf&amp;downloadedFileName=Tender%20Cover%20Page%20%20LG%2004%20Ballot%20Paper%20Printing.pdf" TargetMode="External" Id="rId190"/><Relationship Type="http://schemas.openxmlformats.org/officeDocument/2006/relationships/hyperlink" Target="https://www.etenders.gov.za/home/Download/?blobName=b5b82685-ef89-4966-844b-8db77ebc754e.pdf&amp;downloadedFileName=WARD%201%20-%20RUGTESLOOT.pdf" TargetMode="External" Id="rId191"/><Relationship Type="http://schemas.openxmlformats.org/officeDocument/2006/relationships/hyperlink" Target="https://www.etenders.gov.za/home/Download/?blobName=02d767f0-15df-4562-8a78-1c048c5370c2.pdf&amp;downloadedFileName=Advert.pdf" TargetMode="External" Id="rId192"/><Relationship Type="http://schemas.openxmlformats.org/officeDocument/2006/relationships/hyperlink" Target="https://www.etenders.gov.za/home/Download/?blobName=e21c4054-7381-4d18-bff9-af7389fbfb72.pdf&amp;downloadedFileName=BID%20FOR%20EVENT%20MANAGEMENT%20SERVICES%20FOR%20A%20THREE-YEAR%20(36%20MONTHS)%20DURATION%20SACREMS202627.pdf" TargetMode="External" Id="rId193"/><Relationship Type="http://schemas.openxmlformats.org/officeDocument/2006/relationships/hyperlink" Target="https://www.etenders.gov.za/home/Download/?blobName=8493341e-5026-4bcf-9302-bd89d31f4c55.pdf&amp;downloadedFileName=RFQ_Green_Patient_Folders.pdf" TargetMode="External" Id="rId194"/><Relationship Type="http://schemas.openxmlformats.org/officeDocument/2006/relationships/hyperlink" Target="https://www.etenders.gov.za/home/Download/?blobName=eeae33bc-312f-48ae-bbce-6db1045374fb.pdf&amp;downloadedFileName=RFQ_Flooring.pdf" TargetMode="External" Id="rId195"/><Relationship Type="http://schemas.openxmlformats.org/officeDocument/2006/relationships/hyperlink" Target="https://www.etenders.gov.za/home/Download/?blobName=e13cc066-7db4-4195-a9af-24b4c5185372.pdf&amp;downloadedFileName=Multi%20discipline%20Panel%20of%20Consultants%20Bid%20Document%20Engineering%202026-Final.pdf" TargetMode="External" Id="rId196"/><Relationship Type="http://schemas.openxmlformats.org/officeDocument/2006/relationships/hyperlink" Target="https://www.etenders.gov.za/home/Download/?blobName=08ce5afc-173d-427b-9bde-fa1378810971.pdf&amp;downloadedFileName=Panel%20for%20%20Surfaced%20RoadsSidewalks%20and%20Stormwater%20in%20the%20CBD%20for%20a%20Period%20of%2018%20Months.pdf" TargetMode="External" Id="rId197"/><Relationship Type="http://schemas.openxmlformats.org/officeDocument/2006/relationships/hyperlink" Target="https://www.etenders.gov.za/home/Download/?blobName=a0d63a03-69f8-425d-b2f4-1094ddeaab52.pdf&amp;downloadedFileName=RFQ_Earth_Burial_Services.pdf" TargetMode="External" Id="rId198"/><Relationship Type="http://schemas.openxmlformats.org/officeDocument/2006/relationships/hyperlink" Target="https://www.etenders.gov.za/home/Download/?blobName=52c4fd8b-649d-40d7-96ca-6e9d27264655.pdf&amp;downloadedFileName=RFQ_CUTLERY_CROCKERY.pdf" TargetMode="External" Id="rId199"/><Relationship Type="http://schemas.openxmlformats.org/officeDocument/2006/relationships/hyperlink" Target="https://www.etenders.gov.za/home/Download/?blobName=d7e8e857-91a3-47d0-a0ad-418da8aa8702.pdf&amp;downloadedFileName=RFQ%20012-26%20-%20Fraud%20hotline.pdf" TargetMode="External" Id="rId200"/><Relationship Type="http://schemas.openxmlformats.org/officeDocument/2006/relationships/hyperlink" Target="https://www.etenders.gov.za/home/Download/?blobName=ee640fbe-abc5-4d8a-b03a-76d421b91066.pdf&amp;downloadedFileName=RFQ_KITCHEN_UTENSILS.pdf" TargetMode="External" Id="rId201"/><Relationship Type="http://schemas.openxmlformats.org/officeDocument/2006/relationships/hyperlink" Target="https://www.etenders.gov.za/home/Download/?blobName=586c4da1-d049-4b7b-94ce-2c045e9285a3.pdf&amp;downloadedFileName=COMBINED%20BOQ%202%203%20(1).pdf" TargetMode="External" Id="rId202"/><Relationship Type="http://schemas.openxmlformats.org/officeDocument/2006/relationships/hyperlink" Target="https://www.etenders.gov.za/home/Download/?blobName=cc2920e9-1025-498e-bedf-380e65d80240.pdf&amp;downloadedFileName=18%20months%20contract%20for%20maintanance%202026-Final.pdf" TargetMode="External" Id="rId203"/><Relationship Type="http://schemas.openxmlformats.org/officeDocument/2006/relationships/hyperlink" Target="https://www.etenders.gov.za/home/Download/?blobName=06d976b6-cdef-4c76-8a48-a8aab6d7710f.pdf&amp;downloadedFileName=DPWFS%20RFP%20008%202026.pdf" TargetMode="External" Id="rId204"/><Relationship Type="http://schemas.openxmlformats.org/officeDocument/2006/relationships/hyperlink" Target="https://www.etenders.gov.za/home/Download/?blobName=02014058-b24d-4ad9-9f38-2903943b0aec.pdf&amp;downloadedFileName=DPWFS%20RFP%20005%202026.pdf" TargetMode="External" Id="rId205"/><Relationship Type="http://schemas.openxmlformats.org/officeDocument/2006/relationships/hyperlink" Target="https://www.etenders.gov.za/home/Download/?blobName=23e3fe1e-1fa5-4d7b-b9f9-dc01141031b5.pdf&amp;downloadedFileName=DPWFS%20RFP%20006%202026.pdf" TargetMode="External" Id="rId206"/><Relationship Type="http://schemas.openxmlformats.org/officeDocument/2006/relationships/hyperlink" Target="https://www.etenders.gov.za/home/Download/?blobName=173cebcb-9bce-4601-9757-cc26ea4dcd62.pdf&amp;downloadedFileName=DPWFS%20RFP%20003%202026.pdf" TargetMode="External" Id="rId207"/><Relationship Type="http://schemas.openxmlformats.org/officeDocument/2006/relationships/hyperlink" Target="https://www.etenders.gov.za/home/Download/?blobName=d0914be2-7f6c-4705-805f-79336b12805f.pdf&amp;downloadedFileName=DPWFS%20RFP%20004%202026.pdf" TargetMode="External" Id="rId208"/><Relationship Type="http://schemas.openxmlformats.org/officeDocument/2006/relationships/hyperlink" Target="https://www.etenders.gov.za/home/Download/?blobName=6c4f998b-17e4-48be-b3c6-678ecd583496.pdf&amp;downloadedFileName=DPWFS%20RFP%20001%202026.pdf" TargetMode="External" Id="rId209"/><Relationship Type="http://schemas.openxmlformats.org/officeDocument/2006/relationships/hyperlink" Target="https://www.etenders.gov.za/home/Download/?blobName=934f57ea-b681-4903-bb39-c0a65a86af98.pdf&amp;downloadedFileName=DPWFS%20RFP%20002%202026.pdf" TargetMode="External" Id="rId210"/><Relationship Type="http://schemas.openxmlformats.org/officeDocument/2006/relationships/hyperlink" Target="https://www.etenders.gov.za/home/Download/?blobName=ecabd944-8b1e-4948-878b-5e6a5773923b.pdf&amp;downloadedFileName=Panel%20of%20Gravel%20Roads,%20Bridges%20and%20All%20stormwater%20Related%20Works%20for%2018%20Months.pdf" TargetMode="External" Id="rId211"/><Relationship Type="http://schemas.openxmlformats.org/officeDocument/2006/relationships/hyperlink" Target="https://www.etenders.gov.za/home/Download/?blobName=6a8ea87f-19a2-4f27-8d8b-7d589131233d.pdf&amp;downloadedFileName=DPWFS%20RFP%20007%202026.pdf" TargetMode="External" Id="rId212"/><Relationship Type="http://schemas.openxmlformats.org/officeDocument/2006/relationships/hyperlink" Target="https://www.etenders.gov.za/home/Download/?blobName=b58a5d16-2179-48b7-aa0e-1fc15fd2ed10.pdf&amp;downloadedFileName=TENDER%20DOCUMENT%20-%20MAINTENANCE%20OF%20MUNICIPAL%20BUILDING%2005%20JUNE%202026.pdf" TargetMode="External" Id="rId213"/><Relationship Type="http://schemas.openxmlformats.org/officeDocument/2006/relationships/hyperlink" Target="https://www.etenders.gov.za/home/Download/?blobName=cec66fa1-3aaa-4aa1-bf78-edf8ea450a11.pdf&amp;downloadedFileName=Advertisement%20of%20Bid%202026%20Final.pdf" TargetMode="External" Id="rId214"/><Relationship Type="http://schemas.openxmlformats.org/officeDocument/2006/relationships/hyperlink" Target="https://www.etenders.gov.za/home/Download/?blobName=b0af7ba6-3ace-42b4-968f-637f3f507675.pdf&amp;downloadedFileName=Advertisement%20of%20Bid%202026%20Final.pdf" TargetMode="External" Id="rId215"/></Relationships>
</file>

<file path=xl/worksheets/sheet1.xml><?xml version="1.0" encoding="utf-8"?>
<worksheet xmlns="http://schemas.openxmlformats.org/spreadsheetml/2006/main">
  <sheetPr>
    <outlinePr summaryBelow="1" summaryRight="1"/>
    <pageSetUpPr/>
  </sheetPr>
  <dimension ref="A1:V216"/>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COMPULSORY_BRIEFING</t>
        </is>
      </c>
      <c r="P1" s="1" t="inlineStr">
        <is>
          <t>BRIEFING_SESSION_VENUE</t>
        </is>
      </c>
      <c r="Q1" s="1" t="inlineStr">
        <is>
          <t>LINK</t>
        </is>
      </c>
      <c r="R1" s="1" t="inlineStr">
        <is>
          <t>SOE</t>
        </is>
      </c>
      <c r="S1" s="1" t="inlineStr">
        <is>
          <t>COST_OF_SALES_ESTIMATE</t>
        </is>
      </c>
      <c r="T1" s="1" t="inlineStr">
        <is>
          <t>CAPABILITY_AVAILABLE</t>
        </is>
      </c>
      <c r="U1" s="1" t="inlineStr">
        <is>
          <t>CAPABILITY_GROUP</t>
        </is>
      </c>
      <c r="V1" s="1" t="inlineStr">
        <is>
          <t>REQUIREMENTS</t>
        </is>
      </c>
    </row>
    <row r="2">
      <c r="A2" s="2" t="n">
        <v>46177</v>
      </c>
      <c r="B2" t="n">
        <v>215</v>
      </c>
      <c r="C2" t="inlineStr">
        <is>
          <t>064422</t>
        </is>
      </c>
      <c r="D2" s="2" t="n">
        <v>46177</v>
      </c>
      <c r="E2" s="2" t="n">
        <v>46190</v>
      </c>
      <c r="F2" t="inlineStr">
        <is>
          <t>11:00</t>
        </is>
      </c>
      <c r="G2" t="inlineStr">
        <is>
          <t>Request for Quotation</t>
        </is>
      </c>
      <c r="H2" t="inlineStr">
        <is>
          <t>DEPARTMENT OF SOCIAL DEVELOPMENT:UMLAZI SERVICE CENTRE:REPAIRS TO FLOOD LIGHTS AND VANDALISEZED DISTRIBUTION BOARD</t>
        </is>
      </c>
      <c r="I2" t="inlineStr">
        <is>
          <t>ETENDERS.GOV.ZA</t>
        </is>
      </c>
      <c r="J2" t="inlineStr">
        <is>
          <t>Kwazulu Natal - Public Works (Head Office)</t>
        </is>
      </c>
      <c r="K2" t="inlineStr">
        <is>
          <t>KwaZulu-Natal</t>
        </is>
      </c>
      <c r="L2" t="inlineStr">
        <is>
          <t>No</t>
        </is>
      </c>
      <c r="M2" t="inlineStr">
        <is>
          <t>Electricity, gas, steam and air conditioning</t>
        </is>
      </c>
      <c r="N2" t="inlineStr">
        <is>
          <t>No</t>
        </is>
      </c>
      <c r="O2" t="inlineStr">
        <is>
          <t>No</t>
        </is>
      </c>
      <c r="P2" t="inlineStr">
        <is>
          <t>N/A</t>
        </is>
      </c>
      <c r="Q2" s="3" t="inlineStr">
        <is>
          <t>https://www.etenders.gov.za/home/Download/?blobName=27eec0fc-3f23-463b-97b6-f0e978241a87.pdf&amp;downloadedFileName=TENDER%20DOCUMENT-064422.pdf</t>
        </is>
      </c>
      <c r="R2" t="inlineStr"/>
      <c r="S2" t="inlineStr"/>
      <c r="T2" t="inlineStr"/>
      <c r="U2" t="inlineStr"/>
      <c r="V2" t="inlineStr"/>
    </row>
    <row r="3">
      <c r="A3" s="2" t="n">
        <v>46177</v>
      </c>
      <c r="B3" t="n">
        <v>214</v>
      </c>
      <c r="C3" t="inlineStr">
        <is>
          <t>070131</t>
        </is>
      </c>
      <c r="D3" s="2" t="n">
        <v>46177</v>
      </c>
      <c r="E3" s="2" t="n">
        <v>46190</v>
      </c>
      <c r="F3" t="inlineStr">
        <is>
          <t>11:00</t>
        </is>
      </c>
      <c r="G3" t="inlineStr">
        <is>
          <t>Request for Quotation</t>
        </is>
      </c>
      <c r="H3" t="inlineStr">
        <is>
          <t>DEPARTMENT OF COGTA:S B BOURQUIN BUILDING:7 BURO CRESENT MAYVILLE:ELETRICAL REPAIRS TO DISTRIBUTION BOARDS, CABLES WIRING AND LIGHTS FITTINGS</t>
        </is>
      </c>
      <c r="I3" t="inlineStr">
        <is>
          <t>ETENDERS.GOV.ZA</t>
        </is>
      </c>
      <c r="J3" t="inlineStr">
        <is>
          <t>Kwazulu Natal - Public Works (Head Office)</t>
        </is>
      </c>
      <c r="K3" t="inlineStr">
        <is>
          <t>KwaZulu-Natal</t>
        </is>
      </c>
      <c r="L3" t="inlineStr">
        <is>
          <t>No</t>
        </is>
      </c>
      <c r="M3" t="inlineStr">
        <is>
          <t>Electricity, gas, steam and air conditioning</t>
        </is>
      </c>
      <c r="N3" t="inlineStr">
        <is>
          <t>No</t>
        </is>
      </c>
      <c r="O3" t="inlineStr">
        <is>
          <t>No</t>
        </is>
      </c>
      <c r="P3" t="inlineStr">
        <is>
          <t>N/A</t>
        </is>
      </c>
      <c r="Q3" s="3" t="inlineStr">
        <is>
          <t>https://www.etenders.gov.za/home/Download/?blobName=de3f668e-d0c7-4da7-b476-dcedebc5cc0d.pdf&amp;downloadedFileName=TENDER%20DOCUMENT-070131.pdf</t>
        </is>
      </c>
      <c r="R3" t="inlineStr"/>
      <c r="S3" t="inlineStr"/>
      <c r="T3" t="inlineStr"/>
      <c r="U3" t="inlineStr"/>
      <c r="V3" t="inlineStr"/>
    </row>
    <row r="4">
      <c r="A4" s="2" t="n">
        <v>46177</v>
      </c>
      <c r="B4" t="n">
        <v>213</v>
      </c>
      <c r="C4" t="inlineStr">
        <is>
          <t>FSCOGTA: RFB/001/2026-2027</t>
        </is>
      </c>
      <c r="D4" s="2" t="n">
        <v>46177</v>
      </c>
      <c r="E4" s="2" t="n">
        <v>46202</v>
      </c>
      <c r="F4" t="inlineStr">
        <is>
          <t>11:00</t>
        </is>
      </c>
      <c r="G4" t="inlineStr">
        <is>
          <t>Request for Bid(Open-Tender)</t>
        </is>
      </c>
      <c r="H4" t="inlineStr">
        <is>
          <t>REQUEST FOR BIDS: SUPPLY AND DELIVERY OF ROAD PATCHING MATERIALS AND EQUIPMENT FOR IDENTIFIED MUNICIPALITIES WITHIN THE FREE STATE</t>
        </is>
      </c>
      <c r="I4" t="inlineStr">
        <is>
          <t>ETENDERS.GOV.ZA</t>
        </is>
      </c>
      <c r="J4" t="inlineStr">
        <is>
          <t>Free State - Corporate Governance Traditional Affairs</t>
        </is>
      </c>
      <c r="K4" t="inlineStr">
        <is>
          <t>Free State</t>
        </is>
      </c>
      <c r="L4" t="inlineStr">
        <is>
          <t>No</t>
        </is>
      </c>
      <c r="M4" t="inlineStr">
        <is>
          <t>Services: General</t>
        </is>
      </c>
      <c r="N4" t="inlineStr">
        <is>
          <t>No</t>
        </is>
      </c>
      <c r="O4" t="inlineStr">
        <is>
          <t>No</t>
        </is>
      </c>
      <c r="P4" t="inlineStr">
        <is>
          <t>N/A</t>
        </is>
      </c>
      <c r="Q4" s="3" t="inlineStr">
        <is>
          <t>https://www.etenders.gov.za/home/Download/?blobName=b0506364-5d9d-49ca-bc85-c318aafae36a.pdf&amp;downloadedFileName=FSCOGTA%20(RFB)%20001%202026-2027.pdf</t>
        </is>
      </c>
      <c r="R4" t="inlineStr"/>
      <c r="S4" t="inlineStr"/>
      <c r="T4" t="inlineStr"/>
      <c r="U4" t="inlineStr"/>
      <c r="V4" t="inlineStr"/>
    </row>
    <row r="5">
      <c r="A5" s="2" t="n">
        <v>46177</v>
      </c>
      <c r="B5" t="n">
        <v>212</v>
      </c>
      <c r="C5" t="inlineStr">
        <is>
          <t>GRDM/32/25-26</t>
        </is>
      </c>
      <c r="D5" s="2" t="n">
        <v>46177</v>
      </c>
      <c r="E5" s="2" t="n">
        <v>46206</v>
      </c>
      <c r="F5" t="inlineStr">
        <is>
          <t>11:00</t>
        </is>
      </c>
      <c r="G5" t="inlineStr">
        <is>
          <t>Request for Bid(Open-Tender)</t>
        </is>
      </c>
      <c r="H5" t="inlineStr">
        <is>
          <t>APPOINTMENT OF A SERVICE PROVIDER TO UNDERTAKE SPECIFIC INITIATIVES AND COLLABORATIONS IN TERMS OF DESTINATION MARKETING, DESINATION DEVELOPMENT FOR A PERIOD OF THREE YEARS</t>
        </is>
      </c>
      <c r="I5" t="inlineStr">
        <is>
          <t>ETENDERS.GOV.ZA</t>
        </is>
      </c>
      <c r="J5" t="inlineStr">
        <is>
          <t>Garden Route District Local Municipality</t>
        </is>
      </c>
      <c r="K5" t="inlineStr">
        <is>
          <t>Western Cape</t>
        </is>
      </c>
      <c r="L5" t="inlineStr">
        <is>
          <t>No</t>
        </is>
      </c>
      <c r="M5" t="inlineStr">
        <is>
          <t>Services: Professional</t>
        </is>
      </c>
      <c r="N5" t="inlineStr">
        <is>
          <t>Yes</t>
        </is>
      </c>
      <c r="O5" t="inlineStr">
        <is>
          <t>Yes</t>
        </is>
      </c>
      <c r="P5" t="inlineStr">
        <is>
          <t>N/A</t>
        </is>
      </c>
      <c r="Q5" s="3" t="inlineStr">
        <is>
          <t>https://www.etenders.gov.za/home/Download/?blobName=bae73286-7beb-4306-ba96-85cc6ea35669.pdf&amp;downloadedFileName=GRDM3225-26%20Appointment%20of%20a%20service%20provider%20to%20undertake%20specific%20initiatives%20and%20collaborations%20in%20terms%20of%20marketing%20destination.pdf</t>
        </is>
      </c>
      <c r="R5" t="inlineStr"/>
      <c r="S5" t="inlineStr"/>
      <c r="T5" t="inlineStr"/>
      <c r="U5" t="inlineStr"/>
      <c r="V5" t="inlineStr"/>
    </row>
    <row r="6">
      <c r="A6" s="2" t="n">
        <v>46177</v>
      </c>
      <c r="B6" t="n">
        <v>211</v>
      </c>
      <c r="C6" t="inlineStr">
        <is>
          <t>SCM/1312/S/2025-2026</t>
        </is>
      </c>
      <c r="D6" s="2" t="n">
        <v>46177</v>
      </c>
      <c r="E6" s="2" t="n">
        <v>46219</v>
      </c>
      <c r="F6" t="inlineStr">
        <is>
          <t>11:00</t>
        </is>
      </c>
      <c r="G6" t="inlineStr">
        <is>
          <t>Request for Quotation</t>
        </is>
      </c>
      <c r="H6" t="inlineStr">
        <is>
          <t>EXTERNAL HIRE OF REFUSE COMPACTION VEHICLES ON AN “AS AND WHEN REQUIRED BASIS”</t>
        </is>
      </c>
      <c r="I6" t="inlineStr">
        <is>
          <t>ETENDERS.GOV.ZA</t>
        </is>
      </c>
      <c r="J6" t="inlineStr">
        <is>
          <t>Nelson Mandela Bay Municipality</t>
        </is>
      </c>
      <c r="K6" t="inlineStr">
        <is>
          <t>Eastern Cape</t>
        </is>
      </c>
      <c r="L6" t="inlineStr">
        <is>
          <t>No</t>
        </is>
      </c>
      <c r="M6" t="inlineStr">
        <is>
          <t>Supplies: General</t>
        </is>
      </c>
      <c r="N6" t="inlineStr">
        <is>
          <t>Yes</t>
        </is>
      </c>
      <c r="O6" t="inlineStr">
        <is>
          <t>Yes</t>
        </is>
      </c>
      <c r="P6" t="inlineStr">
        <is>
          <t>Waste Management Boardroom, Harrower Road, Gqeberha</t>
        </is>
      </c>
      <c r="Q6" s="3" t="inlineStr">
        <is>
          <t>https://www.etenders.gov.za/home/Download/?blobName=5c1171ea-7d7d-4c71-9158-8ac1b30201a1.pdf&amp;downloadedFileName=Advert%2003-06-2026._%20(002).pdf</t>
        </is>
      </c>
      <c r="R6" t="inlineStr"/>
      <c r="S6" t="inlineStr"/>
      <c r="T6" t="inlineStr"/>
      <c r="U6" t="inlineStr"/>
      <c r="V6" t="inlineStr"/>
    </row>
    <row r="7">
      <c r="A7" s="2" t="n">
        <v>46177</v>
      </c>
      <c r="B7" t="n">
        <v>210</v>
      </c>
      <c r="C7" t="inlineStr">
        <is>
          <t>SCM/1333/G/2025-2026</t>
        </is>
      </c>
      <c r="D7" s="2" t="n">
        <v>46177</v>
      </c>
      <c r="E7" s="2" t="n">
        <v>46219</v>
      </c>
      <c r="F7" t="inlineStr">
        <is>
          <t>11:00</t>
        </is>
      </c>
      <c r="G7" t="inlineStr">
        <is>
          <t>Request for Quotation</t>
        </is>
      </c>
      <c r="H7" t="inlineStr">
        <is>
          <t>MANUFACTURE, TESTING, SUPPLY AND DELIVERY OF CSP TRANSFORMERS</t>
        </is>
      </c>
      <c r="I7" t="inlineStr">
        <is>
          <t>ETENDERS.GOV.ZA</t>
        </is>
      </c>
      <c r="J7" t="inlineStr">
        <is>
          <t>Nelson Mandela Bay Municipality</t>
        </is>
      </c>
      <c r="K7" t="inlineStr">
        <is>
          <t>Eastern Cape</t>
        </is>
      </c>
      <c r="L7" t="inlineStr">
        <is>
          <t>No</t>
        </is>
      </c>
      <c r="M7" t="inlineStr">
        <is>
          <t>Manufacture of electrical equipment</t>
        </is>
      </c>
      <c r="N7" t="inlineStr">
        <is>
          <t>No</t>
        </is>
      </c>
      <c r="O7" t="inlineStr">
        <is>
          <t>No</t>
        </is>
      </c>
      <c r="P7" t="inlineStr">
        <is>
          <t>N/A</t>
        </is>
      </c>
      <c r="Q7" s="3" t="inlineStr">
        <is>
          <t>https://www.etenders.gov.za/home/Download/?blobName=a80badfa-bb01-4522-a795-6831018484d6.pdf&amp;downloadedFileName=Advert%2003-06-2026._%20(002).pdf</t>
        </is>
      </c>
      <c r="R7" t="inlineStr"/>
      <c r="S7" t="inlineStr"/>
      <c r="T7" t="inlineStr"/>
      <c r="U7" t="inlineStr"/>
      <c r="V7" t="inlineStr"/>
    </row>
    <row r="8">
      <c r="A8" s="2" t="n">
        <v>46177</v>
      </c>
      <c r="B8" t="n">
        <v>209</v>
      </c>
      <c r="C8" t="inlineStr">
        <is>
          <t>SCM/1343/C/2025-2026</t>
        </is>
      </c>
      <c r="D8" s="2" t="n">
        <v>46177</v>
      </c>
      <c r="E8" s="2" t="n">
        <v>46219</v>
      </c>
      <c r="F8" t="inlineStr">
        <is>
          <t>11:00</t>
        </is>
      </c>
      <c r="G8" t="inlineStr">
        <is>
          <t>Request for Quotation</t>
        </is>
      </c>
      <c r="H8" t="inlineStr">
        <is>
          <t>CONSTRUCTION OF WARD 8 COUNCILLORS’ OFFICE FOR A PERIOD OF THREE (3) MONTHS</t>
        </is>
      </c>
      <c r="I8" t="inlineStr">
        <is>
          <t>ETENDERS.GOV.ZA</t>
        </is>
      </c>
      <c r="J8" t="inlineStr">
        <is>
          <t>Nelson Mandela Bay Municipality</t>
        </is>
      </c>
      <c r="K8" t="inlineStr">
        <is>
          <t>Eastern Cape</t>
        </is>
      </c>
      <c r="L8" t="inlineStr">
        <is>
          <t>No</t>
        </is>
      </c>
      <c r="M8" t="inlineStr">
        <is>
          <t>Construction</t>
        </is>
      </c>
      <c r="N8" t="inlineStr">
        <is>
          <t>Yes</t>
        </is>
      </c>
      <c r="O8" t="inlineStr">
        <is>
          <t>Yes</t>
        </is>
      </c>
      <c r="P8" t="inlineStr">
        <is>
          <t>61 Longway Avenue, Lorraine, Gqeberha</t>
        </is>
      </c>
      <c r="Q8" s="3" t="inlineStr">
        <is>
          <t>https://www.etenders.gov.za/home/Download/?blobName=b70e8c3f-2918-4f64-bb08-9370cc9c57fb.pdf&amp;downloadedFileName=Advert%2003-06-2026._%20(002).pdf</t>
        </is>
      </c>
      <c r="R8" t="inlineStr"/>
      <c r="S8" t="inlineStr"/>
      <c r="T8" t="inlineStr"/>
      <c r="U8" t="inlineStr"/>
      <c r="V8" t="inlineStr"/>
    </row>
    <row r="9">
      <c r="A9" s="2" t="n">
        <v>46177</v>
      </c>
      <c r="B9" t="n">
        <v>208</v>
      </c>
      <c r="C9" t="inlineStr">
        <is>
          <t>SCM/1085/C/2022-2023</t>
        </is>
      </c>
      <c r="D9" s="2" t="n">
        <v>46177</v>
      </c>
      <c r="E9" s="2" t="n">
        <v>46226</v>
      </c>
      <c r="F9" t="inlineStr">
        <is>
          <t>11:00</t>
        </is>
      </c>
      <c r="G9" t="inlineStr">
        <is>
          <t>Request for Quotation</t>
        </is>
      </c>
      <c r="H9" t="inlineStr">
        <is>
          <t>TRIENNIAL CONTRACT FOR PROVISION OF BASIC SANITATION SERVICES: CLUSTERS 1 - 6</t>
        </is>
      </c>
      <c r="I9" t="inlineStr">
        <is>
          <t>ETENDERS.GOV.ZA</t>
        </is>
      </c>
      <c r="J9" t="inlineStr">
        <is>
          <t>Nelson Mandela Bay Municipality</t>
        </is>
      </c>
      <c r="K9" t="inlineStr">
        <is>
          <t>Eastern Cape</t>
        </is>
      </c>
      <c r="L9" t="inlineStr">
        <is>
          <t>No</t>
        </is>
      </c>
      <c r="M9" t="inlineStr">
        <is>
          <t>Services: General</t>
        </is>
      </c>
      <c r="N9" t="inlineStr">
        <is>
          <t>No</t>
        </is>
      </c>
      <c r="O9" t="inlineStr">
        <is>
          <t>No</t>
        </is>
      </c>
      <c r="P9" t="inlineStr">
        <is>
          <t>N/A</t>
        </is>
      </c>
      <c r="Q9" s="3" t="inlineStr">
        <is>
          <t>https://www.etenders.gov.za/home/Download/?blobName=b3fb02f1-a8aa-420e-8363-9fe248d39264.pdf&amp;downloadedFileName=Advert%2003-06-2026._%20(002).pdf</t>
        </is>
      </c>
      <c r="R9" t="inlineStr"/>
      <c r="S9" t="inlineStr"/>
      <c r="T9" t="inlineStr"/>
      <c r="U9" t="inlineStr"/>
      <c r="V9" t="inlineStr"/>
    </row>
    <row r="10">
      <c r="A10" s="2" t="n">
        <v>46177</v>
      </c>
      <c r="B10" t="n">
        <v>207</v>
      </c>
      <c r="C10" t="inlineStr">
        <is>
          <t>06187-00000-502-004-01</t>
        </is>
      </c>
      <c r="D10" s="2" t="n">
        <v>46177</v>
      </c>
      <c r="E10" s="2" t="n">
        <v>46202</v>
      </c>
      <c r="F10" t="inlineStr">
        <is>
          <t>11:00</t>
        </is>
      </c>
      <c r="G10" t="inlineStr">
        <is>
          <t>Request for Proposal</t>
        </is>
      </c>
      <c r="H10" t="inlineStr">
        <is>
          <t>To manufacture reusable, operational packaging system to accommodate and protect one fully assembled missile. The container protects the missile during transportation, handling and storage.</t>
        </is>
      </c>
      <c r="I10" t="inlineStr">
        <is>
          <t>ETENDERS.GOV.ZA</t>
        </is>
      </c>
      <c r="J10" t="inlineStr">
        <is>
          <t>DENEL (Pty) Ltd</t>
        </is>
      </c>
      <c r="K10" t="inlineStr">
        <is>
          <t>National</t>
        </is>
      </c>
      <c r="L10" t="inlineStr">
        <is>
          <t>No</t>
        </is>
      </c>
      <c r="M10" t="inlineStr">
        <is>
          <t>Manufacture of rubber and plastics products</t>
        </is>
      </c>
      <c r="N10" t="inlineStr">
        <is>
          <t>No</t>
        </is>
      </c>
      <c r="O10" t="inlineStr">
        <is>
          <t>No</t>
        </is>
      </c>
      <c r="P10" t="inlineStr">
        <is>
          <t>N/A</t>
        </is>
      </c>
      <c r="Q10" s="3" t="inlineStr">
        <is>
          <t>https://www.etenders.gov.za/home/Download/?blobName=b60ab401-9a0f-4f99-81b5-142e35c8ac94.pdf&amp;downloadedFileName=NDA-%20Denel%20Dynamics%20Procurement%20%2004%20June%202026.pdf</t>
        </is>
      </c>
      <c r="R10" t="inlineStr"/>
      <c r="S10" t="inlineStr"/>
      <c r="T10" t="inlineStr"/>
      <c r="U10" t="inlineStr"/>
      <c r="V10" t="inlineStr"/>
    </row>
    <row r="11">
      <c r="A11" s="2" t="n">
        <v>46177</v>
      </c>
      <c r="B11" t="n">
        <v>206</v>
      </c>
      <c r="C11" t="inlineStr">
        <is>
          <t>RFP/CPS/2026/10252452/10</t>
        </is>
      </c>
      <c r="D11" s="2" t="n">
        <v>46177</v>
      </c>
      <c r="E11" s="2" t="n">
        <v>46202</v>
      </c>
      <c r="F11" t="inlineStr">
        <is>
          <t>12:00</t>
        </is>
      </c>
      <c r="G11" t="inlineStr">
        <is>
          <t>Request for Proposal</t>
        </is>
      </c>
      <c r="H11" t="inlineStr">
        <is>
          <t>PANEL OF SERVICE PROVIDERS FOR THE PROVISION OF FULL-SERVICE AGENCIES FOR SABC SPECIAL PROJECTS ON AN AS AND WHEN REQUIRED BASIS FOR A PERIOD OF THREE YEARS</t>
        </is>
      </c>
      <c r="I11" t="inlineStr">
        <is>
          <t>ETENDERS.GOV.ZA</t>
        </is>
      </c>
      <c r="J11" t="inlineStr">
        <is>
          <t>South African Broadcasting Corporation Limited</t>
        </is>
      </c>
      <c r="K11" t="inlineStr">
        <is>
          <t>National</t>
        </is>
      </c>
      <c r="L11" t="inlineStr">
        <is>
          <t>No</t>
        </is>
      </c>
      <c r="M11" t="inlineStr">
        <is>
          <t>Administrative and support activities</t>
        </is>
      </c>
      <c r="N11" t="inlineStr">
        <is>
          <t>No</t>
        </is>
      </c>
      <c r="O11" t="inlineStr">
        <is>
          <t>No</t>
        </is>
      </c>
      <c r="P11" t="inlineStr">
        <is>
          <t>N/A</t>
        </is>
      </c>
      <c r="Q11" s="3" t="inlineStr">
        <is>
          <t>https://www.etenders.gov.za/home/Download/?blobName=3a83ad60-364b-4506-b9fa-ba6b15bf009c.pdf&amp;downloadedFileName=Panel%20of%20full%20service%20agencies%20for%20SABC%20special%20needs%20RFP%20(1).pdf</t>
        </is>
      </c>
      <c r="R11" t="inlineStr"/>
      <c r="S11" t="inlineStr"/>
      <c r="T11" t="inlineStr"/>
      <c r="U11" t="inlineStr"/>
      <c r="V11" t="inlineStr"/>
    </row>
    <row r="12">
      <c r="A12" s="2" t="n">
        <v>46177</v>
      </c>
      <c r="B12" t="n">
        <v>205</v>
      </c>
      <c r="C12" t="inlineStr">
        <is>
          <t>SCMF 21/04/09R(i)</t>
        </is>
      </c>
      <c r="D12" s="2" t="n">
        <v>46177</v>
      </c>
      <c r="E12" s="2" t="n">
        <v>46183</v>
      </c>
      <c r="F12" t="inlineStr">
        <is>
          <t>18:00</t>
        </is>
      </c>
      <c r="G12" t="inlineStr">
        <is>
          <t>Request for Proposal</t>
        </is>
      </c>
      <c r="H12" t="inlineStr">
        <is>
          <t>Appointment of the service provider to support and maintain the video conferencing system in the Presidency (boardrooms 108, 144, and 145) for a period of 3 years.</t>
        </is>
      </c>
      <c r="I12" t="inlineStr">
        <is>
          <t>ETENDERS.GOV.ZA</t>
        </is>
      </c>
      <c r="J12" t="inlineStr">
        <is>
          <t>The Presidency</t>
        </is>
      </c>
      <c r="K12" t="inlineStr">
        <is>
          <t>Gauteng</t>
        </is>
      </c>
      <c r="L12" t="inlineStr">
        <is>
          <t>No</t>
        </is>
      </c>
      <c r="M12" t="inlineStr">
        <is>
          <t>Information and communication</t>
        </is>
      </c>
      <c r="N12" t="inlineStr">
        <is>
          <t>Yes</t>
        </is>
      </c>
      <c r="O12" t="inlineStr">
        <is>
          <t>Yes</t>
        </is>
      </c>
      <c r="P12" t="inlineStr">
        <is>
          <t>Meeting ID: 319 310 155 820 272 Passcode: 8wK2wa6z</t>
        </is>
      </c>
      <c r="Q12" s="3" t="inlineStr">
        <is>
          <t>https://www.etenders.gov.za/home/Download/?blobName=7cee3e98-aee7-4ca8-891f-89b41ce8589a.pdf&amp;downloadedFileName=TORAppointment%20for%20service%20provider%20to%20provide%20vidoe%20conference%20support%20and%20maintenance%20in%20boardroom%20108%20144%20and%20145.pdf</t>
        </is>
      </c>
      <c r="R12" t="inlineStr"/>
      <c r="S12" t="inlineStr"/>
      <c r="T12" t="inlineStr"/>
      <c r="U12" t="inlineStr"/>
      <c r="V12" t="inlineStr"/>
    </row>
    <row r="13">
      <c r="A13" s="2" t="n">
        <v>46177</v>
      </c>
      <c r="B13" t="n">
        <v>204</v>
      </c>
      <c r="C13" t="inlineStr">
        <is>
          <t>ATNS/ATA/RFQ/2025/26_ SAQA ACCREDITATION_RE-ADVER</t>
        </is>
      </c>
      <c r="D13" s="2" t="n">
        <v>46177</v>
      </c>
      <c r="E13" s="2" t="n">
        <v>46191</v>
      </c>
      <c r="F13" t="inlineStr">
        <is>
          <t>11:00</t>
        </is>
      </c>
      <c r="G13" t="inlineStr">
        <is>
          <t>Request for Quotation</t>
        </is>
      </c>
      <c r="H13" t="inlineStr">
        <is>
          <t>APPOINTMENT OF A SERVICE PROVIDER FOR THE REVIEW AND DEVELOPMENT OF TWO SAQA-ACCREDITED AIR TRAFFIC SERVICES QUALIFICATIONS TO ALIGN WITH QCTO REQUIREMENTS</t>
        </is>
      </c>
      <c r="I13" t="inlineStr">
        <is>
          <t>ETENDERS.GOV.ZA</t>
        </is>
      </c>
      <c r="J13" t="inlineStr">
        <is>
          <t>Air Traffic and Navigation Services Company Limited</t>
        </is>
      </c>
      <c r="K13" t="inlineStr">
        <is>
          <t>Gauteng</t>
        </is>
      </c>
      <c r="L13" t="inlineStr">
        <is>
          <t>No</t>
        </is>
      </c>
      <c r="M13" t="inlineStr">
        <is>
          <t>Services: Professional</t>
        </is>
      </c>
      <c r="N13" t="inlineStr">
        <is>
          <t>No</t>
        </is>
      </c>
      <c r="O13" t="inlineStr">
        <is>
          <t>No</t>
        </is>
      </c>
      <c r="P13" t="inlineStr">
        <is>
          <t>N/A</t>
        </is>
      </c>
      <c r="Q13" s="3" t="inlineStr">
        <is>
          <t>https://www.etenders.gov.za/home/Download/?blobName=2c34e7e1-a45a-40fd-8004-0ed287151b44.PDF&amp;downloadedFileName=ATA-RF~1.PDF</t>
        </is>
      </c>
      <c r="R13" t="inlineStr"/>
      <c r="S13" t="inlineStr"/>
      <c r="T13" t="inlineStr"/>
      <c r="U13" t="inlineStr"/>
      <c r="V13" t="inlineStr"/>
    </row>
    <row r="14">
      <c r="A14" s="2" t="n">
        <v>46177</v>
      </c>
      <c r="B14" t="n">
        <v>203</v>
      </c>
      <c r="C14" t="inlineStr">
        <is>
          <t>MAPW RFQ 051 / 2025 /26</t>
        </is>
      </c>
      <c r="D14" s="2" t="n">
        <v>46177</v>
      </c>
      <c r="E14" s="2" t="n">
        <v>46188</v>
      </c>
      <c r="F14" t="inlineStr">
        <is>
          <t>10:00</t>
        </is>
      </c>
      <c r="G14" t="inlineStr">
        <is>
          <t>Request for Quotation</t>
        </is>
      </c>
      <c r="H14" t="inlineStr">
        <is>
          <t>Re-Advertisement : Provision of Internet Connection at Phuthaditjhaba Office</t>
        </is>
      </c>
      <c r="I14" t="inlineStr">
        <is>
          <t>ETENDERS.GOV.ZA</t>
        </is>
      </c>
      <c r="J14" t="inlineStr">
        <is>
          <t>Maluti-a-Phofung Water</t>
        </is>
      </c>
      <c r="K14" t="inlineStr">
        <is>
          <t>Free State</t>
        </is>
      </c>
      <c r="L14" t="inlineStr">
        <is>
          <t>No</t>
        </is>
      </c>
      <c r="M14" t="inlineStr">
        <is>
          <t>Water supply; sewerage, waste management and remediation activities</t>
        </is>
      </c>
      <c r="N14" t="inlineStr">
        <is>
          <t>No</t>
        </is>
      </c>
      <c r="O14" t="inlineStr">
        <is>
          <t>No</t>
        </is>
      </c>
      <c r="P14" t="inlineStr">
        <is>
          <t>N/A</t>
        </is>
      </c>
      <c r="Q14" s="3" t="inlineStr">
        <is>
          <t>https://www.etenders.gov.za/home/Download/?blobName=701b19a6-5739-418d-ac69-9fd5baceafb6.pdf&amp;downloadedFileName=MAPW%20RFQ%20051%20INTERNET%20CONNECTION.pdf</t>
        </is>
      </c>
      <c r="R14" t="inlineStr"/>
      <c r="S14" t="inlineStr"/>
      <c r="T14" t="inlineStr"/>
      <c r="U14" t="inlineStr"/>
      <c r="V14" t="inlineStr"/>
    </row>
    <row r="15">
      <c r="A15" s="2" t="n">
        <v>46177</v>
      </c>
      <c r="B15" t="n">
        <v>202</v>
      </c>
      <c r="C15" t="inlineStr">
        <is>
          <t>E2372GXNOURR</t>
        </is>
      </c>
      <c r="D15" s="2" t="n">
        <v>46177</v>
      </c>
      <c r="E15" s="2" t="n">
        <v>46198</v>
      </c>
      <c r="F15" t="inlineStr">
        <is>
          <t>10:00</t>
        </is>
      </c>
      <c r="G15" t="inlineStr">
        <is>
          <t>Request for Bid(Open-Tender)</t>
        </is>
      </c>
      <c r="H15" t="inlineStr">
        <is>
          <t>The supply and delivery of Radiation Protection Products on an “as and when” required basis to the Nuclear Operating Unit for a period of five (5) years.</t>
        </is>
      </c>
      <c r="I15" t="inlineStr">
        <is>
          <t>ETENDERS.GOV.ZA</t>
        </is>
      </c>
      <c r="J15" t="inlineStr">
        <is>
          <t>ESKOM</t>
        </is>
      </c>
      <c r="K15" t="inlineStr">
        <is>
          <t>Western Cape</t>
        </is>
      </c>
      <c r="L15" t="inlineStr">
        <is>
          <t>No</t>
        </is>
      </c>
      <c r="M15" t="inlineStr">
        <is>
          <t>Other manufacturing</t>
        </is>
      </c>
      <c r="N15" t="inlineStr">
        <is>
          <t>Yes</t>
        </is>
      </c>
      <c r="O15" t="inlineStr">
        <is>
          <t>No</t>
        </is>
      </c>
      <c r="P15" t="inlineStr">
        <is>
          <t>Microsoft teams online</t>
        </is>
      </c>
      <c r="Q15" s="3" t="inlineStr">
        <is>
          <t>https://www.etenders.gov.za/home/Download/?blobName=ba56ddd1-7244-4038-ad18-953a5273d435.zip&amp;downloadedFileName=TENDER%20DOCUMENTS%20FOR%20RADIATION%20PROTECTION%20PRODUCTS.zip</t>
        </is>
      </c>
      <c r="R15" t="inlineStr"/>
      <c r="S15" t="inlineStr"/>
      <c r="T15" t="inlineStr"/>
      <c r="U15" t="inlineStr"/>
      <c r="V15" t="inlineStr"/>
    </row>
    <row r="16">
      <c r="A16" s="2" t="n">
        <v>46177</v>
      </c>
      <c r="B16" t="n">
        <v>201</v>
      </c>
      <c r="C16" t="inlineStr">
        <is>
          <t>E3014CXMWP</t>
        </is>
      </c>
      <c r="D16" s="2" t="n">
        <v>46177</v>
      </c>
      <c r="E16" s="2" t="n">
        <v>46197</v>
      </c>
      <c r="F16" t="inlineStr">
        <is>
          <t>10:00</t>
        </is>
      </c>
      <c r="G16" t="inlineStr">
        <is>
          <t>Request for Bid(Open-Tender)</t>
        </is>
      </c>
      <c r="H16" t="inlineStr">
        <is>
          <t>THE PROVISION OF LOSS ADJUSTER SERVICES FOR ESCAP SOC LTD (“Escap”) - A Captive Insurance Company TO ESKOM HOLDINGS FOR A PERIOD OF FIVE (05) YEARS</t>
        </is>
      </c>
      <c r="I16" t="inlineStr">
        <is>
          <t>ETENDERS.GOV.ZA</t>
        </is>
      </c>
      <c r="J16" t="inlineStr">
        <is>
          <t>ESKOM</t>
        </is>
      </c>
      <c r="K16" t="inlineStr">
        <is>
          <t>National</t>
        </is>
      </c>
      <c r="L16" t="inlineStr">
        <is>
          <t>No</t>
        </is>
      </c>
      <c r="M16" t="inlineStr">
        <is>
          <t>Electricity, gas, steam and air conditioning</t>
        </is>
      </c>
      <c r="N16" t="inlineStr">
        <is>
          <t>Yes</t>
        </is>
      </c>
      <c r="O16" t="inlineStr">
        <is>
          <t>No</t>
        </is>
      </c>
      <c r="P16" t="inlineStr">
        <is>
          <t>https://teams.microsoft.com/meet/312777772879546?p=4oOzFAPB5i8OA23xkR</t>
        </is>
      </c>
      <c r="Q16" s="3" t="inlineStr">
        <is>
          <t>https://www.etenders.gov.za/home/Download/?blobName=fedc1212-2add-40f3-930d-500f26dab0c5.pdf&amp;downloadedFileName=NEC3%20PSC_Loss%20Adjusting%20Services.pdf</t>
        </is>
      </c>
      <c r="R16" t="inlineStr"/>
      <c r="S16" t="inlineStr"/>
      <c r="T16" t="inlineStr"/>
      <c r="U16" t="inlineStr"/>
      <c r="V16" t="inlineStr"/>
    </row>
    <row r="17">
      <c r="A17" s="2" t="n">
        <v>46177</v>
      </c>
      <c r="B17" t="n">
        <v>200</v>
      </c>
      <c r="C17" t="inlineStr">
        <is>
          <t>E1795CXMWPR</t>
        </is>
      </c>
      <c r="D17" s="2" t="n">
        <v>46177</v>
      </c>
      <c r="E17" s="2" t="n">
        <v>46195</v>
      </c>
      <c r="F17" t="inlineStr">
        <is>
          <t>10:00</t>
        </is>
      </c>
      <c r="G17" t="inlineStr">
        <is>
          <t>Request for Bid(Limited-Tender</t>
        </is>
      </c>
      <c r="H17" t="inlineStr">
        <is>
          <t>PROVISION OF 24/7 ARMED CLOSE PROTECTION OFFICERS ON “AS AND WHEN” REQUIRED BASIS FOR THE PERIOD OF THREE (3) YEARS.</t>
        </is>
      </c>
      <c r="I17" t="inlineStr">
        <is>
          <t>ETENDERS.GOV.ZA</t>
        </is>
      </c>
      <c r="J17" t="inlineStr">
        <is>
          <t>ESKOM</t>
        </is>
      </c>
      <c r="K17" t="inlineStr">
        <is>
          <t>National</t>
        </is>
      </c>
      <c r="L17" t="inlineStr">
        <is>
          <t>No</t>
        </is>
      </c>
      <c r="M17" t="inlineStr">
        <is>
          <t>Security and investigation activities</t>
        </is>
      </c>
      <c r="N17" t="inlineStr">
        <is>
          <t>Yes</t>
        </is>
      </c>
      <c r="O17" t="inlineStr">
        <is>
          <t>No</t>
        </is>
      </c>
      <c r="P17" t="inlineStr">
        <is>
          <t>Link: https://teams.microsoft.com/meet/367682</t>
        </is>
      </c>
      <c r="Q17" s="3" t="inlineStr">
        <is>
          <t>https://www.etenders.gov.za/home/Download/?blobName=4384dadd-be1d-4651-9725-5302aae1f442.pdf&amp;downloadedFileName=240-105658000%20Supplier%20Quality%20Management%20Specification%20(3).pdf</t>
        </is>
      </c>
      <c r="R17" t="inlineStr"/>
      <c r="S17" t="inlineStr"/>
      <c r="T17" t="inlineStr"/>
      <c r="U17" t="inlineStr"/>
      <c r="V17" t="inlineStr"/>
    </row>
    <row r="18">
      <c r="A18" s="2" t="n">
        <v>46177</v>
      </c>
      <c r="B18" t="n">
        <v>199</v>
      </c>
      <c r="C18" t="inlineStr">
        <is>
          <t>ALMT14/2025</t>
        </is>
      </c>
      <c r="D18" s="2" t="n">
        <v>46177</v>
      </c>
      <c r="E18" s="2" t="n">
        <v>46213</v>
      </c>
      <c r="F18" t="inlineStr">
        <is>
          <t>12:00</t>
        </is>
      </c>
      <c r="G18" t="inlineStr">
        <is>
          <t>Request for Bid(Open-Tender)</t>
        </is>
      </c>
      <c r="H18" t="inlineStr">
        <is>
          <t>Construction of Empuluzi/Methula bulk water supply scheme in Chief Albert Luthuli Local Municipality, phase 1, Empuluzi Dam</t>
        </is>
      </c>
      <c r="I18" t="inlineStr">
        <is>
          <t>ETENDERS.GOV.ZA</t>
        </is>
      </c>
      <c r="J18" t="inlineStr">
        <is>
          <t>Chief Albert Luthuli Municipality</t>
        </is>
      </c>
      <c r="K18" t="inlineStr">
        <is>
          <t>Mpumalanga</t>
        </is>
      </c>
      <c r="L18" t="inlineStr">
        <is>
          <t>No</t>
        </is>
      </c>
      <c r="M18" t="inlineStr">
        <is>
          <t>Civil engineering</t>
        </is>
      </c>
      <c r="N18" t="inlineStr">
        <is>
          <t>Yes</t>
        </is>
      </c>
      <c r="O18" t="inlineStr">
        <is>
          <t>Yes</t>
        </is>
      </c>
      <c r="P18" t="inlineStr">
        <is>
          <t>Chief Albert Luthuli Municipality, Mpuluzi Unit Offices, Mayflower 2335</t>
        </is>
      </c>
      <c r="Q18" s="3" t="inlineStr">
        <is>
          <t>https://www.etenders.gov.za/home/Download/?blobName=962492bf-240d-45f4-87dc-c93b5c1ba101.pdf&amp;downloadedFileName=Tender%20Closing%2010%20July%202026.pdf</t>
        </is>
      </c>
      <c r="R18" t="inlineStr"/>
      <c r="S18" t="inlineStr"/>
      <c r="T18" t="inlineStr"/>
      <c r="U18" t="inlineStr"/>
      <c r="V18" t="inlineStr"/>
    </row>
    <row r="19">
      <c r="A19" s="2" t="n">
        <v>46177</v>
      </c>
      <c r="B19" t="n">
        <v>198</v>
      </c>
      <c r="C19" t="inlineStr">
        <is>
          <t>GMT053/25-26</t>
        </is>
      </c>
      <c r="D19" s="2" t="n">
        <v>46177</v>
      </c>
      <c r="E19" s="2" t="n">
        <v>46213</v>
      </c>
      <c r="F19" t="inlineStr">
        <is>
          <t>12:00</t>
        </is>
      </c>
      <c r="G19" t="inlineStr">
        <is>
          <t>Request for Bid(Open-Tender)</t>
        </is>
      </c>
      <c r="H19" t="inlineStr">
        <is>
          <t>Upgrading of Schaapkop 132/66kv Substation in George</t>
        </is>
      </c>
      <c r="I19" t="inlineStr">
        <is>
          <t>ETENDERS.GOV.ZA</t>
        </is>
      </c>
      <c r="J19" t="inlineStr">
        <is>
          <t>George Municipality</t>
        </is>
      </c>
      <c r="K19" t="inlineStr">
        <is>
          <t>Western Cape</t>
        </is>
      </c>
      <c r="L19" t="inlineStr">
        <is>
          <t>No</t>
        </is>
      </c>
      <c r="M19" t="inlineStr">
        <is>
          <t>Other service activities</t>
        </is>
      </c>
      <c r="N19" t="inlineStr">
        <is>
          <t>Yes</t>
        </is>
      </c>
      <c r="O19" t="inlineStr">
        <is>
          <t>Yes</t>
        </is>
      </c>
      <c r="P19" t="inlineStr">
        <is>
          <t>Conference Hall at George Municipality’s Civic Centre, York Street, George</t>
        </is>
      </c>
      <c r="Q19" s="3" t="inlineStr">
        <is>
          <t>https://www.etenders.gov.za/home/Download/?blobName=e7f6bad9-b925-47f5-9c13-513572136672.pdf&amp;downloadedFileName=GMT053%20of%2025-26%20-%20ADVERT.pdf</t>
        </is>
      </c>
      <c r="R19" t="inlineStr"/>
      <c r="S19" t="inlineStr"/>
      <c r="T19" t="inlineStr"/>
      <c r="U19" t="inlineStr"/>
      <c r="V19" t="inlineStr"/>
    </row>
    <row r="20">
      <c r="A20" s="2" t="n">
        <v>46177</v>
      </c>
      <c r="B20" t="n">
        <v>197</v>
      </c>
      <c r="C20" t="inlineStr">
        <is>
          <t>GMT049/25-26</t>
        </is>
      </c>
      <c r="D20" s="2" t="n">
        <v>46177</v>
      </c>
      <c r="E20" s="2" t="n">
        <v>46209</v>
      </c>
      <c r="F20" t="inlineStr">
        <is>
          <t>12:00</t>
        </is>
      </c>
      <c r="G20" t="inlineStr">
        <is>
          <t>Request for Bid(Open-Tender)</t>
        </is>
      </c>
      <c r="H20" t="inlineStr">
        <is>
          <t>GMT049/25-26 - Tender for the Supply and Delivery of Building Material for Flood and Fire Emergencies, as and when required, for a period of three (3) years from date of appointment.</t>
        </is>
      </c>
      <c r="I20" t="inlineStr">
        <is>
          <t>ETENDERS.GOV.ZA</t>
        </is>
      </c>
      <c r="J20" t="inlineStr">
        <is>
          <t>George Municipality</t>
        </is>
      </c>
      <c r="K20" t="inlineStr">
        <is>
          <t>Western Cape</t>
        </is>
      </c>
      <c r="L20" t="inlineStr">
        <is>
          <t>No</t>
        </is>
      </c>
      <c r="M20" t="inlineStr">
        <is>
          <t>Other service activities</t>
        </is>
      </c>
      <c r="N20" t="inlineStr">
        <is>
          <t>No</t>
        </is>
      </c>
      <c r="O20" t="inlineStr">
        <is>
          <t>No</t>
        </is>
      </c>
      <c r="P20" t="inlineStr">
        <is>
          <t>N/A</t>
        </is>
      </c>
      <c r="Q20" s="3" t="inlineStr">
        <is>
          <t>https://www.etenders.gov.za/home/Download/?blobName=d182bf98-fa86-4ff2-84a1-56526fbcb904.pdf&amp;downloadedFileName=GMT049_25-26%20-%20Advert_25%20May%202026%20-%20Final.pdf</t>
        </is>
      </c>
      <c r="R20" t="inlineStr"/>
      <c r="S20" t="inlineStr"/>
      <c r="T20" t="inlineStr"/>
      <c r="U20" t="inlineStr"/>
      <c r="V20" t="inlineStr"/>
    </row>
    <row r="21">
      <c r="A21" s="2" t="n">
        <v>46177</v>
      </c>
      <c r="B21" t="n">
        <v>196</v>
      </c>
      <c r="C21" t="inlineStr">
        <is>
          <t>DARD05/2026</t>
        </is>
      </c>
      <c r="D21" s="2" t="n">
        <v>46177</v>
      </c>
      <c r="E21" s="2" t="n">
        <v>46202</v>
      </c>
      <c r="F21" t="inlineStr">
        <is>
          <t>11:00</t>
        </is>
      </c>
      <c r="G21" t="inlineStr">
        <is>
          <t>Request for Bid(Open-Tender)</t>
        </is>
      </c>
      <c r="H21" t="inlineStr">
        <is>
          <t>Appointment of the Panel of Contractors for the Rehabilitation and Construction of New Diptanks in Various Districts of KwaZulu Natal the Period of Thirty-Six (36) Months</t>
        </is>
      </c>
      <c r="I21" t="inlineStr">
        <is>
          <t>ETENDERS.GOV.ZA</t>
        </is>
      </c>
      <c r="J21" t="inlineStr">
        <is>
          <t>Kwazulu Natal - Department of Agriculture and Rural Develeopment</t>
        </is>
      </c>
      <c r="K21" t="inlineStr">
        <is>
          <t>KwaZulu-Natal</t>
        </is>
      </c>
      <c r="L21" t="inlineStr">
        <is>
          <t>No</t>
        </is>
      </c>
      <c r="M21" t="inlineStr">
        <is>
          <t>Other service activities</t>
        </is>
      </c>
      <c r="N21" t="inlineStr">
        <is>
          <t>No</t>
        </is>
      </c>
      <c r="O21" t="inlineStr">
        <is>
          <t>No</t>
        </is>
      </c>
      <c r="P21" t="inlineStr">
        <is>
          <t>N/A</t>
        </is>
      </c>
      <c r="Q21" s="3" t="inlineStr">
        <is>
          <t>https://www.etenders.gov.za/home/Download/?blobName=0d515a98-96b4-45f7-aa0d-032c37941c61.pdf&amp;downloadedFileName=DARD05.2026.pdf</t>
        </is>
      </c>
      <c r="R21" t="inlineStr"/>
      <c r="S21" t="inlineStr"/>
      <c r="T21" t="inlineStr"/>
      <c r="U21" t="inlineStr"/>
      <c r="V21" t="inlineStr"/>
    </row>
    <row r="22">
      <c r="A22" s="2" t="n">
        <v>46177</v>
      </c>
      <c r="B22" t="n">
        <v>195</v>
      </c>
      <c r="C22" t="inlineStr">
        <is>
          <t>DARD06/2026</t>
        </is>
      </c>
      <c r="D22" s="2" t="n">
        <v>46177</v>
      </c>
      <c r="E22" s="2" t="n">
        <v>46202</v>
      </c>
      <c r="F22" t="inlineStr">
        <is>
          <t>11:00</t>
        </is>
      </c>
      <c r="G22" t="inlineStr">
        <is>
          <t>Request for Bid(Open-Tender)</t>
        </is>
      </c>
      <c r="H22" t="inlineStr">
        <is>
          <t>Establishment of Contractors Panel to Assist KZN Department of Agriculture and Rural Development with Drilling and Equipping of Boreholes for the Period of Thirty-Six (36) Months</t>
        </is>
      </c>
      <c r="I22" t="inlineStr">
        <is>
          <t>ETENDERS.GOV.ZA</t>
        </is>
      </c>
      <c r="J22" t="inlineStr">
        <is>
          <t>Kwazulu Natal - Department of Agriculture and Rural Develeopment</t>
        </is>
      </c>
      <c r="K22" t="inlineStr">
        <is>
          <t>KwaZulu-Natal</t>
        </is>
      </c>
      <c r="L22" t="inlineStr">
        <is>
          <t>No</t>
        </is>
      </c>
      <c r="M22" t="inlineStr">
        <is>
          <t>Other service activities</t>
        </is>
      </c>
      <c r="N22" t="inlineStr">
        <is>
          <t>No</t>
        </is>
      </c>
      <c r="O22" t="inlineStr">
        <is>
          <t>No</t>
        </is>
      </c>
      <c r="P22" t="inlineStr">
        <is>
          <t>N/A</t>
        </is>
      </c>
      <c r="Q22" s="3" t="inlineStr">
        <is>
          <t>https://www.etenders.gov.za/home/Download/?blobName=38ec278e-ca49-4803-bb76-776ad8e90b79.pdf&amp;downloadedFileName=DARD06.2026.pdf</t>
        </is>
      </c>
      <c r="R22" t="inlineStr"/>
      <c r="S22" t="inlineStr"/>
      <c r="T22" t="inlineStr"/>
      <c r="U22" t="inlineStr"/>
      <c r="V22" t="inlineStr"/>
    </row>
    <row r="23">
      <c r="A23" s="2" t="n">
        <v>46177</v>
      </c>
      <c r="B23" t="n">
        <v>194</v>
      </c>
      <c r="C23" t="inlineStr">
        <is>
          <t>COJ0111-25/26</t>
        </is>
      </c>
      <c r="D23" s="2" t="n">
        <v>46177</v>
      </c>
      <c r="E23" s="2" t="n">
        <v>46184</v>
      </c>
      <c r="F23" t="inlineStr">
        <is>
          <t>10:30</t>
        </is>
      </c>
      <c r="G23" t="inlineStr">
        <is>
          <t>Request for Quotation</t>
        </is>
      </c>
      <c r="H23" t="inlineStr">
        <is>
          <t>SUPPLY, DELIVERY AND OFFLOADING OF PAPER BOND WHITE A4</t>
        </is>
      </c>
      <c r="I23" t="inlineStr">
        <is>
          <t>ETENDERS.GOV.ZA</t>
        </is>
      </c>
      <c r="J23" t="inlineStr">
        <is>
          <t>City Council of Johannesburg</t>
        </is>
      </c>
      <c r="K23" t="inlineStr">
        <is>
          <t>Gauteng</t>
        </is>
      </c>
      <c r="L23" t="inlineStr">
        <is>
          <t>No</t>
        </is>
      </c>
      <c r="M23" t="inlineStr">
        <is>
          <t>Supplies: Stationery/Printing</t>
        </is>
      </c>
      <c r="N23" t="inlineStr">
        <is>
          <t>No</t>
        </is>
      </c>
      <c r="O23" t="inlineStr">
        <is>
          <t>No</t>
        </is>
      </c>
      <c r="P23" t="inlineStr">
        <is>
          <t>N/A</t>
        </is>
      </c>
      <c r="Q23" s="3" t="inlineStr">
        <is>
          <t>https://www.etenders.gov.za/home/Download/?blobName=4b008915-7c83-4e45-940b-c5582064a07f.pdf&amp;downloadedFileName=COJ0111-25-26%20%20A4%20PAPER.pdf</t>
        </is>
      </c>
      <c r="R23" t="inlineStr"/>
      <c r="S23" t="inlineStr"/>
      <c r="T23" t="inlineStr"/>
      <c r="U23" t="inlineStr"/>
      <c r="V23" t="inlineStr"/>
    </row>
    <row r="24">
      <c r="A24" s="2" t="n">
        <v>46177</v>
      </c>
      <c r="B24" t="n">
        <v>193</v>
      </c>
      <c r="C24" t="inlineStr">
        <is>
          <t>COJ0112-25/26</t>
        </is>
      </c>
      <c r="D24" s="2" t="n">
        <v>46177</v>
      </c>
      <c r="E24" s="2" t="n">
        <v>46184</v>
      </c>
      <c r="F24" t="inlineStr">
        <is>
          <t>10:30</t>
        </is>
      </c>
      <c r="G24" t="inlineStr">
        <is>
          <t>Request for Quotation</t>
        </is>
      </c>
      <c r="H24" t="inlineStr">
        <is>
          <t>DESIGN, LAYOUT, PRINT, PACKAGE, SUPPLY, DELIVERY AND OFFLOADING OF JOZI IHLOMILE REPORTING TOOLS FOR THE CITY OF JOHANNESBURG HEALTH DEPARTMENT.</t>
        </is>
      </c>
      <c r="I24" t="inlineStr">
        <is>
          <t>ETENDERS.GOV.ZA</t>
        </is>
      </c>
      <c r="J24" t="inlineStr">
        <is>
          <t>City Council of Johannesburg</t>
        </is>
      </c>
      <c r="K24" t="inlineStr">
        <is>
          <t>Gauteng</t>
        </is>
      </c>
      <c r="L24" t="inlineStr">
        <is>
          <t>No</t>
        </is>
      </c>
      <c r="M24" t="inlineStr">
        <is>
          <t>Supplies: General</t>
        </is>
      </c>
      <c r="N24" t="inlineStr">
        <is>
          <t>No</t>
        </is>
      </c>
      <c r="O24" t="inlineStr">
        <is>
          <t>No</t>
        </is>
      </c>
      <c r="P24" t="inlineStr">
        <is>
          <t>N/A</t>
        </is>
      </c>
      <c r="Q24" s="3" t="inlineStr">
        <is>
          <t>https://www.etenders.gov.za/home/Download/?blobName=e2bac974-476a-46b1-b1d7-76d8fc08c007.pdf&amp;downloadedFileName=COJ0112-25-26%20JOZI%20IHLOMILE%20REPORTING.pdf</t>
        </is>
      </c>
      <c r="R24" t="inlineStr"/>
      <c r="S24" t="inlineStr"/>
      <c r="T24" t="inlineStr"/>
      <c r="U24" t="inlineStr"/>
      <c r="V24" t="inlineStr"/>
    </row>
    <row r="25">
      <c r="A25" s="2" t="n">
        <v>46177</v>
      </c>
      <c r="B25" t="n">
        <v>192</v>
      </c>
      <c r="C25" t="inlineStr">
        <is>
          <t>COJ0113-25/26</t>
        </is>
      </c>
      <c r="D25" s="2" t="n">
        <v>46177</v>
      </c>
      <c r="E25" s="2" t="n">
        <v>46184</v>
      </c>
      <c r="F25" t="inlineStr">
        <is>
          <t>10:30</t>
        </is>
      </c>
      <c r="G25" t="inlineStr">
        <is>
          <t>Request for Quotation</t>
        </is>
      </c>
      <c r="H25" t="inlineStr">
        <is>
          <t>REQUEST FOR THE APPOINTMENT OF A SERVICE PROVIDER TO PROVIDE ADOBE SOFTWARE LICENSE</t>
        </is>
      </c>
      <c r="I25" t="inlineStr">
        <is>
          <t>ETENDERS.GOV.ZA</t>
        </is>
      </c>
      <c r="J25" t="inlineStr">
        <is>
          <t>City Council of Johannesburg</t>
        </is>
      </c>
      <c r="K25" t="inlineStr">
        <is>
          <t>Gauteng</t>
        </is>
      </c>
      <c r="L25" t="inlineStr">
        <is>
          <t>No</t>
        </is>
      </c>
      <c r="M25" t="inlineStr">
        <is>
          <t>Services: General</t>
        </is>
      </c>
      <c r="N25" t="inlineStr">
        <is>
          <t>No</t>
        </is>
      </c>
      <c r="O25" t="inlineStr">
        <is>
          <t>No</t>
        </is>
      </c>
      <c r="P25" t="inlineStr">
        <is>
          <t>N/A</t>
        </is>
      </c>
      <c r="Q25" s="3" t="inlineStr">
        <is>
          <t>https://www.etenders.gov.za/home/Download/?blobName=9436fa80-720d-4c16-9f86-6c789f0cd858.docx&amp;downloadedFileName=COJ0113-25-26%20ADOBE%20LICENSE.docx</t>
        </is>
      </c>
      <c r="R25" t="inlineStr"/>
      <c r="S25" t="inlineStr"/>
      <c r="T25" t="inlineStr"/>
      <c r="U25" t="inlineStr"/>
      <c r="V25" t="inlineStr"/>
    </row>
    <row r="26">
      <c r="A26" s="2" t="n">
        <v>46177</v>
      </c>
      <c r="B26" t="n">
        <v>191</v>
      </c>
      <c r="C26" t="inlineStr">
        <is>
          <t>T06-06-26</t>
        </is>
      </c>
      <c r="D26" s="2" t="n">
        <v>46177</v>
      </c>
      <c r="E26" s="2" t="n">
        <v>46203</v>
      </c>
      <c r="F26" t="inlineStr">
        <is>
          <t>11:00</t>
        </is>
      </c>
      <c r="G26" t="inlineStr">
        <is>
          <t>Request for Bid(Open-Tender)</t>
        </is>
      </c>
      <c r="H26" t="inlineStr">
        <is>
          <t>T06-06-26: REQUEST FOR ACCREDITATION (RFA): REFRESH OF THE EXECUTIVE SEARCH PANEL FOR A PERIOD ALIGNED WITH THE EXISTING SERVICE LEVEL AGREEMENT</t>
        </is>
      </c>
      <c r="I26" t="inlineStr">
        <is>
          <t>ETENDERS.GOV.ZA</t>
        </is>
      </c>
      <c r="J26" t="inlineStr">
        <is>
          <t>Land and Agricultural Development Bank of South Africa</t>
        </is>
      </c>
      <c r="K26" t="inlineStr">
        <is>
          <t>National</t>
        </is>
      </c>
      <c r="L26" t="inlineStr">
        <is>
          <t>No</t>
        </is>
      </c>
      <c r="M26" t="inlineStr">
        <is>
          <t>Administrative and support activities</t>
        </is>
      </c>
      <c r="N26" t="inlineStr">
        <is>
          <t>Yes</t>
        </is>
      </c>
      <c r="O26" t="inlineStr">
        <is>
          <t>No</t>
        </is>
      </c>
      <c r="P26" t="inlineStr">
        <is>
          <t>https://teams.microsoft.com/meet/38705232837885?p=q6QxsPNkMtXkVYqtHp</t>
        </is>
      </c>
      <c r="Q26" s="3" t="inlineStr">
        <is>
          <t>https://www.etenders.gov.za/home/Download/?blobName=c24010cc-2bbb-4055-b128-0fc4a0dc09aa.pdf&amp;downloadedFileName=ANNEXURE%20G%20-%20SLA.pdf</t>
        </is>
      </c>
      <c r="R26" t="inlineStr"/>
      <c r="S26" t="inlineStr"/>
      <c r="T26" t="inlineStr"/>
      <c r="U26" t="inlineStr"/>
      <c r="V26" t="inlineStr"/>
    </row>
    <row r="27">
      <c r="A27" s="2" t="n">
        <v>46177</v>
      </c>
      <c r="B27" t="n">
        <v>190</v>
      </c>
      <c r="C27" t="inlineStr">
        <is>
          <t>SCM/1346/G/2025-2026</t>
        </is>
      </c>
      <c r="D27" s="2" t="n">
        <v>46177</v>
      </c>
      <c r="E27" s="2" t="n">
        <v>46212</v>
      </c>
      <c r="F27" t="inlineStr">
        <is>
          <t>11:00</t>
        </is>
      </c>
      <c r="G27" t="inlineStr">
        <is>
          <t>Request for Quotation</t>
        </is>
      </c>
      <c r="H27" t="inlineStr">
        <is>
          <t>SUPPLY AND DELIVERY OF ELECTRICAL PRODUCTS FOR UNDERGROUND AND OVERHEAD SYSTEMS</t>
        </is>
      </c>
      <c r="I27" t="inlineStr">
        <is>
          <t>ETENDERS.GOV.ZA</t>
        </is>
      </c>
      <c r="J27" t="inlineStr">
        <is>
          <t>Nelson Mandela Bay Municipality</t>
        </is>
      </c>
      <c r="K27" t="inlineStr">
        <is>
          <t>Eastern Cape</t>
        </is>
      </c>
      <c r="L27" t="inlineStr">
        <is>
          <t>No</t>
        </is>
      </c>
      <c r="M27" t="inlineStr">
        <is>
          <t>Supplies: Electrical Equipment</t>
        </is>
      </c>
      <c r="N27" t="inlineStr">
        <is>
          <t>No</t>
        </is>
      </c>
      <c r="O27" t="inlineStr">
        <is>
          <t>No</t>
        </is>
      </c>
      <c r="P27" t="inlineStr">
        <is>
          <t>N/A</t>
        </is>
      </c>
      <c r="Q27" s="3" t="inlineStr">
        <is>
          <t>https://www.etenders.gov.za/home/Download/?blobName=e09c0147-6ee1-4f44-aff2-7619dbf46e38.pdf&amp;downloadedFileName=Advert%2003-06-2026._%20(002).pdf</t>
        </is>
      </c>
      <c r="R27" t="inlineStr"/>
      <c r="S27" t="inlineStr"/>
      <c r="T27" t="inlineStr"/>
      <c r="U27" t="inlineStr"/>
      <c r="V27" t="inlineStr"/>
    </row>
    <row r="28">
      <c r="A28" s="2" t="n">
        <v>46177</v>
      </c>
      <c r="B28" t="n">
        <v>189</v>
      </c>
      <c r="C28" t="inlineStr">
        <is>
          <t>SCM/1360/S/2025-2026</t>
        </is>
      </c>
      <c r="D28" s="2" t="n">
        <v>46177</v>
      </c>
      <c r="E28" s="2" t="n">
        <v>46212</v>
      </c>
      <c r="F28" t="inlineStr">
        <is>
          <t>11:00</t>
        </is>
      </c>
      <c r="G28" t="inlineStr">
        <is>
          <t>Request for Quotation</t>
        </is>
      </c>
      <c r="H28" t="inlineStr">
        <is>
          <t>CALL FOR EXPRESSION OF INTEREST FOR REPAIRS AND MAINTENANCE OF VEHICLES FOR A PERIOD OF 36 MONTHS</t>
        </is>
      </c>
      <c r="I28" t="inlineStr">
        <is>
          <t>ETENDERS.GOV.ZA</t>
        </is>
      </c>
      <c r="J28" t="inlineStr">
        <is>
          <t>Nelson Mandela Bay Municipality</t>
        </is>
      </c>
      <c r="K28" t="inlineStr">
        <is>
          <t>Eastern Cape</t>
        </is>
      </c>
      <c r="L28" t="inlineStr">
        <is>
          <t>No</t>
        </is>
      </c>
      <c r="M28" t="inlineStr">
        <is>
          <t>Services: Professional</t>
        </is>
      </c>
      <c r="N28" t="inlineStr">
        <is>
          <t>No</t>
        </is>
      </c>
      <c r="O28" t="inlineStr">
        <is>
          <t>No</t>
        </is>
      </c>
      <c r="P28" t="inlineStr">
        <is>
          <t>N/A</t>
        </is>
      </c>
      <c r="Q28" s="3" t="inlineStr">
        <is>
          <t>https://www.etenders.gov.za/home/Download/?blobName=d9baca66-ab04-434a-ad41-6f8129cc864b.pdf&amp;downloadedFileName=Advert%2003-06-2026._%20(002).pdf</t>
        </is>
      </c>
      <c r="R28" t="inlineStr"/>
      <c r="S28" t="inlineStr"/>
      <c r="T28" t="inlineStr"/>
      <c r="U28" t="inlineStr"/>
      <c r="V28" t="inlineStr"/>
    </row>
    <row r="29">
      <c r="A29" s="2" t="n">
        <v>46177</v>
      </c>
      <c r="B29" t="n">
        <v>188</v>
      </c>
      <c r="C29" t="inlineStr">
        <is>
          <t>SCM-T-2026-27-001</t>
        </is>
      </c>
      <c r="D29" s="2" t="n">
        <v>46177</v>
      </c>
      <c r="E29" s="2" t="n">
        <v>46212</v>
      </c>
      <c r="F29" t="inlineStr">
        <is>
          <t>12:00</t>
        </is>
      </c>
      <c r="G29" t="inlineStr">
        <is>
          <t>Request for Bid(Open-Tender)</t>
        </is>
      </c>
      <c r="H29" t="inlineStr">
        <is>
          <t>LEASING OF OFFICE BUILDING FOR MUNICIPAL TRAFFIC DEPARTMENT</t>
        </is>
      </c>
      <c r="I29" t="inlineStr">
        <is>
          <t>ETENDERS.GOV.ZA</t>
        </is>
      </c>
      <c r="J29" t="inlineStr">
        <is>
          <t>Laingsburg Municipality</t>
        </is>
      </c>
      <c r="K29" t="inlineStr">
        <is>
          <t>Western Cape</t>
        </is>
      </c>
      <c r="L29" t="inlineStr">
        <is>
          <t>No</t>
        </is>
      </c>
      <c r="M29" t="inlineStr">
        <is>
          <t>Rental and leasing activities</t>
        </is>
      </c>
      <c r="N29" t="inlineStr">
        <is>
          <t>No</t>
        </is>
      </c>
      <c r="O29" t="inlineStr">
        <is>
          <t>No</t>
        </is>
      </c>
      <c r="P29" t="inlineStr">
        <is>
          <t>N/A</t>
        </is>
      </c>
      <c r="Q29" s="3" t="inlineStr">
        <is>
          <t>https://www.etenders.gov.za/home/Download/?blobName=f7ac8cc3-4af3-41f5-9837-27231929cad3.pdf&amp;downloadedFileName=SCM-T-2026-27-001%20-%20Final%20Notice.pdf</t>
        </is>
      </c>
      <c r="R29" t="inlineStr"/>
      <c r="S29" t="inlineStr"/>
      <c r="T29" t="inlineStr"/>
      <c r="U29" t="inlineStr"/>
      <c r="V29" t="inlineStr"/>
    </row>
    <row r="30">
      <c r="A30" s="2" t="n">
        <v>46177</v>
      </c>
      <c r="B30" t="n">
        <v>187</v>
      </c>
      <c r="C30" t="inlineStr">
        <is>
          <t>SCM-T-2026-27-002</t>
        </is>
      </c>
      <c r="D30" s="2" t="n">
        <v>46177</v>
      </c>
      <c r="E30" s="2" t="n">
        <v>46212</v>
      </c>
      <c r="F30" t="inlineStr">
        <is>
          <t>12:00</t>
        </is>
      </c>
      <c r="G30" t="inlineStr">
        <is>
          <t>Request for Bid(Open-Tender)</t>
        </is>
      </c>
      <c r="H30" t="inlineStr">
        <is>
          <t>PROVISION OF TRAVEL MANAGEMENT SERVICES</t>
        </is>
      </c>
      <c r="I30" t="inlineStr">
        <is>
          <t>ETENDERS.GOV.ZA</t>
        </is>
      </c>
      <c r="J30" t="inlineStr">
        <is>
          <t>Laingsburg Municipality</t>
        </is>
      </c>
      <c r="K30" t="inlineStr">
        <is>
          <t>Western Cape</t>
        </is>
      </c>
      <c r="L30" t="inlineStr">
        <is>
          <t>No</t>
        </is>
      </c>
      <c r="M30" t="inlineStr">
        <is>
          <t>Travel agency, tour operator, reservation service and related activities</t>
        </is>
      </c>
      <c r="N30" t="inlineStr">
        <is>
          <t>No</t>
        </is>
      </c>
      <c r="O30" t="inlineStr">
        <is>
          <t>No</t>
        </is>
      </c>
      <c r="P30" t="inlineStr">
        <is>
          <t>N/A</t>
        </is>
      </c>
      <c r="Q30" s="3" t="inlineStr">
        <is>
          <t>https://www.etenders.gov.za/home/Download/?blobName=6e505d84-f50d-46c1-bcfc-f4f734c60647.pdf&amp;downloadedFileName=SCM-T-2026-27-002%20-%20Final%20Notice.pdf</t>
        </is>
      </c>
      <c r="R30" t="inlineStr"/>
      <c r="S30" t="inlineStr"/>
      <c r="T30" t="inlineStr"/>
      <c r="U30" t="inlineStr"/>
      <c r="V30" t="inlineStr"/>
    </row>
    <row r="31">
      <c r="A31" s="2" t="n">
        <v>46177</v>
      </c>
      <c r="B31" t="n">
        <v>186</v>
      </c>
      <c r="C31" t="inlineStr">
        <is>
          <t>Q94-2025-26</t>
        </is>
      </c>
      <c r="D31" s="2" t="n">
        <v>46177</v>
      </c>
      <c r="E31" s="2" t="n">
        <v>46188</v>
      </c>
      <c r="F31" t="inlineStr">
        <is>
          <t>10:00</t>
        </is>
      </c>
      <c r="G31" t="inlineStr">
        <is>
          <t>Request for Quotation</t>
        </is>
      </c>
      <c r="H31" t="inlineStr">
        <is>
          <t>ADVERTISEMENT: APPOINTMENT OF A SERVICE PROVIDER TO SUPPLY PRINTING CONSUMABLES FOR CASHIERS CITYWIDE</t>
        </is>
      </c>
      <c r="I31" t="inlineStr">
        <is>
          <t>ETENDERS.GOV.ZA</t>
        </is>
      </c>
      <c r="J31" t="inlineStr">
        <is>
          <t>City of Tshwane</t>
        </is>
      </c>
      <c r="K31" t="inlineStr">
        <is>
          <t>Gauteng</t>
        </is>
      </c>
      <c r="L31" t="inlineStr">
        <is>
          <t>No</t>
        </is>
      </c>
      <c r="M31" t="inlineStr">
        <is>
          <t>Supplies: Computer Equipment</t>
        </is>
      </c>
      <c r="N31" t="inlineStr">
        <is>
          <t>No</t>
        </is>
      </c>
      <c r="O31" t="inlineStr">
        <is>
          <t>No</t>
        </is>
      </c>
      <c r="P31" t="inlineStr">
        <is>
          <t>N/A</t>
        </is>
      </c>
      <c r="Q31" s="3" t="inlineStr">
        <is>
          <t>https://www.etenders.gov.za/home/Download/?blobName=9b9fbbae-83d3-443e-9179-f4f2b02383e2.pdf&amp;downloadedFileName=Q94-2025-26%20QUOTATION%20DOCUMENT.pdf</t>
        </is>
      </c>
      <c r="R31" t="inlineStr"/>
      <c r="S31" t="inlineStr"/>
      <c r="T31" t="inlineStr"/>
      <c r="U31" t="inlineStr"/>
      <c r="V31" t="inlineStr"/>
    </row>
    <row r="32">
      <c r="A32" s="2" t="n">
        <v>46177</v>
      </c>
      <c r="B32" t="n">
        <v>185</v>
      </c>
      <c r="C32" t="inlineStr">
        <is>
          <t>NLM-QUO-26/096</t>
        </is>
      </c>
      <c r="D32" s="2" t="n">
        <v>46177</v>
      </c>
      <c r="E32" s="2" t="n">
        <v>46196</v>
      </c>
      <c r="F32" t="inlineStr">
        <is>
          <t>17:00</t>
        </is>
      </c>
      <c r="G32" t="inlineStr">
        <is>
          <t>Request for Quotation</t>
        </is>
      </c>
      <c r="H32" t="inlineStr">
        <is>
          <t>Request for quotation for Independent design Verification Services Overpack Steel Container for Transport of LLW Concrete Drums</t>
        </is>
      </c>
      <c r="I32" t="inlineStr">
        <is>
          <t>ETENDERS.GOV.ZA</t>
        </is>
      </c>
      <c r="J32" t="inlineStr">
        <is>
          <t>South African Nuclear Energy Corporation Limited</t>
        </is>
      </c>
      <c r="K32" t="inlineStr">
        <is>
          <t>North West</t>
        </is>
      </c>
      <c r="L32" t="inlineStr">
        <is>
          <t>No</t>
        </is>
      </c>
      <c r="M32" t="inlineStr">
        <is>
          <t>Other manufacturing</t>
        </is>
      </c>
      <c r="N32" t="inlineStr">
        <is>
          <t>No</t>
        </is>
      </c>
      <c r="O32" t="inlineStr">
        <is>
          <t>No</t>
        </is>
      </c>
      <c r="P32" t="inlineStr">
        <is>
          <t>N/A</t>
        </is>
      </c>
      <c r="Q32" s="3" t="inlineStr">
        <is>
          <t>https://www.etenders.gov.za/home/Download/?blobName=66ef53ce-dfe8-425e-a279-8c4f2bf84fde.pdf&amp;downloadedFileName=RFQ%20for%20Independent%20Design%20Verification%20Services%20Overpack%20Steel%20Container%20for%20Transport%20of%20LLW%20Concrete%20Drums.pdf</t>
        </is>
      </c>
      <c r="R32" t="inlineStr"/>
      <c r="S32" t="inlineStr"/>
      <c r="T32" t="inlineStr"/>
      <c r="U32" t="inlineStr"/>
      <c r="V32" t="inlineStr"/>
    </row>
    <row r="33">
      <c r="A33" s="2" t="n">
        <v>46177</v>
      </c>
      <c r="B33" t="n">
        <v>184</v>
      </c>
      <c r="C33" t="inlineStr">
        <is>
          <t>RFQ/MICT/19/2026</t>
        </is>
      </c>
      <c r="D33" s="2" t="n">
        <v>46177</v>
      </c>
      <c r="E33" s="2" t="n">
        <v>46182</v>
      </c>
      <c r="F33" t="inlineStr">
        <is>
          <t>11:00</t>
        </is>
      </c>
      <c r="G33" t="inlineStr">
        <is>
          <t>Request for Quotation</t>
        </is>
      </c>
      <c r="H33" t="inlineStr">
        <is>
          <t>APPOINTMENT OF A PANEL OF SERVICE PROVIDERS TO PROVIDE CATERING SERVICES FOR A PERIOD OF TWELVE 12 MONTHS</t>
        </is>
      </c>
      <c r="I33" t="inlineStr">
        <is>
          <t>ETENDERS.GOV.ZA</t>
        </is>
      </c>
      <c r="J33" t="inlineStr">
        <is>
          <t>Media, Information and Communication Technologies Sector Education and training Authority (MICT SETA)</t>
        </is>
      </c>
      <c r="K33" t="inlineStr">
        <is>
          <t>National</t>
        </is>
      </c>
      <c r="L33" t="inlineStr">
        <is>
          <t>No</t>
        </is>
      </c>
      <c r="M33" t="inlineStr">
        <is>
          <t>Food and beverage service activities</t>
        </is>
      </c>
      <c r="N33" t="inlineStr">
        <is>
          <t>No</t>
        </is>
      </c>
      <c r="O33" t="inlineStr">
        <is>
          <t>No</t>
        </is>
      </c>
      <c r="P33" t="inlineStr">
        <is>
          <t>N/A</t>
        </is>
      </c>
      <c r="Q33" s="3" t="inlineStr">
        <is>
          <t>https://www.etenders.gov.za/home/Download/?blobName=5de61010-6260-49b3-8049-c9181c4a2406.pdf&amp;downloadedFileName=RFQ-MICT-19-2026-PANEL%20OF%20CATERING%20SERVICES.pdf</t>
        </is>
      </c>
      <c r="R33" t="inlineStr"/>
      <c r="S33" t="inlineStr"/>
      <c r="T33" t="inlineStr"/>
      <c r="U33" t="inlineStr"/>
      <c r="V33" t="inlineStr"/>
    </row>
    <row r="34">
      <c r="A34" s="2" t="n">
        <v>46177</v>
      </c>
      <c r="B34" t="n">
        <v>183</v>
      </c>
      <c r="C34" t="inlineStr">
        <is>
          <t>NDWB 08/26/27</t>
        </is>
      </c>
      <c r="D34" s="2" t="n">
        <v>46177</v>
      </c>
      <c r="E34" s="2" t="n">
        <v>46209</v>
      </c>
      <c r="F34" t="inlineStr">
        <is>
          <t>12:00</t>
        </is>
      </c>
      <c r="G34" t="inlineStr">
        <is>
          <t>Request for Bid(Open-Tender)</t>
        </is>
      </c>
      <c r="H34" t="inlineStr">
        <is>
          <t>Provision of advertising for a period of 36 months</t>
        </is>
      </c>
      <c r="I34" t="inlineStr">
        <is>
          <t>ETENDERS.GOV.ZA</t>
        </is>
      </c>
      <c r="J34" t="inlineStr">
        <is>
          <t>Ndwedwe Local Municipality</t>
        </is>
      </c>
      <c r="K34" t="inlineStr">
        <is>
          <t>KwaZulu-Natal</t>
        </is>
      </c>
      <c r="L34" t="inlineStr">
        <is>
          <t>No</t>
        </is>
      </c>
      <c r="M34" t="inlineStr">
        <is>
          <t>Advertising and market research</t>
        </is>
      </c>
      <c r="N34" t="inlineStr">
        <is>
          <t>No</t>
        </is>
      </c>
      <c r="O34" t="inlineStr">
        <is>
          <t>No</t>
        </is>
      </c>
      <c r="P34" t="inlineStr">
        <is>
          <t>N/A</t>
        </is>
      </c>
      <c r="Q34" s="3" t="inlineStr">
        <is>
          <t>https://www.etenders.gov.za/home/Download/?blobName=6ebe3cd2-6a32-4467-9d17-388fa92011e6.pdf&amp;downloadedFileName=ADVERT%20FOR%20ADVERTISING,%20ICT%20MAINTENANCE%20AND%20INDIGENT%20(310mm%20High%20%20X%20%20158mm%20Wide%204column)%2031X5.pdf</t>
        </is>
      </c>
      <c r="R34" t="inlineStr"/>
      <c r="S34" t="inlineStr"/>
      <c r="T34" t="inlineStr"/>
      <c r="U34" t="inlineStr"/>
      <c r="V34" t="inlineStr"/>
    </row>
    <row r="35">
      <c r="A35" s="2" t="n">
        <v>46177</v>
      </c>
      <c r="B35" t="n">
        <v>182</v>
      </c>
      <c r="C35" t="inlineStr">
        <is>
          <t>NDWB 09/26/27</t>
        </is>
      </c>
      <c r="D35" s="2" t="n">
        <v>46177</v>
      </c>
      <c r="E35" s="2" t="n">
        <v>46209</v>
      </c>
      <c r="F35" t="inlineStr">
        <is>
          <t>12:00</t>
        </is>
      </c>
      <c r="G35" t="inlineStr">
        <is>
          <t>Request for Bid(Open-Tender)</t>
        </is>
      </c>
      <c r="H35" t="inlineStr">
        <is>
          <t>Re-advertisement of ICT infrastructure maintenance, support and professional services for a period of 36 months</t>
        </is>
      </c>
      <c r="I35" t="inlineStr">
        <is>
          <t>ETENDERS.GOV.ZA</t>
        </is>
      </c>
      <c r="J35" t="inlineStr">
        <is>
          <t>Ndwedwe Local Municipality</t>
        </is>
      </c>
      <c r="K35" t="inlineStr">
        <is>
          <t>KwaZulu-Natal</t>
        </is>
      </c>
      <c r="L35" t="inlineStr">
        <is>
          <t>No</t>
        </is>
      </c>
      <c r="M35" t="inlineStr">
        <is>
          <t>Computer programming, consultancy and related activities</t>
        </is>
      </c>
      <c r="N35" t="inlineStr">
        <is>
          <t>No</t>
        </is>
      </c>
      <c r="O35" t="inlineStr">
        <is>
          <t>No</t>
        </is>
      </c>
      <c r="P35" t="inlineStr">
        <is>
          <t>N/A</t>
        </is>
      </c>
      <c r="Q35" s="3" t="inlineStr">
        <is>
          <t>https://www.etenders.gov.za/home/Download/?blobName=b04a56ea-69b0-4197-bcad-395d7ccddca3.pdf&amp;downloadedFileName=ADVERT%20FOR%20ADVERTISING,%20ICT%20MAINTENANCE%20AND%20INDIGENT%20(310mm%20High%20%20X%20%20158mm%20Wide%204column)%2031X5.pdf</t>
        </is>
      </c>
      <c r="R35" t="inlineStr"/>
      <c r="S35" t="inlineStr"/>
      <c r="T35" t="inlineStr"/>
      <c r="U35" t="inlineStr"/>
      <c r="V35" t="inlineStr"/>
    </row>
    <row r="36">
      <c r="A36" s="2" t="n">
        <v>46177</v>
      </c>
      <c r="B36" t="n">
        <v>181</v>
      </c>
      <c r="C36" t="inlineStr">
        <is>
          <t>NDWB 10/26/27</t>
        </is>
      </c>
      <c r="D36" s="2" t="n">
        <v>46177</v>
      </c>
      <c r="E36" s="2" t="n">
        <v>46209</v>
      </c>
      <c r="F36" t="inlineStr">
        <is>
          <t>12:00</t>
        </is>
      </c>
      <c r="G36" t="inlineStr">
        <is>
          <t>Request for Bid(Open-Tender)</t>
        </is>
      </c>
      <c r="H36" t="inlineStr">
        <is>
          <t>Re-advertisement of Development and maintenance of indigent management system register for a period of 36 months</t>
        </is>
      </c>
      <c r="I36" t="inlineStr">
        <is>
          <t>ETENDERS.GOV.ZA</t>
        </is>
      </c>
      <c r="J36" t="inlineStr">
        <is>
          <t>Ndwedwe Local Municipality</t>
        </is>
      </c>
      <c r="K36" t="inlineStr">
        <is>
          <t>KwaZulu-Natal</t>
        </is>
      </c>
      <c r="L36" t="inlineStr">
        <is>
          <t>No</t>
        </is>
      </c>
      <c r="M36" t="inlineStr">
        <is>
          <t>Services: Professional</t>
        </is>
      </c>
      <c r="N36" t="inlineStr">
        <is>
          <t>No</t>
        </is>
      </c>
      <c r="O36" t="inlineStr">
        <is>
          <t>No</t>
        </is>
      </c>
      <c r="P36" t="inlineStr">
        <is>
          <t>N/A</t>
        </is>
      </c>
      <c r="Q36" s="3" t="inlineStr">
        <is>
          <t>https://www.etenders.gov.za/home/Download/?blobName=49134a1c-f135-47b1-8e4a-8dfb4f447584.pdf&amp;downloadedFileName=ADVERT%20FOR%20ADVERTISING,%20ICT%20MAINTENANCE%20AND%20INDIGENT%20(310mm%20High%20%20X%20%20158mm%20Wide%204column)%2031X5.pdf</t>
        </is>
      </c>
      <c r="R36" t="inlineStr"/>
      <c r="S36" t="inlineStr"/>
      <c r="T36" t="inlineStr"/>
      <c r="U36" t="inlineStr"/>
      <c r="V36" t="inlineStr"/>
    </row>
    <row r="37">
      <c r="A37" s="2" t="n">
        <v>46177</v>
      </c>
      <c r="B37" t="n">
        <v>180</v>
      </c>
      <c r="C37" t="inlineStr">
        <is>
          <t>SCM/1046/G/2022-2023</t>
        </is>
      </c>
      <c r="D37" s="2" t="n">
        <v>46177</v>
      </c>
      <c r="E37" s="2" t="n">
        <v>46212</v>
      </c>
      <c r="F37" t="inlineStr">
        <is>
          <t>11:00</t>
        </is>
      </c>
      <c r="G37" t="inlineStr">
        <is>
          <t>Request for Quotation</t>
        </is>
      </c>
      <c r="H37" t="inlineStr">
        <is>
          <t>SPECIALIZED FIRE FIGHTING VEHICLES</t>
        </is>
      </c>
      <c r="I37" t="inlineStr">
        <is>
          <t>ETENDERS.GOV.ZA</t>
        </is>
      </c>
      <c r="J37" t="inlineStr">
        <is>
          <t>Nelson Mandela Bay Municipality</t>
        </is>
      </c>
      <c r="K37" t="inlineStr">
        <is>
          <t>Eastern Cape</t>
        </is>
      </c>
      <c r="L37" t="inlineStr">
        <is>
          <t>No</t>
        </is>
      </c>
      <c r="M37" t="inlineStr">
        <is>
          <t>Manufacture of motor vehicles, trailers and semi-trailers</t>
        </is>
      </c>
      <c r="N37" t="inlineStr">
        <is>
          <t>No</t>
        </is>
      </c>
      <c r="O37" t="inlineStr">
        <is>
          <t>No</t>
        </is>
      </c>
      <c r="P37" t="inlineStr">
        <is>
          <t>N/A</t>
        </is>
      </c>
      <c r="Q37" s="3" t="inlineStr">
        <is>
          <t>https://www.etenders.gov.za/home/Download/?blobName=35d9f67e-90fb-488f-8b5f-c162a29d5d14.pdf&amp;downloadedFileName=Advert%2003-06-2026._%20(002).pdf</t>
        </is>
      </c>
      <c r="R37" t="inlineStr"/>
      <c r="S37" t="inlineStr"/>
      <c r="T37" t="inlineStr"/>
      <c r="U37" t="inlineStr"/>
      <c r="V37" t="inlineStr"/>
    </row>
    <row r="38">
      <c r="A38" s="2" t="n">
        <v>46177</v>
      </c>
      <c r="B38" t="n">
        <v>179</v>
      </c>
      <c r="C38" t="inlineStr">
        <is>
          <t>SCM/1235/S/2024-2025</t>
        </is>
      </c>
      <c r="D38" s="2" t="n">
        <v>46177</v>
      </c>
      <c r="E38" s="2" t="n">
        <v>46226</v>
      </c>
      <c r="F38" t="inlineStr">
        <is>
          <t>11:00</t>
        </is>
      </c>
      <c r="G38" t="inlineStr">
        <is>
          <t>Request for Quotation</t>
        </is>
      </c>
      <c r="H38" t="inlineStr">
        <is>
          <t>OCCASSIONAL HIRE OF PLANT / TRUCKS FOR RELOCATIONN OF HOUSEHOLDS AND THEIR BELONGINGS FROM STRESSED INFORMAL SETTLEMENTS TO HUMAN SETTLEMENTS PROJECTS</t>
        </is>
      </c>
      <c r="I38" t="inlineStr">
        <is>
          <t>ETENDERS.GOV.ZA</t>
        </is>
      </c>
      <c r="J38" t="inlineStr">
        <is>
          <t>Nelson Mandela Bay Municipality</t>
        </is>
      </c>
      <c r="K38" t="inlineStr">
        <is>
          <t>Eastern Cape</t>
        </is>
      </c>
      <c r="L38" t="inlineStr">
        <is>
          <t>No</t>
        </is>
      </c>
      <c r="M38" t="inlineStr">
        <is>
          <t>Supplies: General</t>
        </is>
      </c>
      <c r="N38" t="inlineStr">
        <is>
          <t>No</t>
        </is>
      </c>
      <c r="O38" t="inlineStr">
        <is>
          <t>No</t>
        </is>
      </c>
      <c r="P38" t="inlineStr">
        <is>
          <t>N/A</t>
        </is>
      </c>
      <c r="Q38" s="3" t="inlineStr">
        <is>
          <t>https://www.etenders.gov.za/home/Download/?blobName=a2898608-6787-4963-82a5-9724ed3eef3e.pdf&amp;downloadedFileName=Advert%2003-06-2026._%20(002).pdf</t>
        </is>
      </c>
      <c r="R38" t="inlineStr"/>
      <c r="S38" t="inlineStr"/>
      <c r="T38" t="inlineStr"/>
      <c r="U38" t="inlineStr"/>
      <c r="V38" t="inlineStr"/>
    </row>
    <row r="39">
      <c r="A39" s="2" t="n">
        <v>46177</v>
      </c>
      <c r="B39" t="n">
        <v>178</v>
      </c>
      <c r="C39" t="inlineStr">
        <is>
          <t>SCM/1339/S/2025-2026</t>
        </is>
      </c>
      <c r="D39" s="2" t="n">
        <v>46177</v>
      </c>
      <c r="E39" s="2" t="n">
        <v>46226</v>
      </c>
      <c r="F39" t="inlineStr">
        <is>
          <t>11:00</t>
        </is>
      </c>
      <c r="G39" t="inlineStr">
        <is>
          <t>Request for Quotation</t>
        </is>
      </c>
      <c r="H39" t="inlineStr">
        <is>
          <t>SUPPLY AND DELIVERY OF TEMPO CONSUMABLES, SPARE PARTS AND MAINTENANCE THEREOF, FOR THE MICROBIOLOGICAL ANALYSES OF FOOD AND ENVIRONMENTAL SAMPLES</t>
        </is>
      </c>
      <c r="I39" t="inlineStr">
        <is>
          <t>ETENDERS.GOV.ZA</t>
        </is>
      </c>
      <c r="J39" t="inlineStr">
        <is>
          <t>Nelson Mandela Bay Municipality</t>
        </is>
      </c>
      <c r="K39" t="inlineStr">
        <is>
          <t>Eastern Cape</t>
        </is>
      </c>
      <c r="L39" t="inlineStr">
        <is>
          <t>No</t>
        </is>
      </c>
      <c r="M39" t="inlineStr">
        <is>
          <t>Supplies: General</t>
        </is>
      </c>
      <c r="N39" t="inlineStr">
        <is>
          <t>No</t>
        </is>
      </c>
      <c r="O39" t="inlineStr">
        <is>
          <t>No</t>
        </is>
      </c>
      <c r="P39" t="inlineStr">
        <is>
          <t>N/A</t>
        </is>
      </c>
      <c r="Q39" s="3" t="inlineStr">
        <is>
          <t>https://www.etenders.gov.za/home/Download/?blobName=943cb8a4-ae6c-45c9-9e08-83eb621b8374.pdf&amp;downloadedFileName=Advert%2003-06-2026._%20(002).pdf</t>
        </is>
      </c>
      <c r="R39" t="inlineStr"/>
      <c r="S39" t="inlineStr"/>
      <c r="T39" t="inlineStr"/>
      <c r="U39" t="inlineStr"/>
      <c r="V39" t="inlineStr"/>
    </row>
    <row r="40">
      <c r="A40" s="2" t="n">
        <v>46177</v>
      </c>
      <c r="B40" t="n">
        <v>177</v>
      </c>
      <c r="C40" t="inlineStr">
        <is>
          <t>SCM/1294/C/2024-2025</t>
        </is>
      </c>
      <c r="D40" s="2" t="n">
        <v>46177</v>
      </c>
      <c r="E40" s="2" t="n">
        <v>46233</v>
      </c>
      <c r="F40" t="inlineStr">
        <is>
          <t>11:00</t>
        </is>
      </c>
      <c r="G40" t="inlineStr">
        <is>
          <t>Request for Quotation</t>
        </is>
      </c>
      <c r="H40" t="inlineStr">
        <is>
          <t>PROFESSIONAL ENGINEERING SERVICES: DESIGN AND MONITOR THE INSTALLATION OF CIVIL ENGINEERING SERVICES IN VISTARUS, BETHELSDORP 570 SITES</t>
        </is>
      </c>
      <c r="I40" t="inlineStr">
        <is>
          <t>ETENDERS.GOV.ZA</t>
        </is>
      </c>
      <c r="J40" t="inlineStr">
        <is>
          <t>Nelson Mandela Bay Municipality</t>
        </is>
      </c>
      <c r="K40" t="inlineStr">
        <is>
          <t>Eastern Cape</t>
        </is>
      </c>
      <c r="L40" t="inlineStr">
        <is>
          <t>No</t>
        </is>
      </c>
      <c r="M40" t="inlineStr">
        <is>
          <t>Services: Professional</t>
        </is>
      </c>
      <c r="N40" t="inlineStr">
        <is>
          <t>Yes</t>
        </is>
      </c>
      <c r="O40" t="inlineStr">
        <is>
          <t>Yes</t>
        </is>
      </c>
      <c r="P40" t="inlineStr">
        <is>
          <t>Pieter Rademeyer Hall, Kariega</t>
        </is>
      </c>
      <c r="Q40" s="3" t="inlineStr">
        <is>
          <t>https://www.etenders.gov.za/home/Download/?blobName=0d0b65c2-50d1-479f-97ed-2758b9665c26.pdf&amp;downloadedFileName=Advert%2003-06-2026._%20(002).pdf</t>
        </is>
      </c>
      <c r="R40" t="inlineStr"/>
      <c r="S40" t="inlineStr"/>
      <c r="T40" t="inlineStr"/>
      <c r="U40" t="inlineStr"/>
      <c r="V40" t="inlineStr"/>
    </row>
    <row r="41">
      <c r="A41" s="2" t="n">
        <v>46177</v>
      </c>
      <c r="B41" t="n">
        <v>176</v>
      </c>
      <c r="C41" t="inlineStr">
        <is>
          <t>ALM/SCM/47/2025-26</t>
        </is>
      </c>
      <c r="D41" s="2" t="n">
        <v>46177</v>
      </c>
      <c r="E41" s="2" t="n">
        <v>46199</v>
      </c>
      <c r="F41" t="inlineStr">
        <is>
          <t>12:00</t>
        </is>
      </c>
      <c r="G41" t="inlineStr">
        <is>
          <t>Request for Bid(Open-Tender)</t>
        </is>
      </c>
      <c r="H41" t="inlineStr">
        <is>
          <t>Appointment of a turnkey service provider for the electrification of 42 households through solar powered microgrids in Amahlathi Local municipality.</t>
        </is>
      </c>
      <c r="I41" t="inlineStr">
        <is>
          <t>ETENDERS.GOV.ZA</t>
        </is>
      </c>
      <c r="J41" t="inlineStr">
        <is>
          <t>Amahlathi Local Municipality</t>
        </is>
      </c>
      <c r="K41" t="inlineStr">
        <is>
          <t>Eastern Cape</t>
        </is>
      </c>
      <c r="L41" t="inlineStr">
        <is>
          <t>No</t>
        </is>
      </c>
      <c r="M41" t="inlineStr">
        <is>
          <t>Services: Electrical</t>
        </is>
      </c>
      <c r="N41" t="inlineStr">
        <is>
          <t>Yes</t>
        </is>
      </c>
      <c r="O41" t="inlineStr">
        <is>
          <t>Yes</t>
        </is>
      </c>
      <c r="P41" t="inlineStr">
        <is>
          <t>Mzwandile Fanti Recreation Hall</t>
        </is>
      </c>
      <c r="Q41" s="3" t="inlineStr">
        <is>
          <t>https://www.etenders.gov.za/home/Download/?blobName=cc5c1587-1346-41c2-8dc5-7162a830164a.pdf&amp;downloadedFileName=BID%20ADVERTS%20-%20Electrification%20of%2042%20Households%20and%20Energy%20efficiency%20Demand%20Management%20and%20GRAP%20Complaint.pdf</t>
        </is>
      </c>
      <c r="R41" t="inlineStr"/>
      <c r="S41" t="inlineStr"/>
      <c r="T41" t="inlineStr"/>
      <c r="U41" t="inlineStr"/>
      <c r="V41" t="inlineStr"/>
    </row>
    <row r="42">
      <c r="A42" s="2" t="n">
        <v>46177</v>
      </c>
      <c r="B42" t="n">
        <v>175</v>
      </c>
      <c r="C42" t="inlineStr">
        <is>
          <t>ALM/SCM/48/2025-26</t>
        </is>
      </c>
      <c r="D42" s="2" t="n">
        <v>46177</v>
      </c>
      <c r="E42" s="2" t="n">
        <v>46199</v>
      </c>
      <c r="F42" t="inlineStr">
        <is>
          <t>12:00</t>
        </is>
      </c>
      <c r="G42" t="inlineStr">
        <is>
          <t>Request for Bid(Open-Tender)</t>
        </is>
      </c>
      <c r="H42" t="inlineStr">
        <is>
          <t>Appointment of a turnkey service provider for the implementation of energy efficiency and demand side management.</t>
        </is>
      </c>
      <c r="I42" t="inlineStr">
        <is>
          <t>ETENDERS.GOV.ZA</t>
        </is>
      </c>
      <c r="J42" t="inlineStr">
        <is>
          <t>Amahlathi Local Municipality</t>
        </is>
      </c>
      <c r="K42" t="inlineStr">
        <is>
          <t>Eastern Cape</t>
        </is>
      </c>
      <c r="L42" t="inlineStr">
        <is>
          <t>No</t>
        </is>
      </c>
      <c r="M42" t="inlineStr">
        <is>
          <t>Other service activities</t>
        </is>
      </c>
      <c r="N42" t="inlineStr">
        <is>
          <t>Yes</t>
        </is>
      </c>
      <c r="O42" t="inlineStr">
        <is>
          <t>Yes</t>
        </is>
      </c>
      <c r="P42" t="inlineStr">
        <is>
          <t>Mzwandile Fanti Recreation Hall</t>
        </is>
      </c>
      <c r="Q42" s="3" t="inlineStr">
        <is>
          <t>https://www.etenders.gov.za/home/Download/?blobName=b6991a22-820e-49e6-a58f-83b8621e92bf.pdf&amp;downloadedFileName=BID%20ADVERTS%20-%20Electrification%20of%2042%20Households%20and%20Energy%20efficiency%20Demand%20Management%20and%20GRAP%20Complaint.pdf</t>
        </is>
      </c>
      <c r="R42" t="inlineStr"/>
      <c r="S42" t="inlineStr"/>
      <c r="T42" t="inlineStr"/>
      <c r="U42" t="inlineStr"/>
      <c r="V42" t="inlineStr"/>
    </row>
    <row r="43">
      <c r="A43" s="2" t="n">
        <v>46177</v>
      </c>
      <c r="B43" t="n">
        <v>174</v>
      </c>
      <c r="C43" t="inlineStr">
        <is>
          <t>NWDOH 14/2026</t>
        </is>
      </c>
      <c r="D43" s="2" t="n">
        <v>46177</v>
      </c>
      <c r="E43" s="2" t="n">
        <v>46205</v>
      </c>
      <c r="F43" t="inlineStr">
        <is>
          <t>11:00</t>
        </is>
      </c>
      <c r="G43" t="inlineStr">
        <is>
          <t>Request for Bid(Open-Tender)</t>
        </is>
      </c>
      <c r="H43" t="inlineStr">
        <is>
          <t>RE-ADVERT : DISTRIBUTION OF PHARMACEUTICAL AND SURGICAL SUPPLIES FROM MMABATHO MEDICAL STORES TO THIRTY ONE (31) HEALTH FACILITIES OF THE DEPARTMENT OF HEALTH FACILITIES OF THE DEPARTMENT OF HEALTH (NWDOH) FOR A PERIOD OF 4 YEARS</t>
        </is>
      </c>
      <c r="I43" t="inlineStr">
        <is>
          <t>ETENDERS.GOV.ZA</t>
        </is>
      </c>
      <c r="J43" t="inlineStr">
        <is>
          <t>North West - Department of Health</t>
        </is>
      </c>
      <c r="K43" t="inlineStr">
        <is>
          <t>North West</t>
        </is>
      </c>
      <c r="L43" t="inlineStr">
        <is>
          <t>No</t>
        </is>
      </c>
      <c r="M43" t="inlineStr">
        <is>
          <t>Transportation and storage</t>
        </is>
      </c>
      <c r="N43" t="inlineStr">
        <is>
          <t>No</t>
        </is>
      </c>
      <c r="O43" t="inlineStr">
        <is>
          <t>No</t>
        </is>
      </c>
      <c r="P43" t="inlineStr">
        <is>
          <t>N/A</t>
        </is>
      </c>
      <c r="Q43" s="3" t="inlineStr">
        <is>
          <t>https://www.etenders.gov.za/home/Download/?blobName=47d22ea8-e82b-458e-9900-2a303e8a0c65.pdf&amp;downloadedFileName=NWDOH%2014%202026%20BID%20COC.pdf</t>
        </is>
      </c>
      <c r="R43" t="inlineStr"/>
      <c r="S43" t="inlineStr"/>
      <c r="T43" t="inlineStr"/>
      <c r="U43" t="inlineStr"/>
      <c r="V43" t="inlineStr"/>
    </row>
    <row r="44">
      <c r="A44" s="2" t="n">
        <v>46177</v>
      </c>
      <c r="B44" t="n">
        <v>173</v>
      </c>
      <c r="C44" t="inlineStr">
        <is>
          <t>SCM/1353/G/2025-2026</t>
        </is>
      </c>
      <c r="D44" s="2" t="n">
        <v>46177</v>
      </c>
      <c r="E44" s="2" t="n">
        <v>46233</v>
      </c>
      <c r="F44" t="inlineStr">
        <is>
          <t>11:00</t>
        </is>
      </c>
      <c r="G44" t="inlineStr">
        <is>
          <t>Request for Quotation</t>
        </is>
      </c>
      <c r="H44" t="inlineStr">
        <is>
          <t>PROVISIONING (DESIGN, SUPPLY AND INSTALLATION) OF ICT UTP CABLING INFRASTRUCTURE</t>
        </is>
      </c>
      <c r="I44" t="inlineStr">
        <is>
          <t>ETENDERS.GOV.ZA</t>
        </is>
      </c>
      <c r="J44" t="inlineStr">
        <is>
          <t>Nelson Mandela Bay Municipality</t>
        </is>
      </c>
      <c r="K44" t="inlineStr">
        <is>
          <t>Eastern Cape</t>
        </is>
      </c>
      <c r="L44" t="inlineStr">
        <is>
          <t>No</t>
        </is>
      </c>
      <c r="M44" t="inlineStr">
        <is>
          <t>Services: Professional</t>
        </is>
      </c>
      <c r="N44" t="inlineStr">
        <is>
          <t>No</t>
        </is>
      </c>
      <c r="O44" t="inlineStr">
        <is>
          <t>No</t>
        </is>
      </c>
      <c r="P44" t="inlineStr">
        <is>
          <t>N/A</t>
        </is>
      </c>
      <c r="Q44" s="3" t="inlineStr">
        <is>
          <t>https://www.etenders.gov.za/home/Download/?blobName=1f1c6e4f-b5d6-4335-839a-42b92587892d.pdf&amp;downloadedFileName=Advert%2003-06-2026._%20(002).pdf</t>
        </is>
      </c>
      <c r="R44" t="inlineStr"/>
      <c r="S44" t="inlineStr"/>
      <c r="T44" t="inlineStr"/>
      <c r="U44" t="inlineStr"/>
      <c r="V44" t="inlineStr"/>
    </row>
    <row r="45">
      <c r="A45" s="2" t="n">
        <v>46177</v>
      </c>
      <c r="B45" t="n">
        <v>172</v>
      </c>
      <c r="C45" t="inlineStr">
        <is>
          <t>SCM/1356/G/2025-2026</t>
        </is>
      </c>
      <c r="D45" s="2" t="n">
        <v>46177</v>
      </c>
      <c r="E45" s="2" t="n">
        <v>46233</v>
      </c>
      <c r="F45" t="inlineStr">
        <is>
          <t>11:00</t>
        </is>
      </c>
      <c r="G45" t="inlineStr">
        <is>
          <t>Request for Quotation</t>
        </is>
      </c>
      <c r="H45" t="inlineStr">
        <is>
          <t>PROVISIONING (DESIGN, SUPPLY AND INSTALLATION) OF ICT WIRELESS INFRASTRUCTURE</t>
        </is>
      </c>
      <c r="I45" t="inlineStr">
        <is>
          <t>ETENDERS.GOV.ZA</t>
        </is>
      </c>
      <c r="J45" t="inlineStr">
        <is>
          <t>Nelson Mandela Bay Municipality</t>
        </is>
      </c>
      <c r="K45" t="inlineStr">
        <is>
          <t>Eastern Cape</t>
        </is>
      </c>
      <c r="L45" t="inlineStr">
        <is>
          <t>No</t>
        </is>
      </c>
      <c r="M45" t="inlineStr">
        <is>
          <t>Services: Professional</t>
        </is>
      </c>
      <c r="N45" t="inlineStr">
        <is>
          <t>No</t>
        </is>
      </c>
      <c r="O45" t="inlineStr">
        <is>
          <t>No</t>
        </is>
      </c>
      <c r="P45" t="inlineStr">
        <is>
          <t>N/A</t>
        </is>
      </c>
      <c r="Q45" s="3" t="inlineStr">
        <is>
          <t>https://www.etenders.gov.za/home/Download/?blobName=68bce7d7-d4d4-4972-a935-681bf67f9e5b.pdf&amp;downloadedFileName=Advert%2003-06-2026._%20(002).pdf</t>
        </is>
      </c>
      <c r="R45" t="inlineStr"/>
      <c r="S45" t="inlineStr"/>
      <c r="T45" t="inlineStr"/>
      <c r="U45" t="inlineStr"/>
      <c r="V45" t="inlineStr"/>
    </row>
    <row r="46">
      <c r="A46" s="2" t="n">
        <v>46177</v>
      </c>
      <c r="B46" t="n">
        <v>171</v>
      </c>
      <c r="C46" t="inlineStr">
        <is>
          <t>SCM/1352/G/2025-2026</t>
        </is>
      </c>
      <c r="D46" s="2" t="n">
        <v>46177</v>
      </c>
      <c r="E46" s="2" t="n">
        <v>46233</v>
      </c>
      <c r="F46" t="inlineStr">
        <is>
          <t>11:00</t>
        </is>
      </c>
      <c r="G46" t="inlineStr">
        <is>
          <t>Request for Quotation</t>
        </is>
      </c>
      <c r="H46" t="inlineStr">
        <is>
          <t>PROVISIONING (DESIGN, SUPPLY AND INSTALLATION) OF ICT WIRELESS INFRASTRUCTURE</t>
        </is>
      </c>
      <c r="I46" t="inlineStr">
        <is>
          <t>ETENDERS.GOV.ZA</t>
        </is>
      </c>
      <c r="J46" t="inlineStr">
        <is>
          <t>Nelson Mandela Bay Municipality</t>
        </is>
      </c>
      <c r="K46" t="inlineStr">
        <is>
          <t>Eastern Cape</t>
        </is>
      </c>
      <c r="L46" t="inlineStr">
        <is>
          <t>No</t>
        </is>
      </c>
      <c r="M46" t="inlineStr">
        <is>
          <t>Services: Professional</t>
        </is>
      </c>
      <c r="N46" t="inlineStr">
        <is>
          <t>No</t>
        </is>
      </c>
      <c r="O46" t="inlineStr">
        <is>
          <t>No</t>
        </is>
      </c>
      <c r="P46" t="inlineStr">
        <is>
          <t>N/A</t>
        </is>
      </c>
      <c r="Q46" s="3" t="inlineStr">
        <is>
          <t>https://www.etenders.gov.za/home/Download/?blobName=a49865dd-4160-4289-b23c-5764e7fc8374.pdf&amp;downloadedFileName=Advert%2003-06-2026._%20(002).pdf</t>
        </is>
      </c>
      <c r="R46" t="inlineStr"/>
      <c r="S46" t="inlineStr"/>
      <c r="T46" t="inlineStr"/>
      <c r="U46" t="inlineStr"/>
      <c r="V46" t="inlineStr"/>
    </row>
    <row r="47">
      <c r="A47" s="2" t="n">
        <v>46177</v>
      </c>
      <c r="B47" t="n">
        <v>170</v>
      </c>
      <c r="C47" t="inlineStr">
        <is>
          <t>RFI/SE/011/06/2026</t>
        </is>
      </c>
      <c r="D47" s="2" t="n">
        <v>46177</v>
      </c>
      <c r="E47" s="2" t="n">
        <v>46195</v>
      </c>
      <c r="F47" t="inlineStr">
        <is>
          <t>16:00</t>
        </is>
      </c>
      <c r="G47" t="inlineStr">
        <is>
          <t>Request for Information</t>
        </is>
      </c>
      <c r="H47" t="inlineStr">
        <is>
          <t>South African Qualified Payload and integration support service for the G20 Satellite Mission for Environment and Climate Observation</t>
        </is>
      </c>
      <c r="I47" t="inlineStr">
        <is>
          <t>ETENDERS.GOV.ZA</t>
        </is>
      </c>
      <c r="J47" t="inlineStr">
        <is>
          <t>South African National Space Agency</t>
        </is>
      </c>
      <c r="K47" t="inlineStr">
        <is>
          <t>National</t>
        </is>
      </c>
      <c r="L47" t="inlineStr">
        <is>
          <t>No</t>
        </is>
      </c>
      <c r="M47" t="inlineStr">
        <is>
          <t>Information and communication</t>
        </is>
      </c>
      <c r="N47" t="inlineStr">
        <is>
          <t>No</t>
        </is>
      </c>
      <c r="O47" t="inlineStr">
        <is>
          <t>No</t>
        </is>
      </c>
      <c r="P47" t="inlineStr">
        <is>
          <t>N/A</t>
        </is>
      </c>
      <c r="Q47" s="3" t="inlineStr">
        <is>
          <t>https://www.etenders.gov.za/home/Download/?blobName=f67a0177-b623-42c3-ac9a-0696d225641d.PDF&amp;downloadedFileName=RFIFOR~1.PDF</t>
        </is>
      </c>
      <c r="R47" t="inlineStr"/>
      <c r="S47" t="inlineStr"/>
      <c r="T47" t="inlineStr"/>
      <c r="U47" t="inlineStr"/>
      <c r="V47" t="inlineStr"/>
    </row>
    <row r="48">
      <c r="A48" s="2" t="n">
        <v>46177</v>
      </c>
      <c r="B48" t="n">
        <v>169</v>
      </c>
      <c r="C48" t="inlineStr">
        <is>
          <t>EO/017/06/2026</t>
        </is>
      </c>
      <c r="D48" s="2" t="n">
        <v>46177</v>
      </c>
      <c r="E48" s="2" t="n">
        <v>46206</v>
      </c>
      <c r="F48" t="inlineStr">
        <is>
          <t>11:00</t>
        </is>
      </c>
      <c r="G48" t="inlineStr">
        <is>
          <t>Request for Proposal</t>
        </is>
      </c>
      <c r="H48" t="inlineStr">
        <is>
          <t>DEVELOPMENT OF COMMUNITY-BASED SOLUTIONS USING EARTH OBSERVATION AND OTHER SPACE TECHNOLOGIES</t>
        </is>
      </c>
      <c r="I48" t="inlineStr">
        <is>
          <t>ETENDERS.GOV.ZA</t>
        </is>
      </c>
      <c r="J48" t="inlineStr">
        <is>
          <t>South African National Space Agency</t>
        </is>
      </c>
      <c r="K48" t="inlineStr">
        <is>
          <t>Gauteng</t>
        </is>
      </c>
      <c r="L48" t="inlineStr">
        <is>
          <t>No</t>
        </is>
      </c>
      <c r="M48" t="inlineStr">
        <is>
          <t>Services: Professional</t>
        </is>
      </c>
      <c r="N48" t="inlineStr">
        <is>
          <t>Yes</t>
        </is>
      </c>
      <c r="O48" t="inlineStr">
        <is>
          <t>No</t>
        </is>
      </c>
      <c r="P48" t="inlineStr">
        <is>
          <t>Request for the link to be sent to eo-scm@sansa.org.za</t>
        </is>
      </c>
      <c r="Q48" s="3" t="inlineStr">
        <is>
          <t>https://www.etenders.gov.za/home/Download/?blobName=42cb0887-1085-4b93-ad99-60c2bd82e6cf.pdf&amp;downloadedFileName=Bid%20Document%20EO-017-06-2026-%20(EO%20Community-based%20Solution).pdf</t>
        </is>
      </c>
      <c r="R48" t="inlineStr"/>
      <c r="S48" t="inlineStr"/>
      <c r="T48" t="inlineStr"/>
      <c r="U48" t="inlineStr"/>
      <c r="V48" t="inlineStr"/>
    </row>
    <row r="49">
      <c r="A49" s="2" t="n">
        <v>46177</v>
      </c>
      <c r="B49" t="n">
        <v>168</v>
      </c>
      <c r="C49" t="inlineStr">
        <is>
          <t>ALM/SCM/45/2025-26</t>
        </is>
      </c>
      <c r="D49" s="2" t="n">
        <v>46177</v>
      </c>
      <c r="E49" s="2" t="n">
        <v>46211</v>
      </c>
      <c r="F49" t="inlineStr">
        <is>
          <t>12:00</t>
        </is>
      </c>
      <c r="G49" t="inlineStr">
        <is>
          <t>Request for Bid(Open-Tender)</t>
        </is>
      </c>
      <c r="H49" t="inlineStr">
        <is>
          <t>Upgrade &amp; maintenance of GRAP Compliant Asset register and acquisition of GRAP Compliant asset management system for a period of 3 years.</t>
        </is>
      </c>
      <c r="I49" t="inlineStr">
        <is>
          <t>ETENDERS.GOV.ZA</t>
        </is>
      </c>
      <c r="J49" t="inlineStr">
        <is>
          <t>Amahlathi Local Municipality</t>
        </is>
      </c>
      <c r="K49" t="inlineStr">
        <is>
          <t>Eastern Cape</t>
        </is>
      </c>
      <c r="L49" t="inlineStr">
        <is>
          <t>No</t>
        </is>
      </c>
      <c r="M49" t="inlineStr">
        <is>
          <t>Other service activities</t>
        </is>
      </c>
      <c r="N49" t="inlineStr">
        <is>
          <t>No</t>
        </is>
      </c>
      <c r="O49" t="inlineStr">
        <is>
          <t>No</t>
        </is>
      </c>
      <c r="P49" t="inlineStr">
        <is>
          <t>N/A</t>
        </is>
      </c>
      <c r="Q49" s="3" t="inlineStr">
        <is>
          <t>https://www.etenders.gov.za/home/Download/?blobName=cf4edc48-ef03-4213-b72d-a649707bc393.pdf&amp;downloadedFileName=BID%20ADVERTS%20-%20Electrification%20of%2042%20Households%20and%20Energy%20efficiency%20Demand%20Management%20and%20GRAP%20Complaint.pdf</t>
        </is>
      </c>
      <c r="R49" t="inlineStr"/>
      <c r="S49" t="inlineStr"/>
      <c r="T49" t="inlineStr"/>
      <c r="U49" t="inlineStr"/>
      <c r="V49" t="inlineStr"/>
    </row>
    <row r="50">
      <c r="A50" s="2" t="n">
        <v>46177</v>
      </c>
      <c r="B50" t="n">
        <v>167</v>
      </c>
      <c r="C50" t="inlineStr">
        <is>
          <t>MAPW RFQ 062/2025/26</t>
        </is>
      </c>
      <c r="D50" s="2" t="n">
        <v>46177</v>
      </c>
      <c r="E50" s="2" t="n">
        <v>46188</v>
      </c>
      <c r="F50" t="inlineStr">
        <is>
          <t>10:00</t>
        </is>
      </c>
      <c r="G50" t="inlineStr">
        <is>
          <t>Request for Quotation</t>
        </is>
      </c>
      <c r="H50" t="inlineStr">
        <is>
          <t>Supply and delivery of Chlorine Gas for Fika Patso Water Treatment Plant</t>
        </is>
      </c>
      <c r="I50" t="inlineStr">
        <is>
          <t>ETENDERS.GOV.ZA</t>
        </is>
      </c>
      <c r="J50" t="inlineStr">
        <is>
          <t>Maluti-a-Phofung Water</t>
        </is>
      </c>
      <c r="K50" t="inlineStr">
        <is>
          <t>Free State</t>
        </is>
      </c>
      <c r="L50" t="inlineStr">
        <is>
          <t>No</t>
        </is>
      </c>
      <c r="M50" t="inlineStr">
        <is>
          <t>Water supply; sewerage, waste management and remediation activities</t>
        </is>
      </c>
      <c r="N50" t="inlineStr">
        <is>
          <t>No</t>
        </is>
      </c>
      <c r="O50" t="inlineStr">
        <is>
          <t>No</t>
        </is>
      </c>
      <c r="P50" t="inlineStr">
        <is>
          <t>N/A</t>
        </is>
      </c>
      <c r="Q50" s="3" t="inlineStr">
        <is>
          <t>https://www.etenders.gov.za/home/Download/?blobName=78923bee-27b6-4c1c-8d02-f18ca1cf8202.pdf&amp;downloadedFileName=MAPW%20RFQ%20062%20CHLORINE%20GAS.pdf</t>
        </is>
      </c>
      <c r="R50" t="inlineStr"/>
      <c r="S50" t="inlineStr"/>
      <c r="T50" t="inlineStr"/>
      <c r="U50" t="inlineStr"/>
      <c r="V50" t="inlineStr"/>
    </row>
    <row r="51">
      <c r="A51" s="2" t="n">
        <v>46177</v>
      </c>
      <c r="B51" t="n">
        <v>166</v>
      </c>
      <c r="C51" t="inlineStr">
        <is>
          <t>LDE/B05/2026/27</t>
        </is>
      </c>
      <c r="D51" s="2" t="n">
        <v>46177</v>
      </c>
      <c r="E51" s="2" t="n">
        <v>46202</v>
      </c>
      <c r="F51" t="inlineStr">
        <is>
          <t>11:00</t>
        </is>
      </c>
      <c r="G51" t="inlineStr">
        <is>
          <t>Request for Bid(Open-Tender)</t>
        </is>
      </c>
      <c r="H51" t="inlineStr">
        <is>
          <t>APPOINTMENT OF A LEGAL PRACTITIONERS FOR THE PROVISION OF LEGAL, ADVISORY AND LITIGATION SERVICES FOR THE LIMPOPO DEPARTMENT OF EDUCATION FOR A PERIOD OF THIRTY-SIX (36) MONTHS.</t>
        </is>
      </c>
      <c r="I51" t="inlineStr">
        <is>
          <t>ETENDERS.GOV.ZA</t>
        </is>
      </c>
      <c r="J51" t="inlineStr">
        <is>
          <t>Limpopo - Education</t>
        </is>
      </c>
      <c r="K51" t="inlineStr">
        <is>
          <t>Limpopo</t>
        </is>
      </c>
      <c r="L51" t="inlineStr">
        <is>
          <t>No</t>
        </is>
      </c>
      <c r="M51" t="inlineStr">
        <is>
          <t>Legal and accounting activities</t>
        </is>
      </c>
      <c r="N51" t="inlineStr">
        <is>
          <t>No</t>
        </is>
      </c>
      <c r="O51" t="inlineStr">
        <is>
          <t>No</t>
        </is>
      </c>
      <c r="P51" t="inlineStr">
        <is>
          <t>N/A</t>
        </is>
      </c>
      <c r="Q51" s="3" t="inlineStr">
        <is>
          <t>https://www.etenders.gov.za/home/Download/?blobName=0d5ad304-6cb5-44db-b6d8-4e2f318e0f59.pdf&amp;downloadedFileName=Bid%20Document%20LDE-B05-2026-27.pdf</t>
        </is>
      </c>
      <c r="R51" t="inlineStr"/>
      <c r="S51" t="inlineStr"/>
      <c r="T51" t="inlineStr"/>
      <c r="U51" t="inlineStr"/>
      <c r="V51" t="inlineStr"/>
    </row>
    <row r="52">
      <c r="A52" s="2" t="n">
        <v>46177</v>
      </c>
      <c r="B52" t="n">
        <v>165</v>
      </c>
      <c r="C52" t="inlineStr">
        <is>
          <t>LDE/B06/2026/27</t>
        </is>
      </c>
      <c r="D52" s="2" t="n">
        <v>46177</v>
      </c>
      <c r="E52" s="2" t="n">
        <v>46199</v>
      </c>
      <c r="F52" t="inlineStr">
        <is>
          <t>11:00</t>
        </is>
      </c>
      <c r="G52" t="inlineStr">
        <is>
          <t>Request for Bid(Open-Tender)</t>
        </is>
      </c>
      <c r="H52" t="inlineStr">
        <is>
          <t>APPOINTMENT OF A SERVICE PROVIDER FOR THE SUPPORT AND MAINTENANCE OF THE DEPARTMENT'S ELECTRONIC DOCUMENT AND RECORDS MANAGEMENT SYSTEM (EDRMS) FOR THE PERIOD OF THREE (03) YEARS</t>
        </is>
      </c>
      <c r="I52" t="inlineStr">
        <is>
          <t>ETENDERS.GOV.ZA</t>
        </is>
      </c>
      <c r="J52" t="inlineStr">
        <is>
          <t>Limpopo - Education</t>
        </is>
      </c>
      <c r="K52" t="inlineStr">
        <is>
          <t>Limpopo</t>
        </is>
      </c>
      <c r="L52" t="inlineStr">
        <is>
          <t>No</t>
        </is>
      </c>
      <c r="M52" t="inlineStr">
        <is>
          <t>Information service activities</t>
        </is>
      </c>
      <c r="N52" t="inlineStr">
        <is>
          <t>Yes</t>
        </is>
      </c>
      <c r="O52" t="inlineStr">
        <is>
          <t>Yes</t>
        </is>
      </c>
      <c r="P52" t="inlineStr">
        <is>
          <t>Mastec seshego Campus</t>
        </is>
      </c>
      <c r="Q52" s="3" t="inlineStr">
        <is>
          <t>https://www.etenders.gov.za/home/Download/?blobName=1ead71f8-9232-4fc4-890e-54eadc670ea8.pdf&amp;downloadedFileName=Bid%20Document%20LDE-B06-2026-27.pdf</t>
        </is>
      </c>
      <c r="R52" t="inlineStr"/>
      <c r="S52" t="inlineStr"/>
      <c r="T52" t="inlineStr"/>
      <c r="U52" t="inlineStr"/>
      <c r="V52" t="inlineStr"/>
    </row>
    <row r="53">
      <c r="A53" s="2" t="n">
        <v>46177</v>
      </c>
      <c r="B53" t="n">
        <v>164</v>
      </c>
      <c r="C53" t="inlineStr">
        <is>
          <t>ECR/RISK/02/06/2026</t>
        </is>
      </c>
      <c r="D53" s="2" t="n">
        <v>46177</v>
      </c>
      <c r="E53" s="2" t="n">
        <v>46185</v>
      </c>
      <c r="F53" t="inlineStr">
        <is>
          <t>12:00</t>
        </is>
      </c>
      <c r="G53" t="inlineStr">
        <is>
          <t>Request for Quotation</t>
        </is>
      </c>
      <c r="H53" t="inlineStr">
        <is>
          <t>APPOINTMENT OF A SERVICE PROVIDER FOR CALIBRATION AND TRANSPORTATION OF MARK X MACHINES</t>
        </is>
      </c>
      <c r="I53" t="inlineStr">
        <is>
          <t>ETENDERS.GOV.ZA</t>
        </is>
      </c>
      <c r="J53" t="inlineStr">
        <is>
          <t>Passenger Rail Agency of South Africa</t>
        </is>
      </c>
      <c r="K53" t="inlineStr">
        <is>
          <t>Eastern Cape</t>
        </is>
      </c>
      <c r="L53" t="inlineStr">
        <is>
          <t>No</t>
        </is>
      </c>
      <c r="M53" t="inlineStr">
        <is>
          <t>Services: General</t>
        </is>
      </c>
      <c r="N53" t="inlineStr">
        <is>
          <t>Yes</t>
        </is>
      </c>
      <c r="O53" t="inlineStr">
        <is>
          <t>Yes</t>
        </is>
      </c>
      <c r="P53" t="inlineStr">
        <is>
          <t>N/A</t>
        </is>
      </c>
      <c r="Q53" s="3" t="inlineStr">
        <is>
          <t>https://www.etenders.gov.za/home/Download/?blobName=46f66120-d79a-4e61-be77-0c67c82b7c92.pdf&amp;downloadedFileName=RFQ%20Risk%20Calibration%20-%20Mark%20X%20Machines%20(002).pdf</t>
        </is>
      </c>
      <c r="R53" t="inlineStr"/>
      <c r="S53" t="inlineStr"/>
      <c r="T53" t="inlineStr"/>
      <c r="U53" t="inlineStr"/>
      <c r="V53" t="inlineStr"/>
    </row>
    <row r="54">
      <c r="A54" s="2" t="n">
        <v>46177</v>
      </c>
      <c r="B54" t="n">
        <v>163</v>
      </c>
      <c r="C54" t="inlineStr">
        <is>
          <t>AHT26792</t>
        </is>
      </c>
      <c r="D54" s="2" t="n">
        <v>46177</v>
      </c>
      <c r="E54" s="2" t="n">
        <v>46206</v>
      </c>
      <c r="F54" t="inlineStr">
        <is>
          <t>16:00</t>
        </is>
      </c>
      <c r="G54" t="inlineStr">
        <is>
          <t>Request for Bid(Open-Tender)</t>
        </is>
      </c>
      <c r="H54" t="inlineStr">
        <is>
          <t>FIRE SAFETY SYSTEM COMPLIANCE ASSESSMENT AND SURVEY SERVICES - TZANEEN DEPOT</t>
        </is>
      </c>
      <c r="I54" t="inlineStr">
        <is>
          <t>ETENDERS.GOV.ZA</t>
        </is>
      </c>
      <c r="J54" t="inlineStr">
        <is>
          <t>PetroSA</t>
        </is>
      </c>
      <c r="K54" t="inlineStr">
        <is>
          <t>Western Cape</t>
        </is>
      </c>
      <c r="L54" t="inlineStr">
        <is>
          <t>No</t>
        </is>
      </c>
      <c r="M54" t="inlineStr">
        <is>
          <t>Services: Professional</t>
        </is>
      </c>
      <c r="N54" t="inlineStr">
        <is>
          <t>No</t>
        </is>
      </c>
      <c r="O54" t="inlineStr">
        <is>
          <t>No</t>
        </is>
      </c>
      <c r="P54" t="inlineStr">
        <is>
          <t>N/A</t>
        </is>
      </c>
      <c r="Q54" s="3" t="inlineStr">
        <is>
          <t>https://www.etenders.gov.za/home/Download/?blobName=328373b0-c4ac-43b8-8623-bf9be51f5f0a.pdf&amp;downloadedFileName=Supplier%20Self%20Registration.pdf</t>
        </is>
      </c>
      <c r="R54" t="inlineStr"/>
      <c r="S54" t="inlineStr"/>
      <c r="T54" t="inlineStr"/>
      <c r="U54" t="inlineStr"/>
      <c r="V54" t="inlineStr"/>
    </row>
    <row r="55">
      <c r="A55" s="2" t="n">
        <v>46177</v>
      </c>
      <c r="B55" t="n">
        <v>162</v>
      </c>
      <c r="C55" t="inlineStr">
        <is>
          <t>AD0099- Reissue</t>
        </is>
      </c>
      <c r="D55" s="2" t="n">
        <v>46177</v>
      </c>
      <c r="E55" s="2" t="n">
        <v>46198</v>
      </c>
      <c r="F55" t="inlineStr">
        <is>
          <t>14:00</t>
        </is>
      </c>
      <c r="G55" t="inlineStr">
        <is>
          <t>Request for Bid(Open-Tender)</t>
        </is>
      </c>
      <c r="H55" t="inlineStr">
        <is>
          <t>RE-ISSUE: SALE OF RESIDENTIAL PROPERTY: 7 SNOEK STREET, MOSSEL BAY</t>
        </is>
      </c>
      <c r="I55" t="inlineStr">
        <is>
          <t>ETENDERS.GOV.ZA</t>
        </is>
      </c>
      <c r="J55" t="inlineStr">
        <is>
          <t>PetroSA</t>
        </is>
      </c>
      <c r="K55" t="inlineStr">
        <is>
          <t>Western Cape</t>
        </is>
      </c>
      <c r="L55" t="inlineStr">
        <is>
          <t>No</t>
        </is>
      </c>
      <c r="M55" t="inlineStr">
        <is>
          <t>Services: Professional</t>
        </is>
      </c>
      <c r="N55" t="inlineStr">
        <is>
          <t>No</t>
        </is>
      </c>
      <c r="O55" t="inlineStr">
        <is>
          <t>No</t>
        </is>
      </c>
      <c r="P55" t="inlineStr">
        <is>
          <t>N/A</t>
        </is>
      </c>
      <c r="Q55" s="3" t="inlineStr">
        <is>
          <t>https://www.etenders.gov.za/home/Download/?blobName=9bf8e169-bd23-4ce9-949c-c88edcb91817.pdf&amp;downloadedFileName=Tender%20DOCS%20AD0099.pdf</t>
        </is>
      </c>
      <c r="R55" t="inlineStr"/>
      <c r="S55" t="inlineStr"/>
      <c r="T55" t="inlineStr"/>
      <c r="U55" t="inlineStr"/>
      <c r="V55" t="inlineStr"/>
    </row>
    <row r="56">
      <c r="A56" s="2" t="n">
        <v>46178</v>
      </c>
      <c r="B56" t="n">
        <v>161</v>
      </c>
      <c r="C56" t="inlineStr">
        <is>
          <t>NAMC RFQ1746B</t>
        </is>
      </c>
      <c r="D56" s="2" t="n">
        <v>46178</v>
      </c>
      <c r="E56" s="2" t="n">
        <v>46185</v>
      </c>
      <c r="F56" t="inlineStr">
        <is>
          <t>11:00</t>
        </is>
      </c>
      <c r="G56" t="inlineStr">
        <is>
          <t>Request for Quotation</t>
        </is>
      </c>
      <c r="H56" t="inlineStr">
        <is>
          <t>NAMC RFQ1746B APPOINTMENT OF A SERVICE PROVIDER TO PROVIDE EXECUTIVE COACHING SERVICES TO THE CHIEF EXECUTIVE OFFICER (CEO) FOR THE 2026/2027 FINANCIAL YEAR FOR THE NATIONAL AGRICULTURAL MARKETING COUNCIL (NAMC)</t>
        </is>
      </c>
      <c r="I56" t="inlineStr">
        <is>
          <t>ETENDERS.GOV.ZA</t>
        </is>
      </c>
      <c r="J56" t="inlineStr">
        <is>
          <t>National Agricultural Marketing Council</t>
        </is>
      </c>
      <c r="K56" t="inlineStr">
        <is>
          <t>National</t>
        </is>
      </c>
      <c r="L56" t="inlineStr">
        <is>
          <t>No</t>
        </is>
      </c>
      <c r="M56" t="inlineStr">
        <is>
          <t>Human health and social work activities</t>
        </is>
      </c>
      <c r="N56" t="inlineStr">
        <is>
          <t>No</t>
        </is>
      </c>
      <c r="O56" t="inlineStr">
        <is>
          <t>No</t>
        </is>
      </c>
      <c r="P56" t="inlineStr">
        <is>
          <t>N/A</t>
        </is>
      </c>
      <c r="Q56" s="3" t="inlineStr">
        <is>
          <t>https://www.etenders.gov.za/home/Download/?blobName=e7dfe98d-9ebe-4761-8955-281fa2952193.pdf&amp;downloadedFileName=General%20Conditions%20of%20Contract%20-%20July%202010.pdf</t>
        </is>
      </c>
      <c r="R56" t="inlineStr"/>
      <c r="S56" t="inlineStr"/>
      <c r="T56" t="inlineStr"/>
      <c r="U56" t="inlineStr"/>
      <c r="V56" t="inlineStr"/>
    </row>
    <row r="57">
      <c r="A57" s="2" t="n">
        <v>46178</v>
      </c>
      <c r="B57" t="n">
        <v>160</v>
      </c>
      <c r="C57" t="inlineStr">
        <is>
          <t>NNRSCM-03-2026</t>
        </is>
      </c>
      <c r="D57" s="2" t="n">
        <v>46178</v>
      </c>
      <c r="E57" s="2" t="n">
        <v>46202</v>
      </c>
      <c r="F57" t="inlineStr">
        <is>
          <t>11:00</t>
        </is>
      </c>
      <c r="G57" t="inlineStr">
        <is>
          <t>Request for Bid(Open-Tender)</t>
        </is>
      </c>
      <c r="H57" t="inlineStr">
        <is>
          <t>APPOINTMENT OF A SERVICE PROVIDER FOR THE PROVISION OF CLEANING AND HYGIENE SERVICES AT THE NNR HEAD OFFICE(CENTURION), SITE OFFICE(MELKBOSSTRAND) AND LABORATORY(ARCADIA) FOR A PERIOD OF THREE (3) YEARS</t>
        </is>
      </c>
      <c r="I57" t="inlineStr">
        <is>
          <t>ETENDERS.GOV.ZA</t>
        </is>
      </c>
      <c r="J57" t="inlineStr">
        <is>
          <t>National Nuclear Regulator</t>
        </is>
      </c>
      <c r="K57" t="inlineStr">
        <is>
          <t>National</t>
        </is>
      </c>
      <c r="L57" t="inlineStr">
        <is>
          <t>No</t>
        </is>
      </c>
      <c r="M57" t="inlineStr">
        <is>
          <t>Services: Functional (Including Cleaning and Security Services)</t>
        </is>
      </c>
      <c r="N57" t="inlineStr">
        <is>
          <t>Yes</t>
        </is>
      </c>
      <c r="O57" t="inlineStr">
        <is>
          <t>Yes</t>
        </is>
      </c>
      <c r="P57" t="inlineStr">
        <is>
          <t>Block G, ECO Glades Office Park 420 Witch-Hazel Avenue, Eco Park, Centurion</t>
        </is>
      </c>
      <c r="Q57" s="3" t="inlineStr">
        <is>
          <t>https://www.etenders.gov.za/home/Download/?blobName=f379a2a1-f83d-4da3-a419-f6fcdc64e833.pdf&amp;downloadedFileName=NNRSCM-03-2026-APPOINTMENT%20OF%20A%20SERVICE%20PROVIDER%20FOR%20CLEANING%20SERVICE%20AT%20NNR%20CENTURION%20-SITE%20OFFICE%20AND%20LABORATORY.pdf</t>
        </is>
      </c>
      <c r="R57" t="inlineStr"/>
      <c r="S57" t="inlineStr"/>
      <c r="T57" t="inlineStr"/>
      <c r="U57" t="inlineStr"/>
      <c r="V57" t="inlineStr"/>
    </row>
    <row r="58">
      <c r="A58" s="2" t="n">
        <v>46178</v>
      </c>
      <c r="B58" t="n">
        <v>159</v>
      </c>
      <c r="C58" t="inlineStr">
        <is>
          <t>NOTICE NO: 29/2026 –</t>
        </is>
      </c>
      <c r="D58" s="2" t="n">
        <v>46178</v>
      </c>
      <c r="E58" s="2" t="n">
        <v>46183</v>
      </c>
      <c r="F58" t="inlineStr">
        <is>
          <t>10:00</t>
        </is>
      </c>
      <c r="G58" t="inlineStr">
        <is>
          <t>Request for Quotation</t>
        </is>
      </c>
      <c r="H58" t="inlineStr">
        <is>
          <t>PROCUREMENT OF PLOTTER (PRINTER)</t>
        </is>
      </c>
      <c r="I58" t="inlineStr">
        <is>
          <t>ETENDERS.GOV.ZA</t>
        </is>
      </c>
      <c r="J58" t="inlineStr">
        <is>
          <t>NamaKwa District Municipality</t>
        </is>
      </c>
      <c r="K58" t="inlineStr">
        <is>
          <t>Northern Cape</t>
        </is>
      </c>
      <c r="L58" t="inlineStr">
        <is>
          <t>No</t>
        </is>
      </c>
      <c r="M58" t="inlineStr">
        <is>
          <t>Supplies: Stationery/Printing</t>
        </is>
      </c>
      <c r="N58" t="inlineStr">
        <is>
          <t>No</t>
        </is>
      </c>
      <c r="O58" t="inlineStr">
        <is>
          <t>No</t>
        </is>
      </c>
      <c r="P58" t="inlineStr">
        <is>
          <t>N/A</t>
        </is>
      </c>
      <c r="Q58" s="3" t="inlineStr">
        <is>
          <t>https://www.etenders.gov.za/home/Download/?blobName=3722d7f2-940e-4dc4-a418-b74368c4f1be.pdf&amp;downloadedFileName=Notice%20292026%20-%20Supply%20and%20Deliver%20Plotter.pdf</t>
        </is>
      </c>
      <c r="R58" t="inlineStr"/>
      <c r="S58" t="inlineStr"/>
      <c r="T58" t="inlineStr"/>
      <c r="U58" t="inlineStr"/>
      <c r="V58" t="inlineStr"/>
    </row>
    <row r="59">
      <c r="A59" s="2" t="n">
        <v>46178</v>
      </c>
      <c r="B59" t="n">
        <v>158</v>
      </c>
      <c r="C59" t="inlineStr">
        <is>
          <t>NOTICE NO: 30/2026 –</t>
        </is>
      </c>
      <c r="D59" s="2" t="n">
        <v>46178</v>
      </c>
      <c r="E59" s="2" t="n">
        <v>46183</v>
      </c>
      <c r="F59" t="inlineStr">
        <is>
          <t>10:00</t>
        </is>
      </c>
      <c r="G59" t="inlineStr">
        <is>
          <t>Request for Quotation</t>
        </is>
      </c>
      <c r="H59" t="inlineStr">
        <is>
          <t>PROCUREMENT OF GEOGRAPHIC INFORMATION SYSTEM TRAINING</t>
        </is>
      </c>
      <c r="I59" t="inlineStr">
        <is>
          <t>ETENDERS.GOV.ZA</t>
        </is>
      </c>
      <c r="J59" t="inlineStr">
        <is>
          <t>NamaKwa District Municipality</t>
        </is>
      </c>
      <c r="K59" t="inlineStr">
        <is>
          <t>Northern Cape</t>
        </is>
      </c>
      <c r="L59" t="inlineStr">
        <is>
          <t>No</t>
        </is>
      </c>
      <c r="M59" t="inlineStr">
        <is>
          <t>Education</t>
        </is>
      </c>
      <c r="N59" t="inlineStr">
        <is>
          <t>No</t>
        </is>
      </c>
      <c r="O59" t="inlineStr">
        <is>
          <t>No</t>
        </is>
      </c>
      <c r="P59" t="inlineStr">
        <is>
          <t>N/A</t>
        </is>
      </c>
      <c r="Q59" s="3" t="inlineStr">
        <is>
          <t>https://www.etenders.gov.za/home/Download/?blobName=77e2743d-a75c-418b-bbc2-f0d806ac58e4.pdf&amp;downloadedFileName=Notice%20302026%20Document%20-%20GIS%20training.pdf</t>
        </is>
      </c>
      <c r="R59" t="inlineStr"/>
      <c r="S59" t="inlineStr"/>
      <c r="T59" t="inlineStr"/>
      <c r="U59" t="inlineStr"/>
      <c r="V59" t="inlineStr"/>
    </row>
    <row r="60">
      <c r="A60" s="2" t="n">
        <v>46178</v>
      </c>
      <c r="B60" t="n">
        <v>157</v>
      </c>
      <c r="C60" t="inlineStr">
        <is>
          <t>Nedlac 2026/27/01</t>
        </is>
      </c>
      <c r="D60" s="2" t="n">
        <v>46178</v>
      </c>
      <c r="E60" s="2" t="n">
        <v>46203</v>
      </c>
      <c r="F60" t="inlineStr">
        <is>
          <t>11:00</t>
        </is>
      </c>
      <c r="G60" t="inlineStr">
        <is>
          <t>Request for Bid(Open-Tender)</t>
        </is>
      </c>
      <c r="H60" t="inlineStr">
        <is>
          <t>INVITATION TO SUBMIT PROPOSALS TO PROVIDE TECHNICAL SUPPORT TO THE ECONOMICS UNIT AT NEDLAC</t>
        </is>
      </c>
      <c r="I60" t="inlineStr">
        <is>
          <t>ETENDERS.GOV.ZA</t>
        </is>
      </c>
      <c r="J60" t="inlineStr">
        <is>
          <t>National Economic Development and Labour Council</t>
        </is>
      </c>
      <c r="K60" t="inlineStr">
        <is>
          <t>Gauteng</t>
        </is>
      </c>
      <c r="L60" t="inlineStr">
        <is>
          <t>No</t>
        </is>
      </c>
      <c r="M60" t="inlineStr">
        <is>
          <t>Services: Professional</t>
        </is>
      </c>
      <c r="N60" t="inlineStr">
        <is>
          <t>Yes</t>
        </is>
      </c>
      <c r="O60" t="inlineStr">
        <is>
          <t>No</t>
        </is>
      </c>
      <c r="P60" t="inlineStr">
        <is>
          <t>Online - MS Teams</t>
        </is>
      </c>
      <c r="Q60" s="3" t="inlineStr">
        <is>
          <t>https://www.etenders.gov.za/home/Download/?blobName=651211ff-dc02-4e85-9a0f-233c2857f646.docx&amp;downloadedFileName=Tender%20Invitation%20and%20Standard%20Bidding%20Documents_.docx</t>
        </is>
      </c>
      <c r="R60" t="inlineStr"/>
      <c r="S60" t="inlineStr"/>
      <c r="T60" t="inlineStr"/>
      <c r="U60" t="inlineStr"/>
      <c r="V60" t="inlineStr"/>
    </row>
    <row r="61">
      <c r="A61" s="2" t="n">
        <v>46178</v>
      </c>
      <c r="B61" t="n">
        <v>156</v>
      </c>
      <c r="C61" t="inlineStr">
        <is>
          <t>NGB 001(2026/2027)</t>
        </is>
      </c>
      <c r="D61" s="2" t="n">
        <v>46178</v>
      </c>
      <c r="E61" s="2" t="n">
        <v>46203</v>
      </c>
      <c r="F61" t="inlineStr">
        <is>
          <t>11:00</t>
        </is>
      </c>
      <c r="G61" t="inlineStr">
        <is>
          <t>Request for Bid(Open-Tender)</t>
        </is>
      </c>
      <c r="H61" t="inlineStr">
        <is>
          <t>HOSTED DATACENTER AND DISASTER RECOVERY SERVICES FOR A PERIOD OF TWENTY-FOUR (24) MONTHS</t>
        </is>
      </c>
      <c r="I61" t="inlineStr">
        <is>
          <t>ETENDERS.GOV.ZA</t>
        </is>
      </c>
      <c r="J61" t="inlineStr">
        <is>
          <t>National Gambling Board of South Africa</t>
        </is>
      </c>
      <c r="K61" t="inlineStr">
        <is>
          <t>Gauteng</t>
        </is>
      </c>
      <c r="L61" t="inlineStr">
        <is>
          <t>No</t>
        </is>
      </c>
      <c r="M61" t="inlineStr">
        <is>
          <t>Services: Professional</t>
        </is>
      </c>
      <c r="N61" t="inlineStr">
        <is>
          <t>Yes</t>
        </is>
      </c>
      <c r="O61" t="inlineStr">
        <is>
          <t>Yes</t>
        </is>
      </c>
      <c r="P61" t="inlineStr">
        <is>
          <t>https://events.teams.microsoft.com/event/2c07a971-fdc4-4869-9e47-a74ee2a7d93f@f36cd016-c0f3-4b1b-83c</t>
        </is>
      </c>
      <c r="Q61" s="3" t="inlineStr">
        <is>
          <t>https://www.etenders.gov.za/home/Download/?blobName=c4e8b6b5-a5fb-4a3f-9bcf-0d722304fc7c.pdf&amp;downloadedFileName=NGB%20001(2026-2027)%20Datacenter%20and%20DRS.pdf</t>
        </is>
      </c>
      <c r="R61" t="inlineStr"/>
      <c r="S61" t="inlineStr"/>
      <c r="T61" t="inlineStr"/>
      <c r="U61" t="inlineStr"/>
      <c r="V61" t="inlineStr"/>
    </row>
    <row r="62">
      <c r="A62" s="2" t="n">
        <v>46178</v>
      </c>
      <c r="B62" t="n">
        <v>155</v>
      </c>
      <c r="C62" t="inlineStr">
        <is>
          <t>DRT 02/05/2026</t>
        </is>
      </c>
      <c r="D62" s="2" t="n">
        <v>46178</v>
      </c>
      <c r="E62" s="2" t="n">
        <v>46210</v>
      </c>
      <c r="F62" t="inlineStr">
        <is>
          <t>11:00</t>
        </is>
      </c>
      <c r="G62" t="inlineStr">
        <is>
          <t>Request for Bid(Open-Tender)</t>
        </is>
      </c>
      <c r="H62" t="inlineStr">
        <is>
          <t>ESTABLISHMENT OF A PANEL OF SERVICE PROVIDERS FOR THE SUPPLY AND DELIVERY OF PERSONAL PROTECTIVE AND SAFETY EQUIPMENT FOR A PERIOD OF THREE YEARS TO THE DEPARTMENT</t>
        </is>
      </c>
      <c r="I62" t="inlineStr">
        <is>
          <t>ETENDERS.GOV.ZA</t>
        </is>
      </c>
      <c r="J62" t="inlineStr">
        <is>
          <t>Gauteng - Roads and Transport</t>
        </is>
      </c>
      <c r="K62" t="inlineStr">
        <is>
          <t>Gauteng</t>
        </is>
      </c>
      <c r="L62" t="inlineStr">
        <is>
          <t>No</t>
        </is>
      </c>
      <c r="M62" t="inlineStr">
        <is>
          <t>Services: Professional</t>
        </is>
      </c>
      <c r="N62" t="inlineStr">
        <is>
          <t>Yes</t>
        </is>
      </c>
      <c r="O62" t="inlineStr">
        <is>
          <t>Yes</t>
        </is>
      </c>
      <c r="P62" t="inlineStr">
        <is>
          <t>Main Boardroom, Department of Roads and Transport, 1215 Nico Smit Street, Koedoespoort, Pretoria.</t>
        </is>
      </c>
      <c r="Q62" s="3" t="inlineStr">
        <is>
          <t>https://www.etenders.gov.za/home/Download/?blobName=fb14e8a9-ceba-4e01-9324-0130281e3191.pdf&amp;downloadedFileName=PPE%20TENDER%20DOCUMENT%20DRT%2002%2005%202026.pdf</t>
        </is>
      </c>
      <c r="R62" t="inlineStr"/>
      <c r="S62" t="inlineStr"/>
      <c r="T62" t="inlineStr"/>
      <c r="U62" t="inlineStr"/>
      <c r="V62" t="inlineStr"/>
    </row>
    <row r="63">
      <c r="A63" s="2" t="n">
        <v>46178</v>
      </c>
      <c r="B63" t="n">
        <v>154</v>
      </c>
      <c r="C63" t="inlineStr">
        <is>
          <t>DRT 01/05/2026</t>
        </is>
      </c>
      <c r="D63" s="2" t="n">
        <v>46178</v>
      </c>
      <c r="E63" s="2" t="n">
        <v>46209</v>
      </c>
      <c r="F63" t="inlineStr">
        <is>
          <t>11:00</t>
        </is>
      </c>
      <c r="G63" t="inlineStr">
        <is>
          <t>Request for Bid(Open-Tender)</t>
        </is>
      </c>
      <c r="H63" t="inlineStr">
        <is>
          <t>Appointment of a service provider to perform specialized traffic surveying on provincial roads in Gauteng Province for a period of (3) three years.</t>
        </is>
      </c>
      <c r="I63" t="inlineStr">
        <is>
          <t>ETENDERS.GOV.ZA</t>
        </is>
      </c>
      <c r="J63" t="inlineStr">
        <is>
          <t>Gauteng - Roads and Transport</t>
        </is>
      </c>
      <c r="K63" t="inlineStr">
        <is>
          <t>Gauteng</t>
        </is>
      </c>
      <c r="L63" t="inlineStr">
        <is>
          <t>No</t>
        </is>
      </c>
      <c r="M63" t="inlineStr">
        <is>
          <t>Services: Professional</t>
        </is>
      </c>
      <c r="N63" t="inlineStr">
        <is>
          <t>Yes</t>
        </is>
      </c>
      <c r="O63" t="inlineStr">
        <is>
          <t>Yes</t>
        </is>
      </c>
      <c r="P63" t="inlineStr">
        <is>
          <t>Main Boardroom, Department of Roads and Transport, 1215 Nico Smit Street, Koedoespoort, Pretoria.</t>
        </is>
      </c>
      <c r="Q63" s="3" t="inlineStr">
        <is>
          <t>https://www.etenders.gov.za/home/Download/?blobName=cfe4e49a-855d-42d0-839e-4fafcf2d4715.pdf&amp;downloadedFileName=Procurement%20Government%20GCC.pdf</t>
        </is>
      </c>
      <c r="R63" t="inlineStr"/>
      <c r="S63" t="inlineStr"/>
      <c r="T63" t="inlineStr"/>
      <c r="U63" t="inlineStr"/>
      <c r="V63" t="inlineStr"/>
    </row>
    <row r="64">
      <c r="A64" s="2" t="n">
        <v>46178</v>
      </c>
      <c r="B64" t="n">
        <v>153</v>
      </c>
      <c r="C64" t="inlineStr">
        <is>
          <t>FIN2026-BID-013</t>
        </is>
      </c>
      <c r="D64" s="2" t="n">
        <v>46178</v>
      </c>
      <c r="E64" s="2" t="n">
        <v>46192</v>
      </c>
      <c r="F64" t="inlineStr">
        <is>
          <t>12:00</t>
        </is>
      </c>
      <c r="G64" t="inlineStr">
        <is>
          <t>Request for Bid(Open-Tender)</t>
        </is>
      </c>
      <c r="H64" t="inlineStr">
        <is>
          <t>PREPARATION OF GRAP COMPLIANT ANNUAL FINANCIAL STATEMENTS FOR THE 2025/2026 FINANCIAL YEAR USING CASEWARER</t>
        </is>
      </c>
      <c r="I64" t="inlineStr">
        <is>
          <t>ETENDERS.GOV.ZA</t>
        </is>
      </c>
      <c r="J64" t="inlineStr">
        <is>
          <t>uThukela Water (Pty) Ltd</t>
        </is>
      </c>
      <c r="K64" t="inlineStr">
        <is>
          <t>KwaZulu-Natal</t>
        </is>
      </c>
      <c r="L64" t="inlineStr">
        <is>
          <t>No</t>
        </is>
      </c>
      <c r="M64" t="inlineStr">
        <is>
          <t>Financial service activities, except insurance and pension funding</t>
        </is>
      </c>
      <c r="N64" t="inlineStr">
        <is>
          <t>No</t>
        </is>
      </c>
      <c r="O64" t="inlineStr">
        <is>
          <t>No</t>
        </is>
      </c>
      <c r="P64" t="inlineStr">
        <is>
          <t>N/A</t>
        </is>
      </c>
      <c r="Q64" s="3" t="inlineStr">
        <is>
          <t>https://www.etenders.gov.za/home/Download/?blobName=365349db-17cc-478a-bc73-6d16e1b6c55f.pdf&amp;downloadedFileName=TENDER%20NOTICE%20-%20FIN2026-BID-013.pdf</t>
        </is>
      </c>
      <c r="R64" t="inlineStr"/>
      <c r="S64" t="inlineStr"/>
      <c r="T64" t="inlineStr"/>
      <c r="U64" t="inlineStr"/>
      <c r="V64" t="inlineStr"/>
    </row>
    <row r="65">
      <c r="A65" s="2" t="n">
        <v>46178</v>
      </c>
      <c r="B65" t="n">
        <v>152</v>
      </c>
      <c r="C65" t="inlineStr">
        <is>
          <t>WTE1001CE</t>
        </is>
      </c>
      <c r="D65" s="2" t="n">
        <v>46178</v>
      </c>
      <c r="E65" s="2" t="n">
        <v>46191</v>
      </c>
      <c r="F65" t="inlineStr">
        <is>
          <t>11:00</t>
        </is>
      </c>
      <c r="G65" t="inlineStr">
        <is>
          <t>Request for Quotation</t>
        </is>
      </c>
      <c r="H65" t="inlineStr">
        <is>
          <t>SUPPLY AND DELIVERY OF LOCAL CONTENT HDPE PIPES AND FITTINGS TO MTHATHA DAM MCC BUILDING PROJECT AT MTHATHA DAM IN THE EASTERN CAPE PROVINCE.</t>
        </is>
      </c>
      <c r="I65" t="inlineStr">
        <is>
          <t>ETENDERS.GOV.ZA</t>
        </is>
      </c>
      <c r="J65" t="inlineStr">
        <is>
          <t>Water and Sanitation</t>
        </is>
      </c>
      <c r="K65" t="inlineStr">
        <is>
          <t>Eastern Cape</t>
        </is>
      </c>
      <c r="L65" t="inlineStr">
        <is>
          <t>No</t>
        </is>
      </c>
      <c r="M65" t="inlineStr">
        <is>
          <t>Construction of buildings</t>
        </is>
      </c>
      <c r="N65" t="inlineStr">
        <is>
          <t>Yes</t>
        </is>
      </c>
      <c r="O65" t="inlineStr">
        <is>
          <t>Yes</t>
        </is>
      </c>
      <c r="P65" t="inlineStr">
        <is>
          <t>Construction East Site Offices,Mthatha Dam,Eastern Cape Province</t>
        </is>
      </c>
      <c r="Q65" s="3" t="inlineStr">
        <is>
          <t>https://www.etenders.gov.za/home/Download/?blobName=7629c71b-5a02-4c7a-a067-b1a7346a541f.pdf&amp;downloadedFileName=WTE1001CE.pdf</t>
        </is>
      </c>
      <c r="R65" t="inlineStr"/>
      <c r="S65" t="inlineStr"/>
      <c r="T65" t="inlineStr"/>
      <c r="U65" t="inlineStr"/>
      <c r="V65" t="inlineStr"/>
    </row>
    <row r="66">
      <c r="A66" s="2" t="n">
        <v>46178</v>
      </c>
      <c r="B66" t="n">
        <v>151</v>
      </c>
      <c r="C66" t="inlineStr">
        <is>
          <t>WTE1015CE</t>
        </is>
      </c>
      <c r="D66" s="2" t="n">
        <v>46178</v>
      </c>
      <c r="E66" s="2" t="n">
        <v>46191</v>
      </c>
      <c r="F66" t="inlineStr">
        <is>
          <t>11:00</t>
        </is>
      </c>
      <c r="G66" t="inlineStr">
        <is>
          <t>Request for Quotation</t>
        </is>
      </c>
      <c r="H66" t="inlineStr">
        <is>
          <t>SUPPLY AND DELIVERY OF PARKHOMES WITH LOCAL CONTENT ITEMS AT MTHATHA DAM IN THE EASTERN CAPE PROVINCE.</t>
        </is>
      </c>
      <c r="I66" t="inlineStr">
        <is>
          <t>ETENDERS.GOV.ZA</t>
        </is>
      </c>
      <c r="J66" t="inlineStr">
        <is>
          <t>Water and Sanitation</t>
        </is>
      </c>
      <c r="K66" t="inlineStr">
        <is>
          <t>Eastern Cape</t>
        </is>
      </c>
      <c r="L66" t="inlineStr">
        <is>
          <t>No</t>
        </is>
      </c>
      <c r="M66" t="inlineStr">
        <is>
          <t>Other service activities</t>
        </is>
      </c>
      <c r="N66" t="inlineStr">
        <is>
          <t>Yes</t>
        </is>
      </c>
      <c r="O66" t="inlineStr">
        <is>
          <t>Yes</t>
        </is>
      </c>
      <c r="P66" t="inlineStr">
        <is>
          <t>Mthatha Dam Construction East Office Building</t>
        </is>
      </c>
      <c r="Q66" s="3" t="inlineStr">
        <is>
          <t>https://www.etenders.gov.za/home/Download/?blobName=8349ccea-c633-4494-abce-abb9c2dc4463.pdf&amp;downloadedFileName=WTE1015CE.pdf</t>
        </is>
      </c>
      <c r="R66" t="inlineStr"/>
      <c r="S66" t="inlineStr"/>
      <c r="T66" t="inlineStr"/>
      <c r="U66" t="inlineStr"/>
      <c r="V66" t="inlineStr"/>
    </row>
    <row r="67">
      <c r="A67" s="2" t="n">
        <v>46178</v>
      </c>
      <c r="B67" t="n">
        <v>150</v>
      </c>
      <c r="C67" t="inlineStr">
        <is>
          <t>WTE1014CE</t>
        </is>
      </c>
      <c r="D67" s="2" t="n">
        <v>46178</v>
      </c>
      <c r="E67" s="2" t="n">
        <v>46191</v>
      </c>
      <c r="F67" t="inlineStr">
        <is>
          <t>11:00</t>
        </is>
      </c>
      <c r="G67" t="inlineStr">
        <is>
          <t>Request for Quotation</t>
        </is>
      </c>
      <c r="H67" t="inlineStr">
        <is>
          <t>THE REMOVAL OF HAZARDOUS WASTE FROM CONSTRUCTION EAST – MZIMVUBU WATER PROJECTS IN THE EASTERN CAPE AND SATELLITE PROJECTS FOR A PERIOD OF 12 MONTHS</t>
        </is>
      </c>
      <c r="I67" t="inlineStr">
        <is>
          <t>ETENDERS.GOV.ZA</t>
        </is>
      </c>
      <c r="J67" t="inlineStr">
        <is>
          <t>Water and Sanitation</t>
        </is>
      </c>
      <c r="K67" t="inlineStr">
        <is>
          <t>Eastern Cape</t>
        </is>
      </c>
      <c r="L67" t="inlineStr">
        <is>
          <t>No</t>
        </is>
      </c>
      <c r="M67" t="inlineStr">
        <is>
          <t>Waste collection, treatment and disposal activities; materials recovery</t>
        </is>
      </c>
      <c r="N67" t="inlineStr">
        <is>
          <t>Yes</t>
        </is>
      </c>
      <c r="O67" t="inlineStr">
        <is>
          <t>Yes</t>
        </is>
      </c>
      <c r="P67" t="inlineStr">
        <is>
          <t>Ntabelanga Dam Access road next to MaclearTown in the Eastern Cape Province.</t>
        </is>
      </c>
      <c r="Q67" s="3" t="inlineStr">
        <is>
          <t>https://www.etenders.gov.za/home/Download/?blobName=04c0b201-e8a1-4fe1-bc94-fafa880b6456.pdf&amp;downloadedFileName=WTE1014CE.pdf</t>
        </is>
      </c>
      <c r="R67" t="inlineStr"/>
      <c r="S67" t="inlineStr"/>
      <c r="T67" t="inlineStr"/>
      <c r="U67" t="inlineStr"/>
      <c r="V67" t="inlineStr"/>
    </row>
    <row r="68">
      <c r="A68" s="2" t="n">
        <v>46178</v>
      </c>
      <c r="B68" t="n">
        <v>149</v>
      </c>
      <c r="C68" t="inlineStr">
        <is>
          <t>RFQ/SAEON/ARIDLAND/WIRELESS WEATHER STATION/57/202</t>
        </is>
      </c>
      <c r="D68" s="2" t="n">
        <v>46178</v>
      </c>
      <c r="E68" s="2" t="n">
        <v>46184</v>
      </c>
      <c r="F68" t="inlineStr">
        <is>
          <t>11:00</t>
        </is>
      </c>
      <c r="G68" t="inlineStr">
        <is>
          <t>Request for Quotation</t>
        </is>
      </c>
      <c r="H68" t="inlineStr">
        <is>
          <t>APPOINTMENT OF A SERVICE PROVIDER FOR THE SUPPLY AND DELIVERY OF A WIRELESS WEATHER STATION FOR ARID LANDS NODE</t>
        </is>
      </c>
      <c r="I68" t="inlineStr">
        <is>
          <t>ETENDERS.GOV.ZA</t>
        </is>
      </c>
      <c r="J68" t="inlineStr">
        <is>
          <t>National Research Foundation</t>
        </is>
      </c>
      <c r="K68" t="inlineStr">
        <is>
          <t>Northern Cape</t>
        </is>
      </c>
      <c r="L68" t="inlineStr">
        <is>
          <t>No</t>
        </is>
      </c>
      <c r="M68" t="inlineStr">
        <is>
          <t>Scientific research and development</t>
        </is>
      </c>
      <c r="N68" t="inlineStr">
        <is>
          <t>No</t>
        </is>
      </c>
      <c r="O68" t="inlineStr">
        <is>
          <t>No</t>
        </is>
      </c>
      <c r="P68" t="inlineStr">
        <is>
          <t>N/A</t>
        </is>
      </c>
      <c r="Q68" s="3" t="inlineStr">
        <is>
          <t>https://www.etenders.gov.za/home/Download/?blobName=20f71843-4750-4e6a-996e-bb98152dc282.pdf&amp;downloadedFileName=RFQ%20for%20Weather%20Station.pdf</t>
        </is>
      </c>
      <c r="R68" t="inlineStr"/>
      <c r="S68" t="inlineStr"/>
      <c r="T68" t="inlineStr"/>
      <c r="U68" t="inlineStr"/>
      <c r="V68" t="inlineStr"/>
    </row>
    <row r="69">
      <c r="A69" s="2" t="n">
        <v>46178</v>
      </c>
      <c r="B69" t="n">
        <v>148</v>
      </c>
      <c r="C69" t="inlineStr">
        <is>
          <t>WTE1010CE</t>
        </is>
      </c>
      <c r="D69" s="2" t="n">
        <v>46178</v>
      </c>
      <c r="E69" s="2" t="n">
        <v>46191</v>
      </c>
      <c r="F69" t="inlineStr">
        <is>
          <t>11:00</t>
        </is>
      </c>
      <c r="G69" t="inlineStr">
        <is>
          <t>Request for Quotation</t>
        </is>
      </c>
      <c r="H69" t="inlineStr">
        <is>
          <t>SUPPLY AND DELIVERY OF LOCAL CONTENT CONCRETE BARRIERS TO MZIMVUBU WATER PROJECT PROVINCE -ACCESS ROAD NEAR MACLEAR IN THE EASTERN CAPE PROVINCE.</t>
        </is>
      </c>
      <c r="I69" t="inlineStr">
        <is>
          <t>ETENDERS.GOV.ZA</t>
        </is>
      </c>
      <c r="J69" t="inlineStr">
        <is>
          <t>Water and Sanitation</t>
        </is>
      </c>
      <c r="K69" t="inlineStr">
        <is>
          <t>Eastern Cape</t>
        </is>
      </c>
      <c r="L69" t="inlineStr">
        <is>
          <t>No</t>
        </is>
      </c>
      <c r="M69" t="inlineStr">
        <is>
          <t>Construction of buildings</t>
        </is>
      </c>
      <c r="N69" t="inlineStr">
        <is>
          <t>Yes</t>
        </is>
      </c>
      <c r="O69" t="inlineStr">
        <is>
          <t>Yes</t>
        </is>
      </c>
      <c r="P69" t="inlineStr">
        <is>
          <t>Ntabelanga Dam Access road next to MaclearTown in the Eastern Cape Province.</t>
        </is>
      </c>
      <c r="Q69" s="3" t="inlineStr">
        <is>
          <t>https://www.etenders.gov.za/home/Download/?blobName=e8dfcd6a-8756-4308-b5d2-284e0dc57b78.pdf&amp;downloadedFileName=WTE1010CE.pdf</t>
        </is>
      </c>
      <c r="R69" t="inlineStr"/>
      <c r="S69" t="inlineStr"/>
      <c r="T69" t="inlineStr"/>
      <c r="U69" t="inlineStr"/>
      <c r="V69" t="inlineStr"/>
    </row>
    <row r="70">
      <c r="A70" s="2" t="n">
        <v>46178</v>
      </c>
      <c r="B70" t="n">
        <v>147</v>
      </c>
      <c r="C70" t="inlineStr">
        <is>
          <t>SCM 48 OF 25/26</t>
        </is>
      </c>
      <c r="D70" s="2" t="n">
        <v>46178</v>
      </c>
      <c r="E70" s="2" t="n">
        <v>46210</v>
      </c>
      <c r="F70" t="inlineStr">
        <is>
          <t>12:00</t>
        </is>
      </c>
      <c r="G70" t="inlineStr">
        <is>
          <t>Request for Bid(Open-Tender)</t>
        </is>
      </c>
      <c r="H70" t="inlineStr">
        <is>
          <t>APPOINTMENT OF SERVICE PROVIDERS ON AN OPEN TENDER PROCESS FOR THE SUPPLY AND CONSTRUCTION OF APPROXIMATELY 6000 VIP TOILETS WITHIN WARDS 1 – 41, PIETERMARITZBURG (MINIMUM CIDB GRADE 6CE or 6GB)</t>
        </is>
      </c>
      <c r="I70" t="inlineStr">
        <is>
          <t>ETENDERS.GOV.ZA</t>
        </is>
      </c>
      <c r="J70" t="inlineStr">
        <is>
          <t>Msunduzi Local Municipality</t>
        </is>
      </c>
      <c r="K70" t="inlineStr">
        <is>
          <t>KwaZulu-Natal</t>
        </is>
      </c>
      <c r="L70" t="inlineStr">
        <is>
          <t>No</t>
        </is>
      </c>
      <c r="M70" t="inlineStr">
        <is>
          <t>Construction</t>
        </is>
      </c>
      <c r="N70" t="inlineStr">
        <is>
          <t>Yes</t>
        </is>
      </c>
      <c r="O70" t="inlineStr">
        <is>
          <t>No</t>
        </is>
      </c>
      <c r="P70" t="inlineStr">
        <is>
          <t>Auditorium 1, 1st Floor, Bessie Head Library, 260 Church Street, Pietermaritzburg</t>
        </is>
      </c>
      <c r="Q70" s="3" t="inlineStr">
        <is>
          <t>https://www.etenders.gov.za/home/Download/?blobName=d19990a5-a28b-4539-b799-81bc13f6ec61.pdf&amp;downloadedFileName=Contract%20No.%20SCM%2048%20OF%2025.26%20-%20Supply%20and%20Construction%20of%20VIP%20Toilets.pdf</t>
        </is>
      </c>
      <c r="R70" t="inlineStr"/>
      <c r="S70" t="inlineStr"/>
      <c r="T70" t="inlineStr"/>
      <c r="U70" t="inlineStr"/>
      <c r="V70" t="inlineStr"/>
    </row>
    <row r="71">
      <c r="A71" s="2" t="n">
        <v>46178</v>
      </c>
      <c r="B71" t="n">
        <v>146</v>
      </c>
      <c r="C71" t="inlineStr">
        <is>
          <t>VDM/FIN/06/05/2026/01</t>
        </is>
      </c>
      <c r="D71" s="2" t="n">
        <v>46178</v>
      </c>
      <c r="E71" s="2" t="n">
        <v>46259</v>
      </c>
      <c r="F71" t="inlineStr">
        <is>
          <t>12:00</t>
        </is>
      </c>
      <c r="G71" t="inlineStr">
        <is>
          <t>Request for Bid(Open-Tender)</t>
        </is>
      </c>
      <c r="H71" t="inlineStr">
        <is>
          <t>PROVISION OF BANKING SERVICES FOR THE PERIOD OF FIVE (05) YEARS</t>
        </is>
      </c>
      <c r="I71" t="inlineStr">
        <is>
          <t>ETENDERS.GOV.ZA</t>
        </is>
      </c>
      <c r="J71" t="inlineStr">
        <is>
          <t>Vhembe District Municipality</t>
        </is>
      </c>
      <c r="K71" t="inlineStr">
        <is>
          <t>Limpopo</t>
        </is>
      </c>
      <c r="L71" t="inlineStr">
        <is>
          <t>No</t>
        </is>
      </c>
      <c r="M71" t="inlineStr">
        <is>
          <t>Administrative and support activities</t>
        </is>
      </c>
      <c r="N71" t="inlineStr">
        <is>
          <t>Yes</t>
        </is>
      </c>
      <c r="O71" t="inlineStr">
        <is>
          <t>Yes</t>
        </is>
      </c>
      <c r="P71" t="inlineStr">
        <is>
          <t>ENTERENCE OF VHEMBE DISTRICT MUNICIPALITY</t>
        </is>
      </c>
      <c r="Q71" s="3" t="inlineStr">
        <is>
          <t>https://www.etenders.gov.za/home/Download/?blobName=cfd000e7-4ba5-41f3-8ca8-a206dfd3b7af.pdf&amp;downloadedFileName=PROVISION%20OF%20BANKING%20SERVICES%20FOR%20THE%20PERIOD%20OF%20FIVE%20(05)%20YEARS.pdf</t>
        </is>
      </c>
      <c r="R71" t="inlineStr"/>
      <c r="S71" t="inlineStr"/>
      <c r="T71" t="inlineStr"/>
      <c r="U71" t="inlineStr"/>
      <c r="V71" t="inlineStr"/>
    </row>
    <row r="72">
      <c r="A72" s="2" t="n">
        <v>46178</v>
      </c>
      <c r="B72" t="n">
        <v>145</v>
      </c>
      <c r="C72" t="inlineStr">
        <is>
          <t>264S/2025/26</t>
        </is>
      </c>
      <c r="D72" s="2" t="n">
        <v>46178</v>
      </c>
      <c r="E72" s="2" t="n">
        <v>46210</v>
      </c>
      <c r="F72" t="inlineStr">
        <is>
          <t>10:00</t>
        </is>
      </c>
      <c r="G72" t="inlineStr">
        <is>
          <t>Request for Bid(Open-Tender)</t>
        </is>
      </c>
      <c r="H72" t="inlineStr">
        <is>
          <t>PROVISION OF SERVICES: DEVELOPMENT OF NEWSLETTERS AND PUBLICATIONS</t>
        </is>
      </c>
      <c r="I72" t="inlineStr">
        <is>
          <t>ETENDERS.GOV.ZA</t>
        </is>
      </c>
      <c r="J72" t="inlineStr">
        <is>
          <t>City of Cape Town</t>
        </is>
      </c>
      <c r="K72" t="inlineStr">
        <is>
          <t>Western Cape</t>
        </is>
      </c>
      <c r="L72" t="inlineStr">
        <is>
          <t>No</t>
        </is>
      </c>
      <c r="M72" t="inlineStr">
        <is>
          <t>Publishing activities</t>
        </is>
      </c>
      <c r="N72" t="inlineStr">
        <is>
          <t>Yes</t>
        </is>
      </c>
      <c r="O72" t="inlineStr">
        <is>
          <t>No</t>
        </is>
      </c>
      <c r="P72" t="inlineStr">
        <is>
          <t>https://teams.microsoft.com/meet/362408530375161?p=LzbWQlvDBYuPJVSnWX Meeting ID: 362 408 530 375 16</t>
        </is>
      </c>
      <c r="Q72" s="3" t="inlineStr">
        <is>
          <t>https://www.etenders.gov.za/home/Download/?blobName=8b3aef31-a223-429e-a5e1-28fc72953ca4.pdf&amp;downloadedFileName=264S.2025.26%20-%20SCMBAC-05%20June%202026%20(002).pdf</t>
        </is>
      </c>
      <c r="R72" t="inlineStr"/>
      <c r="S72" t="inlineStr"/>
      <c r="T72" t="inlineStr"/>
      <c r="U72" t="inlineStr"/>
      <c r="V72" t="inlineStr"/>
    </row>
    <row r="73">
      <c r="A73" s="2" t="n">
        <v>46178</v>
      </c>
      <c r="B73" t="n">
        <v>144</v>
      </c>
      <c r="C73" t="inlineStr">
        <is>
          <t>265G/2025/26</t>
        </is>
      </c>
      <c r="D73" s="2" t="n">
        <v>46178</v>
      </c>
      <c r="E73" s="2" t="n">
        <v>46217</v>
      </c>
      <c r="F73" t="inlineStr">
        <is>
          <t>10:00</t>
        </is>
      </c>
      <c r="G73" t="inlineStr">
        <is>
          <t>Request for Bid(Open-Tender)</t>
        </is>
      </c>
      <c r="H73" t="inlineStr">
        <is>
          <t>SUPPLY, DELIVERY AND OFF-LOADING OF ALUMINIUM SUPHATE SOLUTION FOR USE IN DRINKING WATER TREATMENT AND THE MAINTENANCE OF DOSING EQUIPMENT</t>
        </is>
      </c>
      <c r="I73" t="inlineStr">
        <is>
          <t>ETENDERS.GOV.ZA</t>
        </is>
      </c>
      <c r="J73" t="inlineStr">
        <is>
          <t>City of Cape Town</t>
        </is>
      </c>
      <c r="K73" t="inlineStr">
        <is>
          <t>Western Cape</t>
        </is>
      </c>
      <c r="L73" t="inlineStr">
        <is>
          <t>No</t>
        </is>
      </c>
      <c r="M73" t="inlineStr">
        <is>
          <t>Services: General</t>
        </is>
      </c>
      <c r="N73" t="inlineStr">
        <is>
          <t>Yes</t>
        </is>
      </c>
      <c r="O73" t="inlineStr">
        <is>
          <t>No</t>
        </is>
      </c>
      <c r="P73" t="inlineStr">
        <is>
          <t>Blackheath WTP (Cape Town Western Cape, 7580) or https://teams.microsoft.com/meet/353554599278090?</t>
        </is>
      </c>
      <c r="Q73" s="3" t="inlineStr">
        <is>
          <t>https://www.etenders.gov.za/home/Download/?blobName=c85a20c2-197a-4194-ad3a-102d051d342e.pdf&amp;downloadedFileName=Tender%20265G-2025-26%20Aluminium%20Sulphate%20%20FINAL.pdf</t>
        </is>
      </c>
      <c r="R73" t="inlineStr"/>
      <c r="S73" t="inlineStr"/>
      <c r="T73" t="inlineStr"/>
      <c r="U73" t="inlineStr"/>
      <c r="V73" t="inlineStr"/>
    </row>
    <row r="74">
      <c r="A74" s="2" t="n">
        <v>46178</v>
      </c>
      <c r="B74" t="n">
        <v>143</v>
      </c>
      <c r="C74" t="inlineStr">
        <is>
          <t>266G/2025/26</t>
        </is>
      </c>
      <c r="D74" s="2" t="n">
        <v>46178</v>
      </c>
      <c r="E74" s="2" t="n">
        <v>46212</v>
      </c>
      <c r="F74" t="inlineStr">
        <is>
          <t>10:00</t>
        </is>
      </c>
      <c r="G74" t="inlineStr">
        <is>
          <t>Request for Bid(Open-Tender)</t>
        </is>
      </c>
      <c r="H74" t="inlineStr">
        <is>
          <t>SUPPLY AND DELIVERY OF STEP OUTS AND VARIOUS ARTICLES OF PROTECTIVE CLOTHING FOR THE FIRE AND RESCUE SERVICES</t>
        </is>
      </c>
      <c r="I74" t="inlineStr">
        <is>
          <t>ETENDERS.GOV.ZA</t>
        </is>
      </c>
      <c r="J74" t="inlineStr">
        <is>
          <t>City of Cape Town</t>
        </is>
      </c>
      <c r="K74" t="inlineStr">
        <is>
          <t>Western Cape</t>
        </is>
      </c>
      <c r="L74" t="inlineStr">
        <is>
          <t>No</t>
        </is>
      </c>
      <c r="M74" t="inlineStr">
        <is>
          <t>Supplies: General</t>
        </is>
      </c>
      <c r="N74" t="inlineStr">
        <is>
          <t>Yes</t>
        </is>
      </c>
      <c r="O74" t="inlineStr">
        <is>
          <t>No</t>
        </is>
      </c>
      <c r="P74" t="inlineStr">
        <is>
          <t>MS Teams: Meeting ID: 331 542 466 369 088 Passcode: go3mt2wf</t>
        </is>
      </c>
      <c r="Q74" s="3" t="inlineStr">
        <is>
          <t>https://www.etenders.gov.za/home/Download/?blobName=7e0b20f1-453a-498e-8855-c265de3ac11e.pdf&amp;downloadedFileName=266G-2025-26%20Final%20Tender%20document_.pdf</t>
        </is>
      </c>
      <c r="R74" t="inlineStr"/>
      <c r="S74" t="inlineStr"/>
      <c r="T74" t="inlineStr"/>
      <c r="U74" t="inlineStr"/>
      <c r="V74" t="inlineStr"/>
    </row>
    <row r="75">
      <c r="A75" s="2" t="n">
        <v>46178</v>
      </c>
      <c r="B75" t="n">
        <v>142</v>
      </c>
      <c r="C75" t="inlineStr">
        <is>
          <t>269G/2025/26</t>
        </is>
      </c>
      <c r="D75" s="2" t="n">
        <v>46178</v>
      </c>
      <c r="E75" s="2" t="n">
        <v>46213</v>
      </c>
      <c r="F75" t="inlineStr">
        <is>
          <t>10:00</t>
        </is>
      </c>
      <c r="G75" t="inlineStr">
        <is>
          <t>Request for Bid(Open-Tender)</t>
        </is>
      </c>
      <c r="H75" t="inlineStr">
        <is>
          <t>SUPPLY, DELIVERY AND OFF-LOADING OF GALVANISED STEEL TRANSMISSION POLES, STREETLIGHTING POLES AND BRACKETS</t>
        </is>
      </c>
      <c r="I75" t="inlineStr">
        <is>
          <t>ETENDERS.GOV.ZA</t>
        </is>
      </c>
      <c r="J75" t="inlineStr">
        <is>
          <t>City of Cape Town</t>
        </is>
      </c>
      <c r="K75" t="inlineStr">
        <is>
          <t>Western Cape</t>
        </is>
      </c>
      <c r="L75" t="inlineStr">
        <is>
          <t>No</t>
        </is>
      </c>
      <c r="M75" t="inlineStr">
        <is>
          <t>Services: Electrical</t>
        </is>
      </c>
      <c r="N75" t="inlineStr">
        <is>
          <t>Yes</t>
        </is>
      </c>
      <c r="O75" t="inlineStr">
        <is>
          <t>No</t>
        </is>
      </c>
      <c r="P75" t="inlineStr">
        <is>
          <t>https://teams.microsoft.com/meet/31535160790 0635?p=TM5pSEBoRhVyY6Efhc</t>
        </is>
      </c>
      <c r="Q75" s="3" t="inlineStr">
        <is>
          <t>https://www.etenders.gov.za/home/Download/?blobName=b6c2e8c4-75e9-4c7c-b507-f482fddc3aba.pdf&amp;downloadedFileName=Tender%20Document.pdf</t>
        </is>
      </c>
      <c r="R75" t="inlineStr"/>
      <c r="S75" t="inlineStr"/>
      <c r="T75" t="inlineStr"/>
      <c r="U75" t="inlineStr"/>
      <c r="V75" t="inlineStr"/>
    </row>
    <row r="76">
      <c r="A76" s="2" t="n">
        <v>46178</v>
      </c>
      <c r="B76" t="n">
        <v>141</v>
      </c>
      <c r="C76" t="inlineStr">
        <is>
          <t>273G/2025/26</t>
        </is>
      </c>
      <c r="D76" s="2" t="n">
        <v>46178</v>
      </c>
      <c r="E76" s="2" t="n">
        <v>46217</v>
      </c>
      <c r="F76" t="inlineStr">
        <is>
          <t>10:00</t>
        </is>
      </c>
      <c r="G76" t="inlineStr">
        <is>
          <t>Request for Bid(Open-Tender)</t>
        </is>
      </c>
      <c r="H76" t="inlineStr">
        <is>
          <t>SUPPLY AND DELIVERY OF OFFICE STATIONERY ON AN ADHOC BASIS</t>
        </is>
      </c>
      <c r="I76" t="inlineStr">
        <is>
          <t>ETENDERS.GOV.ZA</t>
        </is>
      </c>
      <c r="J76" t="inlineStr">
        <is>
          <t>City of Cape Town</t>
        </is>
      </c>
      <c r="K76" t="inlineStr">
        <is>
          <t>Western Cape</t>
        </is>
      </c>
      <c r="L76" t="inlineStr">
        <is>
          <t>No</t>
        </is>
      </c>
      <c r="M76" t="inlineStr">
        <is>
          <t>Services: Electrical</t>
        </is>
      </c>
      <c r="N76" t="inlineStr">
        <is>
          <t>Yes</t>
        </is>
      </c>
      <c r="O76" t="inlineStr">
        <is>
          <t>No</t>
        </is>
      </c>
      <c r="P76" t="inlineStr">
        <is>
          <t>https://teams.microsoft.com/meet/34245199937133?p=BlcAMKLOcM7nsEIHsw</t>
        </is>
      </c>
      <c r="Q76" s="3" t="inlineStr">
        <is>
          <t>https://www.etenders.gov.za/home/Download/?blobName=5d522bb2-d1d9-4dfd-8825-32a4a683cb72.pdf&amp;downloadedFileName=273G-2025-26_Supply%20and%20delivery%20of%20office%20stationery%20on%20an%20adhoc%20basis_Final.pdf</t>
        </is>
      </c>
      <c r="R76" t="inlineStr"/>
      <c r="S76" t="inlineStr"/>
      <c r="T76" t="inlineStr"/>
      <c r="U76" t="inlineStr"/>
      <c r="V76" t="inlineStr"/>
    </row>
    <row r="77">
      <c r="A77" s="2" t="n">
        <v>46178</v>
      </c>
      <c r="B77" t="n">
        <v>140</v>
      </c>
      <c r="C77" t="inlineStr">
        <is>
          <t>268G/2025/26</t>
        </is>
      </c>
      <c r="D77" s="2" t="n">
        <v>46178</v>
      </c>
      <c r="E77" s="2" t="n">
        <v>46213</v>
      </c>
      <c r="F77" t="inlineStr">
        <is>
          <t>10:00</t>
        </is>
      </c>
      <c r="G77" t="inlineStr">
        <is>
          <t>Request for Bid(Open-Tender)</t>
        </is>
      </c>
      <c r="H77" t="inlineStr">
        <is>
          <t>MANUFACTURE, TESTING, SUPPLY AND DELIVERY OF POLE MOUNTED SERVICE DISTRIBUTION, STREETLIGHT CONTROL AND METER BOXES CONTRACT PERIOD: NOT EXCEEDING THIRTY-SIX (36) MONTHS FROM DATE OF COMMENCEMENT OF CONTRACT</t>
        </is>
      </c>
      <c r="I77" t="inlineStr">
        <is>
          <t>ETENDERS.GOV.ZA</t>
        </is>
      </c>
      <c r="J77" t="inlineStr">
        <is>
          <t>City of Cape Town</t>
        </is>
      </c>
      <c r="K77" t="inlineStr">
        <is>
          <t>Western Cape</t>
        </is>
      </c>
      <c r="L77" t="inlineStr">
        <is>
          <t>No</t>
        </is>
      </c>
      <c r="M77" t="inlineStr">
        <is>
          <t>Services: Electrical</t>
        </is>
      </c>
      <c r="N77" t="inlineStr">
        <is>
          <t>Yes</t>
        </is>
      </c>
      <c r="O77" t="inlineStr">
        <is>
          <t>Yes</t>
        </is>
      </c>
      <c r="P77" t="inlineStr">
        <is>
          <t>https://teams.microsoft.com/meet/353405338144646?p=UHkpEQV2LmtBs7JXDb</t>
        </is>
      </c>
      <c r="Q77" s="3" t="inlineStr">
        <is>
          <t>https://www.etenders.gov.za/home/Download/?blobName=d90a7627-5b6c-4984-b66a-0081cef2d4f0.pdf&amp;downloadedFileName=Tender%20Document_268G_2025_26.pdf</t>
        </is>
      </c>
      <c r="R77" t="inlineStr"/>
      <c r="S77" t="inlineStr"/>
      <c r="T77" t="inlineStr"/>
      <c r="U77" t="inlineStr"/>
      <c r="V77" t="inlineStr"/>
    </row>
    <row r="78">
      <c r="A78" s="2" t="n">
        <v>46178</v>
      </c>
      <c r="B78" t="n">
        <v>139</v>
      </c>
      <c r="C78" t="inlineStr">
        <is>
          <t>270Q/2025/26</t>
        </is>
      </c>
      <c r="D78" s="2" t="n">
        <v>46178</v>
      </c>
      <c r="E78" s="2" t="n">
        <v>46209</v>
      </c>
      <c r="F78" t="inlineStr">
        <is>
          <t>10:00</t>
        </is>
      </c>
      <c r="G78" t="inlineStr">
        <is>
          <t>Request for Bid(Open-Tender)</t>
        </is>
      </c>
      <c r="H78" t="inlineStr">
        <is>
          <t>GUGULETHU INFILL HOUSING PROJECT: CONSTRUCTION OF 148 NEW &amp; 405 INCOMPLETE BNG TOP STRUCTURES, ASSOCIATED LANDSCAPING, ELECTRICAL AND CIVIL WORKS FOR THE CITY OF CAPE TOWN</t>
        </is>
      </c>
      <c r="I78" t="inlineStr">
        <is>
          <t>ETENDERS.GOV.ZA</t>
        </is>
      </c>
      <c r="J78" t="inlineStr">
        <is>
          <t>City of Cape Town</t>
        </is>
      </c>
      <c r="K78" t="inlineStr">
        <is>
          <t>Western Cape</t>
        </is>
      </c>
      <c r="L78" t="inlineStr">
        <is>
          <t>No</t>
        </is>
      </c>
      <c r="M78" t="inlineStr">
        <is>
          <t>Construction of buildings</t>
        </is>
      </c>
      <c r="N78" t="inlineStr">
        <is>
          <t>Yes</t>
        </is>
      </c>
      <c r="O78" t="inlineStr">
        <is>
          <t>Yes</t>
        </is>
      </c>
      <c r="P78" t="inlineStr">
        <is>
          <t>Fezeka Sub Council Chambers, corner of Steve Biko Drive &amp; Goven Mbeki Road, Gugulethu, starting at 1</t>
        </is>
      </c>
      <c r="Q78" s="3" t="inlineStr">
        <is>
          <t>https://www.etenders.gov.za/home/Download/?blobName=956bd356-16db-4842-ab64-3b2223a7da21.pdf&amp;downloadedFileName=270Q-2025-26%20Advert%20Document.pdf</t>
        </is>
      </c>
      <c r="R78" t="inlineStr"/>
      <c r="S78" t="inlineStr"/>
      <c r="T78" t="inlineStr"/>
      <c r="U78" t="inlineStr"/>
      <c r="V78" t="inlineStr"/>
    </row>
    <row r="79">
      <c r="A79" s="2" t="n">
        <v>46178</v>
      </c>
      <c r="B79" t="n">
        <v>138</v>
      </c>
      <c r="C79" t="inlineStr">
        <is>
          <t>267G/2025/26</t>
        </is>
      </c>
      <c r="D79" s="2" t="n">
        <v>46178</v>
      </c>
      <c r="E79" s="2" t="n">
        <v>46212</v>
      </c>
      <c r="F79" t="inlineStr">
        <is>
          <t>10:00</t>
        </is>
      </c>
      <c r="G79" t="inlineStr">
        <is>
          <t>Request for Bid(Open-Tender)</t>
        </is>
      </c>
      <c r="H79" t="inlineStr">
        <is>
          <t>SUPPLY, DELIVERY AND OFFLOADING OF LED STREET LIGHTING LUMINAIRES</t>
        </is>
      </c>
      <c r="I79" t="inlineStr">
        <is>
          <t>ETENDERS.GOV.ZA</t>
        </is>
      </c>
      <c r="J79" t="inlineStr">
        <is>
          <t>City of Cape Town</t>
        </is>
      </c>
      <c r="K79" t="inlineStr">
        <is>
          <t>Western Cape</t>
        </is>
      </c>
      <c r="L79" t="inlineStr">
        <is>
          <t>No</t>
        </is>
      </c>
      <c r="M79" t="inlineStr">
        <is>
          <t>Services: Electrical</t>
        </is>
      </c>
      <c r="N79" t="inlineStr">
        <is>
          <t>Yes</t>
        </is>
      </c>
      <c r="O79" t="inlineStr">
        <is>
          <t>No</t>
        </is>
      </c>
      <c r="P79" t="inlineStr">
        <is>
          <t>N/A</t>
        </is>
      </c>
      <c r="Q79" s="3" t="inlineStr">
        <is>
          <t>https://www.etenders.gov.za/home/Download/?blobName=9739e3b3-6371-41a9-bcc0-ea2debe16b0a.pdf&amp;downloadedFileName=267G-25-25%20SCM%20542%20V10_NT_Goods%20and%20Services%20-%20SCM%20Vetted.pdf</t>
        </is>
      </c>
      <c r="R79" t="inlineStr"/>
      <c r="S79" t="inlineStr"/>
      <c r="T79" t="inlineStr"/>
      <c r="U79" t="inlineStr"/>
      <c r="V79" t="inlineStr"/>
    </row>
    <row r="80">
      <c r="A80" s="2" t="n">
        <v>46178</v>
      </c>
      <c r="B80" t="n">
        <v>137</v>
      </c>
      <c r="C80" t="inlineStr">
        <is>
          <t>271S/2025/26</t>
        </is>
      </c>
      <c r="D80" s="2" t="n">
        <v>46178</v>
      </c>
      <c r="E80" s="2" t="n">
        <v>46210</v>
      </c>
      <c r="F80" t="inlineStr">
        <is>
          <t>10:00</t>
        </is>
      </c>
      <c r="G80" t="inlineStr">
        <is>
          <t>Request for Proposal</t>
        </is>
      </c>
      <c r="H80" t="inlineStr">
        <is>
          <t>TENDER DESCRIPTION: APPOINTMENT OF A SERVICE PROVIDER TO PROVIDE FIRST AID TRAINING TO CITY OF CAPE TOWN EMPLOYEES.</t>
        </is>
      </c>
      <c r="I80" t="inlineStr">
        <is>
          <t>ETENDERS.GOV.ZA</t>
        </is>
      </c>
      <c r="J80" t="inlineStr">
        <is>
          <t>City of Cape Town</t>
        </is>
      </c>
      <c r="K80" t="inlineStr">
        <is>
          <t>Western Cape</t>
        </is>
      </c>
      <c r="L80" t="inlineStr">
        <is>
          <t>No</t>
        </is>
      </c>
      <c r="M80" t="inlineStr">
        <is>
          <t>Services: General</t>
        </is>
      </c>
      <c r="N80" t="inlineStr">
        <is>
          <t>Yes</t>
        </is>
      </c>
      <c r="O80" t="inlineStr">
        <is>
          <t>No</t>
        </is>
      </c>
      <c r="P80" t="inlineStr">
        <is>
          <t>https://teams.microsoft.com/meet/346069325380267?p=vSSkXlRvt5wFIMudPB</t>
        </is>
      </c>
      <c r="Q80" s="3" t="inlineStr">
        <is>
          <t>https://www.etenders.gov.za/home/Download/?blobName=a192edc7-f1dc-4959-9baa-57c3e79f613a.pdf&amp;downloadedFileName=271S_2025_26_Tender%20document_FINAL%20DOC.pdf</t>
        </is>
      </c>
      <c r="R80" t="inlineStr"/>
      <c r="S80" t="inlineStr"/>
      <c r="T80" t="inlineStr"/>
      <c r="U80" t="inlineStr"/>
      <c r="V80" t="inlineStr"/>
    </row>
    <row r="81">
      <c r="A81" s="2" t="n">
        <v>46178</v>
      </c>
      <c r="B81" t="n">
        <v>136</v>
      </c>
      <c r="C81" t="inlineStr">
        <is>
          <t>SUPPLIES &amp; SERVICES CONTRACT No. 53 (R) OF 2026</t>
        </is>
      </c>
      <c r="D81" s="2" t="n">
        <v>46178</v>
      </c>
      <c r="E81" s="2" t="n">
        <v>46211</v>
      </c>
      <c r="F81" t="inlineStr">
        <is>
          <t>12:00</t>
        </is>
      </c>
      <c r="G81" t="inlineStr">
        <is>
          <t>Request for Bid(Open-Tender)</t>
        </is>
      </c>
      <c r="H81" t="inlineStr">
        <is>
          <t>REPAIRS AND MAINTENANCE OF RAILWAY SIDINGS FOR THE MSUNDUZI MUNICIPALITY</t>
        </is>
      </c>
      <c r="I81" t="inlineStr">
        <is>
          <t>ETENDERS.GOV.ZA</t>
        </is>
      </c>
      <c r="J81" t="inlineStr">
        <is>
          <t>Msunduzi Local Municipality</t>
        </is>
      </c>
      <c r="K81" t="inlineStr">
        <is>
          <t>KwaZulu-Natal</t>
        </is>
      </c>
      <c r="L81" t="inlineStr">
        <is>
          <t>No</t>
        </is>
      </c>
      <c r="M81" t="inlineStr">
        <is>
          <t>Repair and installation of machinery and equipment</t>
        </is>
      </c>
      <c r="N81" t="inlineStr">
        <is>
          <t>Yes</t>
        </is>
      </c>
      <c r="O81" t="inlineStr">
        <is>
          <t>Yes</t>
        </is>
      </c>
      <c r="P81" t="inlineStr">
        <is>
          <t>Auditorium No. 1, 1st Floor, Bessie Head Library, 260 Church Street, Pietermaritzburg, 3201</t>
        </is>
      </c>
      <c r="Q81" s="3" t="inlineStr">
        <is>
          <t>https://www.etenders.gov.za/home/Download/?blobName=9c3b03d0-4c02-4340-8555-aea4bb165f62.pdf&amp;downloadedFileName=Tender%20Document-SS%2053%20of%202026-Repairs%20To%20Railway%20Sidings.pdf</t>
        </is>
      </c>
      <c r="R81" t="inlineStr"/>
      <c r="S81" t="inlineStr"/>
      <c r="T81" t="inlineStr"/>
      <c r="U81" t="inlineStr"/>
      <c r="V81" t="inlineStr"/>
    </row>
    <row r="82">
      <c r="A82" s="2" t="n">
        <v>46178</v>
      </c>
      <c r="B82" t="n">
        <v>135</v>
      </c>
      <c r="C82" t="inlineStr">
        <is>
          <t>272S/2025/26</t>
        </is>
      </c>
      <c r="D82" s="2" t="n">
        <v>46178</v>
      </c>
      <c r="E82" s="2" t="n">
        <v>46216</v>
      </c>
      <c r="F82" t="inlineStr">
        <is>
          <t>10:00</t>
        </is>
      </c>
      <c r="G82" t="inlineStr">
        <is>
          <t>Request for Bid(Open-Tender)</t>
        </is>
      </c>
      <c r="H82" t="inlineStr">
        <is>
          <t>PROVISION, WASTE DISPOSAL AND CLEANING OF 6 AND 12 CUBIC METRE WASTE SKIPS FOR THE CITY OF CAPE TOWN</t>
        </is>
      </c>
      <c r="I82" t="inlineStr">
        <is>
          <t>ETENDERS.GOV.ZA</t>
        </is>
      </c>
      <c r="J82" t="inlineStr">
        <is>
          <t>City of Cape Town</t>
        </is>
      </c>
      <c r="K82" t="inlineStr">
        <is>
          <t>Western Cape</t>
        </is>
      </c>
      <c r="L82" t="inlineStr">
        <is>
          <t>No</t>
        </is>
      </c>
      <c r="M82" t="inlineStr">
        <is>
          <t>Waste collection, treatment and disposal activities; materials recovery</t>
        </is>
      </c>
      <c r="N82" t="inlineStr">
        <is>
          <t>Yes</t>
        </is>
      </c>
      <c r="O82" t="inlineStr">
        <is>
          <t>No</t>
        </is>
      </c>
      <c r="P82" t="inlineStr">
        <is>
          <t>Meeting ID: 354 826 511 449 70 Passcode: zk3HF2QY</t>
        </is>
      </c>
      <c r="Q82" s="3" t="inlineStr">
        <is>
          <t>https://www.etenders.gov.za/home/Download/?blobName=77baaac9-3b1b-428d-9a37-8ce17041628d.pdf&amp;downloadedFileName=272S_2025_26%20-%20Final%2002.06.2026.1.pdf</t>
        </is>
      </c>
      <c r="R82" t="inlineStr"/>
      <c r="S82" t="inlineStr"/>
      <c r="T82" t="inlineStr"/>
      <c r="U82" t="inlineStr"/>
      <c r="V82" t="inlineStr"/>
    </row>
    <row r="83">
      <c r="A83" s="2" t="n">
        <v>46178</v>
      </c>
      <c r="B83" t="n">
        <v>134</v>
      </c>
      <c r="C83" t="inlineStr">
        <is>
          <t>GMQ106/25-26</t>
        </is>
      </c>
      <c r="D83" s="2" t="n">
        <v>46178</v>
      </c>
      <c r="E83" s="2" t="n">
        <v>46184</v>
      </c>
      <c r="F83" t="inlineStr">
        <is>
          <t>12:00</t>
        </is>
      </c>
      <c r="G83" t="inlineStr">
        <is>
          <t>Request for Quotation</t>
        </is>
      </c>
      <c r="H83" t="inlineStr">
        <is>
          <t>GMQ106/25-26 – Supply, Delivery and Installation of New Office Furniture</t>
        </is>
      </c>
      <c r="I83" t="inlineStr">
        <is>
          <t>ETENDERS.GOV.ZA</t>
        </is>
      </c>
      <c r="J83" t="inlineStr">
        <is>
          <t>George Municipality</t>
        </is>
      </c>
      <c r="K83" t="inlineStr">
        <is>
          <t>Western Cape</t>
        </is>
      </c>
      <c r="L83" t="inlineStr">
        <is>
          <t>No</t>
        </is>
      </c>
      <c r="M83" t="inlineStr">
        <is>
          <t>Manufacture of furniture</t>
        </is>
      </c>
      <c r="N83" t="inlineStr">
        <is>
          <t>No</t>
        </is>
      </c>
      <c r="O83" t="inlineStr">
        <is>
          <t>No</t>
        </is>
      </c>
      <c r="P83" t="inlineStr">
        <is>
          <t>N/A</t>
        </is>
      </c>
      <c r="Q83" s="3" t="inlineStr">
        <is>
          <t>https://www.etenders.gov.za/home/Download/?blobName=6196a0ee-8d55-4b98-9702-5092b5155919.pdf&amp;downloadedFileName=GMQ106%20of%2025-26%20%20%E2%80%93%20%20%20QUOTATION%20FOR%20THE%20SUPPLY,%20DELIVERY%20AND%20INSTALLATION%20OF%20NEW%20OFFICE%20FURNITURE.pdf</t>
        </is>
      </c>
      <c r="R83" t="inlineStr"/>
      <c r="S83" t="inlineStr"/>
      <c r="T83" t="inlineStr"/>
      <c r="U83" t="inlineStr"/>
      <c r="V83" t="inlineStr"/>
    </row>
    <row r="84">
      <c r="A84" s="2" t="n">
        <v>46178</v>
      </c>
      <c r="B84" t="n">
        <v>133</v>
      </c>
      <c r="C84" t="inlineStr">
        <is>
          <t>COJ/GCSS002/25-26</t>
        </is>
      </c>
      <c r="D84" s="2" t="n">
        <v>46178</v>
      </c>
      <c r="E84" s="2" t="n">
        <v>46210</v>
      </c>
      <c r="F84" t="inlineStr">
        <is>
          <t>10:30</t>
        </is>
      </c>
      <c r="G84" t="inlineStr">
        <is>
          <t>Request for Bid(Open-Tender)</t>
        </is>
      </c>
      <c r="H84" t="inlineStr">
        <is>
          <t>Appointment of a Panel of Service Providers to Provide Advertising Services, Response Handling, Head- hunting and Competency Assessments for Senior Managers within the City of Johannesburg for a period of three (3) years.</t>
        </is>
      </c>
      <c r="I84" t="inlineStr">
        <is>
          <t>ETENDERS.GOV.ZA</t>
        </is>
      </c>
      <c r="J84" t="inlineStr">
        <is>
          <t>City Council of Johannesburg</t>
        </is>
      </c>
      <c r="K84" t="inlineStr">
        <is>
          <t>Gauteng</t>
        </is>
      </c>
      <c r="L84" t="inlineStr">
        <is>
          <t>No</t>
        </is>
      </c>
      <c r="M84" t="inlineStr">
        <is>
          <t>Advertising and market research</t>
        </is>
      </c>
      <c r="N84" t="inlineStr">
        <is>
          <t>Yes</t>
        </is>
      </c>
      <c r="O84" t="inlineStr">
        <is>
          <t>Yes</t>
        </is>
      </c>
      <c r="P84" t="inlineStr">
        <is>
          <t>3rd Floor, 100 Carr Street, Newtown Junction Shopping Mall, Newtown, Johannesburg</t>
        </is>
      </c>
      <c r="Q84" s="3" t="inlineStr">
        <is>
          <t>https://www.etenders.gov.za/home/Download/?blobName=a653361f-6c19-46b4-b100-425ca0ed1a61.docx&amp;downloadedFileName=Advert%20COJ_GCSS02_25_26.docx</t>
        </is>
      </c>
      <c r="R84" t="inlineStr"/>
      <c r="S84" t="inlineStr"/>
      <c r="T84" t="inlineStr"/>
      <c r="U84" t="inlineStr"/>
      <c r="V84" t="inlineStr"/>
    </row>
    <row r="85">
      <c r="A85" s="2" t="n">
        <v>46178</v>
      </c>
      <c r="B85" t="n">
        <v>132</v>
      </c>
      <c r="C85" t="inlineStr">
        <is>
          <t>MLM/W21/R&amp;SW/P2/26-27</t>
        </is>
      </c>
      <c r="D85" s="2" t="n">
        <v>46178</v>
      </c>
      <c r="E85" s="2" t="n">
        <v>46213</v>
      </c>
      <c r="F85" t="inlineStr">
        <is>
          <t>12:00</t>
        </is>
      </c>
      <c r="G85" t="inlineStr">
        <is>
          <t>Request for Bid(Open-Tender)</t>
        </is>
      </c>
      <c r="H85" t="inlineStr">
        <is>
          <t>CONSTRUCTION OF INTERNAL ROADS AND STORMWATER MANAGEMENT IN WARD 21</t>
        </is>
      </c>
      <c r="I85" t="inlineStr">
        <is>
          <t>ETENDERS.GOV.ZA</t>
        </is>
      </c>
      <c r="J85" t="inlineStr">
        <is>
          <t>Moretele Local Municipality</t>
        </is>
      </c>
      <c r="K85" t="inlineStr">
        <is>
          <t>North West</t>
        </is>
      </c>
      <c r="L85" t="inlineStr">
        <is>
          <t>No</t>
        </is>
      </c>
      <c r="M85" t="inlineStr">
        <is>
          <t>Construction</t>
        </is>
      </c>
      <c r="N85" t="inlineStr">
        <is>
          <t>Yes</t>
        </is>
      </c>
      <c r="O85" t="inlineStr">
        <is>
          <t>Yes</t>
        </is>
      </c>
      <c r="P85" t="inlineStr">
        <is>
          <t>MUNICIPAL HALL</t>
        </is>
      </c>
      <c r="Q85" s="3" t="inlineStr">
        <is>
          <t>https://www.etenders.gov.za/home/Download/?blobName=e9722d5e-ab58-42df-a166-24bd72b24a2a.pdf&amp;downloadedFileName=INTERNAL%20ROADS%20CONSTRUCTION%20IN%20WARD%2021.pdf</t>
        </is>
      </c>
      <c r="R85" t="inlineStr"/>
      <c r="S85" t="inlineStr"/>
      <c r="T85" t="inlineStr"/>
      <c r="U85" t="inlineStr"/>
      <c r="V85" t="inlineStr"/>
    </row>
    <row r="86">
      <c r="A86" s="2" t="n">
        <v>46178</v>
      </c>
      <c r="B86" t="n">
        <v>131</v>
      </c>
      <c r="C86" t="inlineStr">
        <is>
          <t>MLM/R&amp;S/SWR/P4/26-27</t>
        </is>
      </c>
      <c r="D86" s="2" t="n">
        <v>46178</v>
      </c>
      <c r="E86" s="2" t="n">
        <v>46213</v>
      </c>
      <c r="F86" t="inlineStr">
        <is>
          <t>12:00</t>
        </is>
      </c>
      <c r="G86" t="inlineStr">
        <is>
          <t>Request for Bid(Open-Tender)</t>
        </is>
      </c>
      <c r="H86" t="inlineStr">
        <is>
          <t>CONSTRUCTION OF INTERNAL ROADS AND STORMWATER MANAGEMENT IN WARD 7 - SWARTDAM AND MMOTONG PHASE IV</t>
        </is>
      </c>
      <c r="I86" t="inlineStr">
        <is>
          <t>ETENDERS.GOV.ZA</t>
        </is>
      </c>
      <c r="J86" t="inlineStr">
        <is>
          <t>Moretele Local Municipality</t>
        </is>
      </c>
      <c r="K86" t="inlineStr">
        <is>
          <t>North West</t>
        </is>
      </c>
      <c r="L86" t="inlineStr">
        <is>
          <t>No</t>
        </is>
      </c>
      <c r="M86" t="inlineStr">
        <is>
          <t>Construction</t>
        </is>
      </c>
      <c r="N86" t="inlineStr">
        <is>
          <t>Yes</t>
        </is>
      </c>
      <c r="O86" t="inlineStr">
        <is>
          <t>Yes</t>
        </is>
      </c>
      <c r="P86" t="inlineStr">
        <is>
          <t>MUNICIPAL HALL</t>
        </is>
      </c>
      <c r="Q86" s="3" t="inlineStr">
        <is>
          <t>https://www.etenders.gov.za/home/Download/?blobName=2f843d87-eedd-4dc6-8128-3fec9828b563.pdf&amp;downloadedFileName=INTERNAL%20ROADS%20CONSTRUCTION%20IN%20WARD%207.pdf</t>
        </is>
      </c>
      <c r="R86" t="inlineStr"/>
      <c r="S86" t="inlineStr"/>
      <c r="T86" t="inlineStr"/>
      <c r="U86" t="inlineStr"/>
      <c r="V86" t="inlineStr"/>
    </row>
    <row r="87">
      <c r="A87" s="2" t="n">
        <v>46178</v>
      </c>
      <c r="B87" t="n">
        <v>130</v>
      </c>
      <c r="C87" t="inlineStr">
        <is>
          <t>MLM/WS/VW/2022-2026-SCHEDULE D</t>
        </is>
      </c>
      <c r="D87" s="2" t="n">
        <v>46178</v>
      </c>
      <c r="E87" s="2" t="n">
        <v>46211</v>
      </c>
      <c r="F87" t="inlineStr">
        <is>
          <t>12:00</t>
        </is>
      </c>
      <c r="G87" t="inlineStr">
        <is>
          <t>Request for Bid(Open-Tender)</t>
        </is>
      </c>
      <c r="H87" t="inlineStr">
        <is>
          <t>EQUIPPING OF BOREHOLES IN VARIOUS WARDS (KRUIMKUIL, GA-MOTLE, RATIEPANE, MOEKA AND SWARTDAM VILLAGES)</t>
        </is>
      </c>
      <c r="I87" t="inlineStr">
        <is>
          <t>ETENDERS.GOV.ZA</t>
        </is>
      </c>
      <c r="J87" t="inlineStr">
        <is>
          <t>Moretele Local Municipality</t>
        </is>
      </c>
      <c r="K87" t="inlineStr">
        <is>
          <t>North West</t>
        </is>
      </c>
      <c r="L87" t="inlineStr">
        <is>
          <t>No</t>
        </is>
      </c>
      <c r="M87" t="inlineStr">
        <is>
          <t>Other service activities</t>
        </is>
      </c>
      <c r="N87" t="inlineStr">
        <is>
          <t>Yes</t>
        </is>
      </c>
      <c r="O87" t="inlineStr">
        <is>
          <t>Yes</t>
        </is>
      </c>
      <c r="P87" t="inlineStr">
        <is>
          <t>MUNICIPAL HALL</t>
        </is>
      </c>
      <c r="Q87" s="3" t="inlineStr">
        <is>
          <t>https://www.etenders.gov.za/home/Download/?blobName=a20630a3-27dc-49bb-b845-ed37d4b3d93f.pdf&amp;downloadedFileName=SCHEDULE%20D%20-%20EQUIPPING%20OF%20BOREHOLES%20IN%20VARIOUS%20WARDS.pdf</t>
        </is>
      </c>
      <c r="R87" t="inlineStr"/>
      <c r="S87" t="inlineStr"/>
      <c r="T87" t="inlineStr"/>
      <c r="U87" t="inlineStr"/>
      <c r="V87" t="inlineStr"/>
    </row>
    <row r="88">
      <c r="A88" s="2" t="n">
        <v>46178</v>
      </c>
      <c r="B88" t="n">
        <v>129</v>
      </c>
      <c r="C88" t="inlineStr">
        <is>
          <t>MLM/WSIG/W12-2/2025-2026</t>
        </is>
      </c>
      <c r="D88" s="2" t="n">
        <v>46178</v>
      </c>
      <c r="E88" s="2" t="n">
        <v>46212</v>
      </c>
      <c r="F88" t="inlineStr">
        <is>
          <t>12:00</t>
        </is>
      </c>
      <c r="G88" t="inlineStr">
        <is>
          <t>Request for Bid(Open-Tender)</t>
        </is>
      </c>
      <c r="H88" t="inlineStr">
        <is>
          <t>INSTALLATION OF WATER RETICULATION &amp; YARD CONNECTION IN WARD 12, PHASE 2</t>
        </is>
      </c>
      <c r="I88" t="inlineStr">
        <is>
          <t>ETENDERS.GOV.ZA</t>
        </is>
      </c>
      <c r="J88" t="inlineStr">
        <is>
          <t>Moretele Local Municipality</t>
        </is>
      </c>
      <c r="K88" t="inlineStr">
        <is>
          <t>North West</t>
        </is>
      </c>
      <c r="L88" t="inlineStr">
        <is>
          <t>No</t>
        </is>
      </c>
      <c r="M88" t="inlineStr">
        <is>
          <t>Other service activities</t>
        </is>
      </c>
      <c r="N88" t="inlineStr">
        <is>
          <t>Yes</t>
        </is>
      </c>
      <c r="O88" t="inlineStr">
        <is>
          <t>Yes</t>
        </is>
      </c>
      <c r="P88" t="inlineStr">
        <is>
          <t>MUNICIPAL HALL</t>
        </is>
      </c>
      <c r="Q88" s="3" t="inlineStr">
        <is>
          <t>https://www.etenders.gov.za/home/Download/?blobName=dcd68a71-2246-41a9-98e5-1f26f7c8fc30.pdf&amp;downloadedFileName=WARD%2012%20-%20WATER%20RETICULATION%20AND%20YARD%20CONNECTION.pdf</t>
        </is>
      </c>
      <c r="R88" t="inlineStr"/>
      <c r="S88" t="inlineStr"/>
      <c r="T88" t="inlineStr"/>
      <c r="U88" t="inlineStr"/>
      <c r="V88" t="inlineStr"/>
    </row>
    <row r="89">
      <c r="A89" s="2" t="n">
        <v>46178</v>
      </c>
      <c r="B89" t="n">
        <v>128</v>
      </c>
      <c r="C89" t="inlineStr">
        <is>
          <t>MLM/IDS/SEPTIC TANKS/26-29</t>
        </is>
      </c>
      <c r="D89" s="2" t="n">
        <v>46178</v>
      </c>
      <c r="E89" s="2" t="n">
        <v>46212</v>
      </c>
      <c r="F89" t="inlineStr">
        <is>
          <t>12:00</t>
        </is>
      </c>
      <c r="G89" t="inlineStr">
        <is>
          <t>Request for Bid(Open-Tender)</t>
        </is>
      </c>
      <c r="H89" t="inlineStr">
        <is>
          <t>REPAIRS, MAINTENANCE AND DEDSLUDGING OF ALL SEPTIC TANKS IN MORETELE LOCAL MUNICIPALITY OFFICES FOR A PERIOD OF 36 MONTHS</t>
        </is>
      </c>
      <c r="I89" t="inlineStr">
        <is>
          <t>ETENDERS.GOV.ZA</t>
        </is>
      </c>
      <c r="J89" t="inlineStr">
        <is>
          <t>Moretele Local Municipality</t>
        </is>
      </c>
      <c r="K89" t="inlineStr">
        <is>
          <t>North West</t>
        </is>
      </c>
      <c r="L89" t="inlineStr">
        <is>
          <t>No</t>
        </is>
      </c>
      <c r="M89" t="inlineStr">
        <is>
          <t>Other service activities</t>
        </is>
      </c>
      <c r="N89" t="inlineStr">
        <is>
          <t>Yes</t>
        </is>
      </c>
      <c r="O89" t="inlineStr">
        <is>
          <t>Yes</t>
        </is>
      </c>
      <c r="P89" t="inlineStr">
        <is>
          <t>MUNICIPAL HALL</t>
        </is>
      </c>
      <c r="Q89" s="3" t="inlineStr">
        <is>
          <t>https://www.etenders.gov.za/home/Download/?blobName=6b1e188d-b467-4316-856a-416fb922f3b3.pdf&amp;downloadedFileName=Repairs%20maintenance%20and%20desluging%20of%20all%20specific%20tanks.pdf</t>
        </is>
      </c>
      <c r="R89" t="inlineStr"/>
      <c r="S89" t="inlineStr"/>
      <c r="T89" t="inlineStr"/>
      <c r="U89" t="inlineStr"/>
      <c r="V89" t="inlineStr"/>
    </row>
    <row r="90">
      <c r="A90" s="2" t="n">
        <v>46178</v>
      </c>
      <c r="B90" t="n">
        <v>127</v>
      </c>
      <c r="C90" t="inlineStr">
        <is>
          <t>RFQ 26-27-34</t>
        </is>
      </c>
      <c r="D90" s="2" t="n">
        <v>46178</v>
      </c>
      <c r="E90" s="2" t="n">
        <v>46184</v>
      </c>
      <c r="F90" t="inlineStr">
        <is>
          <t>11:00</t>
        </is>
      </c>
      <c r="G90" t="inlineStr">
        <is>
          <t>Request for Quotation</t>
        </is>
      </c>
      <c r="H90" t="inlineStr">
        <is>
          <t>Supply and Installation of two (2) 12000 BTU Air-conditioners (Heating and Cooling) at Stanger Post Office</t>
        </is>
      </c>
      <c r="I90" t="inlineStr">
        <is>
          <t>ETENDERS.GOV.ZA</t>
        </is>
      </c>
      <c r="J90" t="inlineStr">
        <is>
          <t>South African Post Office Limited</t>
        </is>
      </c>
      <c r="K90" t="inlineStr">
        <is>
          <t>KwaZulu-Natal</t>
        </is>
      </c>
      <c r="L90" t="inlineStr">
        <is>
          <t>No</t>
        </is>
      </c>
      <c r="M90" t="inlineStr">
        <is>
          <t>Electricity, gas, steam and air conditioning</t>
        </is>
      </c>
      <c r="N90" t="inlineStr">
        <is>
          <t>No</t>
        </is>
      </c>
      <c r="O90" t="inlineStr">
        <is>
          <t>No</t>
        </is>
      </c>
      <c r="P90" t="inlineStr">
        <is>
          <t>N/A</t>
        </is>
      </c>
      <c r="Q90" s="3" t="inlineStr">
        <is>
          <t>https://www.etenders.gov.za/home/Download/?blobName=ddd6300b-105b-4307-9729-3dbb57de0f98.pdf&amp;downloadedFileName=RFQ%2026-27-34%20Supply%20and%20Install%20Air-Conditioner%20at%20Stanger%20Post%20office.pdf</t>
        </is>
      </c>
      <c r="R90" t="inlineStr"/>
      <c r="S90" t="inlineStr"/>
      <c r="T90" t="inlineStr"/>
      <c r="U90" t="inlineStr"/>
      <c r="V90" t="inlineStr"/>
    </row>
    <row r="91">
      <c r="A91" s="2" t="n">
        <v>46178</v>
      </c>
      <c r="B91" t="n">
        <v>126</v>
      </c>
      <c r="C91" t="inlineStr">
        <is>
          <t>WCGHWSC0006/1/2026</t>
        </is>
      </c>
      <c r="D91" s="2" t="n">
        <v>46178</v>
      </c>
      <c r="E91" s="2" t="n">
        <v>46206</v>
      </c>
      <c r="F91" t="inlineStr">
        <is>
          <t>11:00</t>
        </is>
      </c>
      <c r="G91" t="inlineStr">
        <is>
          <t>Request for Bid(Open-Tender)</t>
        </is>
      </c>
      <c r="H91" t="inlineStr">
        <is>
          <t>FOR THE PROVISION OF A COMPREHENSIVE CATERING SERVICE AT KHAYELITSHA DISTRICT HOSPITAL UNDER CONTROL OF WESTERN CAPE GOVERNMENT HEALTH FOR A 3-YEAR PERIOD</t>
        </is>
      </c>
      <c r="I91" t="inlineStr">
        <is>
          <t>ETENDERS.GOV.ZA</t>
        </is>
      </c>
      <c r="J91" t="inlineStr">
        <is>
          <t>Western Cape - Health</t>
        </is>
      </c>
      <c r="K91" t="inlineStr">
        <is>
          <t>Western Cape</t>
        </is>
      </c>
      <c r="L91" t="inlineStr">
        <is>
          <t>No</t>
        </is>
      </c>
      <c r="M91" t="inlineStr">
        <is>
          <t>Food and beverage service activities</t>
        </is>
      </c>
      <c r="N91" t="inlineStr">
        <is>
          <t>Yes</t>
        </is>
      </c>
      <c r="O91" t="inlineStr">
        <is>
          <t>Yes</t>
        </is>
      </c>
      <c r="P91" t="inlineStr">
        <is>
          <t>The Boardroom, First Floor, Administration Block, Khayelitsha District Hospital, c/o Steve Biko Driv</t>
        </is>
      </c>
      <c r="Q91" s="3" t="inlineStr">
        <is>
          <t>https://www.etenders.gov.za/home/Download/?blobName=40535b9b-51d0-4c8e-9306-b075367c1397.pdf&amp;downloadedFileName=WCGHSC0006.1.2026%20KDH%20catering%20service%20%20Final%20Doc%2029%20May%202026.pdf</t>
        </is>
      </c>
      <c r="R91" t="inlineStr"/>
      <c r="S91" t="inlineStr"/>
      <c r="T91" t="inlineStr"/>
      <c r="U91" t="inlineStr"/>
      <c r="V91" t="inlineStr"/>
    </row>
    <row r="92">
      <c r="A92" s="2" t="n">
        <v>46178</v>
      </c>
      <c r="B92" t="n">
        <v>125</v>
      </c>
      <c r="C92" t="inlineStr">
        <is>
          <t>4_2026</t>
        </is>
      </c>
      <c r="D92" s="2" t="n">
        <v>46178</v>
      </c>
      <c r="E92" s="2" t="n">
        <v>46185</v>
      </c>
      <c r="F92" t="inlineStr">
        <is>
          <t>12:00</t>
        </is>
      </c>
      <c r="G92" t="inlineStr">
        <is>
          <t>Request for Bid(Open-Tender)</t>
        </is>
      </c>
      <c r="H92" t="inlineStr">
        <is>
          <t>MECHANICAL EARTHMOVING OF EXCESS MATERIAL IN VARIOUS WESTERN CAPE RIVERS</t>
        </is>
      </c>
      <c r="I92" t="inlineStr">
        <is>
          <t>ETENDERS.GOV.ZA</t>
        </is>
      </c>
      <c r="J92" t="inlineStr">
        <is>
          <t>CASIDRA (SOC) Limited</t>
        </is>
      </c>
      <c r="K92" t="inlineStr">
        <is>
          <t>Western Cape</t>
        </is>
      </c>
      <c r="L92" t="inlineStr">
        <is>
          <t>No</t>
        </is>
      </c>
      <c r="M92" t="inlineStr">
        <is>
          <t>Civil engineering</t>
        </is>
      </c>
      <c r="N92" t="inlineStr">
        <is>
          <t>No</t>
        </is>
      </c>
      <c r="O92" t="inlineStr">
        <is>
          <t>No</t>
        </is>
      </c>
      <c r="P92" t="inlineStr">
        <is>
          <t>N/A</t>
        </is>
      </c>
      <c r="Q92" s="3" t="inlineStr">
        <is>
          <t>https://www.etenders.gov.za/home/Download/?blobName=62b39790-acb6-48ce-af75-00e135c63306.pdf&amp;downloadedFileName=CASIDRA%20PORTAL.pdf</t>
        </is>
      </c>
      <c r="R92" t="inlineStr"/>
      <c r="S92" t="inlineStr"/>
      <c r="T92" t="inlineStr"/>
      <c r="U92" t="inlineStr"/>
      <c r="V92" t="inlineStr"/>
    </row>
    <row r="93">
      <c r="A93" s="2" t="n">
        <v>46178</v>
      </c>
      <c r="B93" t="n">
        <v>124</v>
      </c>
      <c r="C93" t="inlineStr">
        <is>
          <t>GTAC005-2026-27</t>
        </is>
      </c>
      <c r="D93" s="2" t="n">
        <v>46178</v>
      </c>
      <c r="E93" s="2" t="n">
        <v>46199</v>
      </c>
      <c r="F93" t="inlineStr">
        <is>
          <t>11:00</t>
        </is>
      </c>
      <c r="G93" t="inlineStr">
        <is>
          <t>Request for Bid(Open-Tender)</t>
        </is>
      </c>
      <c r="H93" t="inlineStr">
        <is>
          <t>PROVISION OF TECHNICAL SERVICES TO THE JOBS FUND BY SERVING ON THE TECHNICAL EVALUATION COMMITTEE</t>
        </is>
      </c>
      <c r="I93" t="inlineStr">
        <is>
          <t>ETENDERS.GOV.ZA</t>
        </is>
      </c>
      <c r="J93" t="inlineStr">
        <is>
          <t>Government Technical Advisory Centre (GTAC)</t>
        </is>
      </c>
      <c r="K93" t="inlineStr">
        <is>
          <t>National</t>
        </is>
      </c>
      <c r="L93" t="inlineStr">
        <is>
          <t>No</t>
        </is>
      </c>
      <c r="M93" t="inlineStr">
        <is>
          <t>Services: Professional</t>
        </is>
      </c>
      <c r="N93" t="inlineStr">
        <is>
          <t>No</t>
        </is>
      </c>
      <c r="O93" t="inlineStr">
        <is>
          <t>No</t>
        </is>
      </c>
      <c r="P93" t="inlineStr">
        <is>
          <t>N/A</t>
        </is>
      </c>
      <c r="Q93" s="3" t="inlineStr">
        <is>
          <t>https://www.etenders.gov.za/home/Download/?blobName=2c39be59-8d5c-4b50-8703-1f241aac753c.pdf&amp;downloadedFileName=TEN0000000076-GTAC005-2026-27%20Advert.pdf</t>
        </is>
      </c>
      <c r="R93" t="inlineStr"/>
      <c r="S93" t="inlineStr"/>
      <c r="T93" t="inlineStr"/>
      <c r="U93" t="inlineStr"/>
      <c r="V93" t="inlineStr"/>
    </row>
    <row r="94">
      <c r="A94" s="2" t="n">
        <v>46178</v>
      </c>
      <c r="B94" t="n">
        <v>123</v>
      </c>
      <c r="C94" t="inlineStr">
        <is>
          <t>MLM/IDS/IR&amp;SW/MTH/2026-2027</t>
        </is>
      </c>
      <c r="D94" s="2" t="n">
        <v>46178</v>
      </c>
      <c r="E94" s="2" t="n">
        <v>46206</v>
      </c>
      <c r="F94" t="inlineStr">
        <is>
          <t>12:00</t>
        </is>
      </c>
      <c r="G94" t="inlineStr">
        <is>
          <t>Request for Bid(Open-Tender)</t>
        </is>
      </c>
      <c r="H94" t="inlineStr">
        <is>
          <t>IMPLEMENTATION OF INTERNAL ROAD AND STORMWATER IN MATHIBESTAD</t>
        </is>
      </c>
      <c r="I94" t="inlineStr">
        <is>
          <t>ETENDERS.GOV.ZA</t>
        </is>
      </c>
      <c r="J94" t="inlineStr">
        <is>
          <t>Moretele Local Municipality</t>
        </is>
      </c>
      <c r="K94" t="inlineStr">
        <is>
          <t>North West</t>
        </is>
      </c>
      <c r="L94" t="inlineStr">
        <is>
          <t>No</t>
        </is>
      </c>
      <c r="M94" t="inlineStr">
        <is>
          <t>Construction</t>
        </is>
      </c>
      <c r="N94" t="inlineStr">
        <is>
          <t>Yes</t>
        </is>
      </c>
      <c r="O94" t="inlineStr">
        <is>
          <t>Yes</t>
        </is>
      </c>
      <c r="P94" t="inlineStr">
        <is>
          <t>MUNICIPAL HALL</t>
        </is>
      </c>
      <c r="Q94" s="3" t="inlineStr">
        <is>
          <t>https://www.etenders.gov.za/home/Download/?blobName=f216c5eb-48f4-4913-a15a-abc488e3a596.pdf&amp;downloadedFileName=Mathibestad%20Tender.pdf</t>
        </is>
      </c>
      <c r="R94" t="inlineStr"/>
      <c r="S94" t="inlineStr"/>
      <c r="T94" t="inlineStr"/>
      <c r="U94" t="inlineStr"/>
      <c r="V94" t="inlineStr"/>
    </row>
    <row r="95">
      <c r="A95" s="2" t="n">
        <v>46178</v>
      </c>
      <c r="B95" t="n">
        <v>122</v>
      </c>
      <c r="C95" t="inlineStr">
        <is>
          <t>MLM/W3/P5/2026-2027</t>
        </is>
      </c>
      <c r="D95" s="2" t="n">
        <v>46178</v>
      </c>
      <c r="E95" s="2" t="n">
        <v>46213</v>
      </c>
      <c r="F95" t="inlineStr">
        <is>
          <t>12:00</t>
        </is>
      </c>
      <c r="G95" t="inlineStr">
        <is>
          <t>Request for Bid(Open-Tender)</t>
        </is>
      </c>
      <c r="H95" t="inlineStr">
        <is>
          <t>REHABILITATION OF INTERNAL ROADS AND STORMWATER FOR WARD 3 PHASE 5</t>
        </is>
      </c>
      <c r="I95" t="inlineStr">
        <is>
          <t>ETENDERS.GOV.ZA</t>
        </is>
      </c>
      <c r="J95" t="inlineStr">
        <is>
          <t>Moretele Local Municipality</t>
        </is>
      </c>
      <c r="K95" t="inlineStr">
        <is>
          <t>North West</t>
        </is>
      </c>
      <c r="L95" t="inlineStr">
        <is>
          <t>No</t>
        </is>
      </c>
      <c r="M95" t="inlineStr">
        <is>
          <t>Construction</t>
        </is>
      </c>
      <c r="N95" t="inlineStr">
        <is>
          <t>Yes</t>
        </is>
      </c>
      <c r="O95" t="inlineStr">
        <is>
          <t>Yes</t>
        </is>
      </c>
      <c r="P95" t="inlineStr">
        <is>
          <t>MUNICIPAL HALL</t>
        </is>
      </c>
      <c r="Q95" s="3" t="inlineStr">
        <is>
          <t>https://www.etenders.gov.za/home/Download/?blobName=38e3000b-2023-49a3-ae96-b0c612e1f367.pdf&amp;downloadedFileName=REHABILITATION%20OF%20INTERNAL%20ROADS%20AND%20STORMWATER%20CONTROL%20FOR%20WARD%203.pdf</t>
        </is>
      </c>
      <c r="R95" t="inlineStr"/>
      <c r="S95" t="inlineStr"/>
      <c r="T95" t="inlineStr"/>
      <c r="U95" t="inlineStr"/>
      <c r="V95" t="inlineStr"/>
    </row>
    <row r="96">
      <c r="A96" s="2" t="n">
        <v>46178</v>
      </c>
      <c r="B96" t="n">
        <v>121</v>
      </c>
      <c r="C96" t="inlineStr">
        <is>
          <t>MLM/IDS/HML/W2/26-27</t>
        </is>
      </c>
      <c r="D96" s="2" t="n">
        <v>46178</v>
      </c>
      <c r="E96" s="2" t="n">
        <v>46209</v>
      </c>
      <c r="F96" t="inlineStr">
        <is>
          <t>12:00</t>
        </is>
      </c>
      <c r="G96" t="inlineStr">
        <is>
          <t>Request for Bid(Open-Tender)</t>
        </is>
      </c>
      <c r="H96" t="inlineStr">
        <is>
          <t>INSTALLATION OF HIGH MAST LIGHTS IN WARD 2</t>
        </is>
      </c>
      <c r="I96" t="inlineStr">
        <is>
          <t>ETENDERS.GOV.ZA</t>
        </is>
      </c>
      <c r="J96" t="inlineStr">
        <is>
          <t>Moretele Local Municipality</t>
        </is>
      </c>
      <c r="K96" t="inlineStr">
        <is>
          <t>North West</t>
        </is>
      </c>
      <c r="L96" t="inlineStr">
        <is>
          <t>No</t>
        </is>
      </c>
      <c r="M96" t="inlineStr">
        <is>
          <t>Other service activities</t>
        </is>
      </c>
      <c r="N96" t="inlineStr">
        <is>
          <t>Yes</t>
        </is>
      </c>
      <c r="O96" t="inlineStr">
        <is>
          <t>Yes</t>
        </is>
      </c>
      <c r="P96" t="inlineStr">
        <is>
          <t>MUNICIPAL HALL</t>
        </is>
      </c>
      <c r="Q96" s="3" t="inlineStr">
        <is>
          <t>https://www.etenders.gov.za/home/Download/?blobName=996ee6fd-ce71-40d6-8799-ae7b628f7ffb.pdf&amp;downloadedFileName=W2.HML.Draft%20Tender%20Document%20-.pdf</t>
        </is>
      </c>
      <c r="R96" t="inlineStr"/>
      <c r="S96" t="inlineStr"/>
      <c r="T96" t="inlineStr"/>
      <c r="U96" t="inlineStr"/>
      <c r="V96" t="inlineStr"/>
    </row>
    <row r="97">
      <c r="A97" s="2" t="n">
        <v>46178</v>
      </c>
      <c r="B97" t="n">
        <v>120</v>
      </c>
      <c r="C97" t="inlineStr">
        <is>
          <t>EWCBID01/2025 RE-ADV</t>
        </is>
      </c>
      <c r="D97" s="2" t="n">
        <v>46178</v>
      </c>
      <c r="E97" s="2" t="n">
        <v>46202</v>
      </c>
      <c r="F97" t="inlineStr">
        <is>
          <t>11:00</t>
        </is>
      </c>
      <c r="G97" t="inlineStr">
        <is>
          <t>Request for Bid(Open-Tender)</t>
        </is>
      </c>
      <c r="H97" t="inlineStr">
        <is>
          <t>RE-EWCBID01/2025 PROVISION OF STUDENT REPRESENTATION COUNCIL (SRC) ELECTION MANAGEMENT FOR PERIOD OF 36 MONTHS</t>
        </is>
      </c>
      <c r="I97" t="inlineStr">
        <is>
          <t>ETENDERS.GOV.ZA</t>
        </is>
      </c>
      <c r="J97" t="inlineStr">
        <is>
          <t>Ekurhuleni West TVET College</t>
        </is>
      </c>
      <c r="K97" t="inlineStr">
        <is>
          <t>Gauteng</t>
        </is>
      </c>
      <c r="L97" t="inlineStr">
        <is>
          <t>No</t>
        </is>
      </c>
      <c r="M97" t="inlineStr">
        <is>
          <t>Office administrative, office support and other business support activities</t>
        </is>
      </c>
      <c r="N97" t="inlineStr">
        <is>
          <t>No</t>
        </is>
      </c>
      <c r="O97" t="inlineStr">
        <is>
          <t>No</t>
        </is>
      </c>
      <c r="P97" t="inlineStr">
        <is>
          <t>N/A</t>
        </is>
      </c>
      <c r="Q97" s="3" t="inlineStr">
        <is>
          <t>https://www.etenders.gov.za/home/Download/?blobName=bd34a684-b994-4c40-b3c1-445b159f6e2d.pdf&amp;downloadedFileName=Advert.pdf</t>
        </is>
      </c>
      <c r="R97" t="inlineStr"/>
      <c r="S97" t="inlineStr"/>
      <c r="T97" t="inlineStr"/>
      <c r="U97" t="inlineStr"/>
      <c r="V97" t="inlineStr"/>
    </row>
    <row r="98">
      <c r="A98" s="2" t="n">
        <v>46178</v>
      </c>
      <c r="B98" t="n">
        <v>119</v>
      </c>
      <c r="C98" t="inlineStr">
        <is>
          <t>MLM/IDS/HML/W21/26-27</t>
        </is>
      </c>
      <c r="D98" s="2" t="n">
        <v>46178</v>
      </c>
      <c r="E98" s="2" t="n">
        <v>46209</v>
      </c>
      <c r="F98" t="inlineStr">
        <is>
          <t>12:00</t>
        </is>
      </c>
      <c r="G98" t="inlineStr">
        <is>
          <t>Request for Bid(Open-Tender)</t>
        </is>
      </c>
      <c r="H98" t="inlineStr">
        <is>
          <t>INSTALLATION OF HIGH MAST LIGHTS IN WARD 21</t>
        </is>
      </c>
      <c r="I98" t="inlineStr">
        <is>
          <t>ETENDERS.GOV.ZA</t>
        </is>
      </c>
      <c r="J98" t="inlineStr">
        <is>
          <t>Moretele Local Municipality</t>
        </is>
      </c>
      <c r="K98" t="inlineStr">
        <is>
          <t>North West</t>
        </is>
      </c>
      <c r="L98" t="inlineStr">
        <is>
          <t>No</t>
        </is>
      </c>
      <c r="M98" t="inlineStr">
        <is>
          <t>Other service activities</t>
        </is>
      </c>
      <c r="N98" t="inlineStr">
        <is>
          <t>Yes</t>
        </is>
      </c>
      <c r="O98" t="inlineStr">
        <is>
          <t>Yes</t>
        </is>
      </c>
      <c r="P98" t="inlineStr">
        <is>
          <t>MUNICIPAL HALL</t>
        </is>
      </c>
      <c r="Q98" s="3" t="inlineStr">
        <is>
          <t>https://www.etenders.gov.za/home/Download/?blobName=58b65918-fa8f-4435-a955-8386a4b96387.pdf&amp;downloadedFileName=W21_Tender_Road%20-.pdf</t>
        </is>
      </c>
      <c r="R98" t="inlineStr"/>
      <c r="S98" t="inlineStr"/>
      <c r="T98" t="inlineStr"/>
      <c r="U98" t="inlineStr"/>
      <c r="V98" t="inlineStr"/>
    </row>
    <row r="99">
      <c r="A99" s="2" t="n">
        <v>46178</v>
      </c>
      <c r="B99" t="n">
        <v>118</v>
      </c>
      <c r="C99" t="inlineStr">
        <is>
          <t>RE-EWCBID12/2025</t>
        </is>
      </c>
      <c r="D99" s="2" t="n">
        <v>46178</v>
      </c>
      <c r="E99" s="2" t="n">
        <v>46202</v>
      </c>
      <c r="F99" t="inlineStr">
        <is>
          <t>11:00</t>
        </is>
      </c>
      <c r="G99" t="inlineStr">
        <is>
          <t>Request for Bid(Open-Tender)</t>
        </is>
      </c>
      <c r="H99" t="inlineStr">
        <is>
          <t>EWCBID 12/2025 - SUPPLY, DELIVERY, INSTALLATION AND CONFIGURATION OF CCTV CAMERAS AT ALBERTON, KEMPTON AND TEMBISA CAMPUSES, AND 36 MONTHS MAINTENANCE OF CCTV CAMERAS TO ALL CAMPUSES.</t>
        </is>
      </c>
      <c r="I99" t="inlineStr">
        <is>
          <t>ETENDERS.GOV.ZA</t>
        </is>
      </c>
      <c r="J99" t="inlineStr">
        <is>
          <t>Ekurhuleni West TVET College</t>
        </is>
      </c>
      <c r="K99" t="inlineStr">
        <is>
          <t>Gauteng</t>
        </is>
      </c>
      <c r="L99" t="inlineStr">
        <is>
          <t>No</t>
        </is>
      </c>
      <c r="M99" t="inlineStr">
        <is>
          <t>Repair and installation of machinery and equipment</t>
        </is>
      </c>
      <c r="N99" t="inlineStr">
        <is>
          <t>Yes</t>
        </is>
      </c>
      <c r="O99" t="inlineStr">
        <is>
          <t>Yes</t>
        </is>
      </c>
      <c r="P99" t="inlineStr">
        <is>
          <t>ONLINE</t>
        </is>
      </c>
      <c r="Q99" s="3" t="inlineStr">
        <is>
          <t>https://www.etenders.gov.za/home/Download/?blobName=2b50b41d-dc51-495f-b8f7-d4a53d587e80.pdf&amp;downloadedFileName=Advert.pdf</t>
        </is>
      </c>
      <c r="R99" t="inlineStr"/>
      <c r="S99" t="inlineStr"/>
      <c r="T99" t="inlineStr"/>
      <c r="U99" t="inlineStr"/>
      <c r="V99" t="inlineStr"/>
    </row>
    <row r="100">
      <c r="A100" s="2" t="n">
        <v>46178</v>
      </c>
      <c r="B100" t="n">
        <v>117</v>
      </c>
      <c r="C100" t="inlineStr">
        <is>
          <t>E2995GXMPHEN</t>
        </is>
      </c>
      <c r="D100" s="2" t="n">
        <v>46178</v>
      </c>
      <c r="E100" s="2" t="n">
        <v>46198</v>
      </c>
      <c r="F100" t="inlineStr">
        <is>
          <t>10:00</t>
        </is>
      </c>
      <c r="G100" t="inlineStr">
        <is>
          <t>Request for Proposal</t>
        </is>
      </c>
      <c r="H100" t="inlineStr">
        <is>
          <t>Provision of physical security, tactical response teams, aerial surveillance and technology solutions services for a period of 60 months at Hendrina Power Station</t>
        </is>
      </c>
      <c r="I100" t="inlineStr">
        <is>
          <t>ETENDERS.GOV.ZA</t>
        </is>
      </c>
      <c r="J100" t="inlineStr">
        <is>
          <t>ESKOM</t>
        </is>
      </c>
      <c r="K100" t="inlineStr">
        <is>
          <t>Mpumalanga</t>
        </is>
      </c>
      <c r="L100" t="inlineStr">
        <is>
          <t>No</t>
        </is>
      </c>
      <c r="M100" t="inlineStr">
        <is>
          <t>Security and investigation activities</t>
        </is>
      </c>
      <c r="N100" t="inlineStr">
        <is>
          <t>Yes</t>
        </is>
      </c>
      <c r="O100" t="inlineStr">
        <is>
          <t>No</t>
        </is>
      </c>
      <c r="P100" t="inlineStr">
        <is>
          <t>https://teams.microsoft.com/meet/38020626336123?p =K68bakyAdunRowWTSO</t>
        </is>
      </c>
      <c r="Q100" s="3" t="inlineStr">
        <is>
          <t>https://www.etenders.gov.za/home/Download/?blobName=ffec5f6b-366b-4a38-9fdd-15de437ed5f7.pdf&amp;downloadedFileName=240-68099512%20Form%20A_Cat%203_%20Rev%209.pdf</t>
        </is>
      </c>
      <c r="R100" t="inlineStr"/>
      <c r="S100" t="inlineStr"/>
      <c r="T100" t="inlineStr"/>
      <c r="U100" t="inlineStr"/>
      <c r="V100" t="inlineStr"/>
    </row>
    <row r="101">
      <c r="A101" s="2" t="n">
        <v>46178</v>
      </c>
      <c r="B101" t="n">
        <v>116</v>
      </c>
      <c r="C101" t="inlineStr">
        <is>
          <t>Regret letter - E1613GXMPKENR1</t>
        </is>
      </c>
      <c r="D101" s="2" t="n">
        <v>46178</v>
      </c>
      <c r="E101" s="2" t="n">
        <v>46191</v>
      </c>
      <c r="F101" t="inlineStr">
        <is>
          <t>11:00</t>
        </is>
      </c>
      <c r="G101" t="inlineStr">
        <is>
          <t>Request for Bid(Open-Tender)</t>
        </is>
      </c>
      <c r="H101" t="inlineStr">
        <is>
          <t>For the procurement, fabrication, supply, delivery to site and off-loading of Primary Air Heater Tubes for Unit 3 on an “as -and- when” required basis at Kendal Power Station.</t>
        </is>
      </c>
      <c r="I101" t="inlineStr">
        <is>
          <t>ETENDERS.GOV.ZA</t>
        </is>
      </c>
      <c r="J101" t="inlineStr">
        <is>
          <t>ESKOM</t>
        </is>
      </c>
      <c r="K101" t="inlineStr">
        <is>
          <t>Mpumalanga</t>
        </is>
      </c>
      <c r="L101" t="inlineStr">
        <is>
          <t>No</t>
        </is>
      </c>
      <c r="M101" t="inlineStr">
        <is>
          <t>Manufacture of fabricated metal products, except machinery and equipment</t>
        </is>
      </c>
      <c r="N101" t="inlineStr">
        <is>
          <t>No</t>
        </is>
      </c>
      <c r="O101" t="inlineStr">
        <is>
          <t>No</t>
        </is>
      </c>
      <c r="P101" t="inlineStr">
        <is>
          <t>N/A</t>
        </is>
      </c>
      <c r="Q101" s="3" t="inlineStr">
        <is>
          <t>https://www.etenders.gov.za/home/Download/?blobName=1d28d102-296e-4264-93fc-0f51d6f86686.pdf&amp;downloadedFileName=Regret%20Letter%20Template%20for%20Unsuccessful%20Suppliers%20-%20February%202025%20(3)%20(1)%20(2).pdf</t>
        </is>
      </c>
      <c r="R101" t="inlineStr"/>
      <c r="S101" t="inlineStr"/>
      <c r="T101" t="inlineStr"/>
      <c r="U101" t="inlineStr"/>
      <c r="V101" t="inlineStr"/>
    </row>
    <row r="102">
      <c r="A102" s="2" t="n">
        <v>46178</v>
      </c>
      <c r="B102" t="n">
        <v>115</v>
      </c>
      <c r="C102" t="inlineStr">
        <is>
          <t>RFQ NO: 02 - 2026/27</t>
        </is>
      </c>
      <c r="D102" s="2" t="n">
        <v>46178</v>
      </c>
      <c r="E102" s="2" t="n">
        <v>46199</v>
      </c>
      <c r="F102" t="inlineStr">
        <is>
          <t>11:00</t>
        </is>
      </c>
      <c r="G102" t="inlineStr">
        <is>
          <t>Request for Quotation</t>
        </is>
      </c>
      <c r="H102" t="inlineStr">
        <is>
          <t>TERMS OF REFERENCE FOR THE APPOINTMENT OF A PROPERTY SPECIALIST TO PROVIDE ADVISORY SERVICES ON REAL ESTATE MARKET AND INVESTMENT ANALYSIS FOR ACQUIRING SUITABLE OFFICE SPACES, AS WELL AS SPACE PLANNING NORMS AND STANDARDS FOR THE ETDP SETA PROVINCIAL OFFICES AND THE HEAD OFFICE SITUATED IN JOHANNESBURG</t>
        </is>
      </c>
      <c r="I102" t="inlineStr">
        <is>
          <t>ETENDERS.GOV.ZA</t>
        </is>
      </c>
      <c r="J102" t="inlineStr">
        <is>
          <t>Education, Training and Development Practices SETA</t>
        </is>
      </c>
      <c r="K102" t="inlineStr">
        <is>
          <t>National</t>
        </is>
      </c>
      <c r="L102" t="inlineStr">
        <is>
          <t>No</t>
        </is>
      </c>
      <c r="M102" t="inlineStr">
        <is>
          <t>Services: Professional</t>
        </is>
      </c>
      <c r="N102" t="inlineStr">
        <is>
          <t>Yes</t>
        </is>
      </c>
      <c r="O102" t="inlineStr">
        <is>
          <t>No</t>
        </is>
      </c>
      <c r="P102" t="inlineStr">
        <is>
          <t>Virtual platform</t>
        </is>
      </c>
      <c r="Q102" s="3" t="inlineStr">
        <is>
          <t>https://www.etenders.gov.za/home/Download/?blobName=728f1d5d-f71b-40b5-9009-2d6dd9d11e76.pdf&amp;downloadedFileName=General%20Conditions%20of%20Contract_ETDP%20SETA.pdf</t>
        </is>
      </c>
      <c r="R102" t="inlineStr"/>
      <c r="S102" t="inlineStr"/>
      <c r="T102" t="inlineStr"/>
      <c r="U102" t="inlineStr"/>
      <c r="V102" t="inlineStr"/>
    </row>
    <row r="103">
      <c r="A103" s="2" t="n">
        <v>46178</v>
      </c>
      <c r="B103" t="n">
        <v>114</v>
      </c>
      <c r="C103" t="inlineStr">
        <is>
          <t>E3013GXMPKUS</t>
        </is>
      </c>
      <c r="D103" s="2" t="n">
        <v>46178</v>
      </c>
      <c r="E103" s="2" t="n">
        <v>46198</v>
      </c>
      <c r="F103" t="inlineStr">
        <is>
          <t>11:00</t>
        </is>
      </c>
      <c r="G103" t="inlineStr">
        <is>
          <t>Request for Bid(Open-Tender)</t>
        </is>
      </c>
      <c r="H103" t="inlineStr">
        <is>
          <t>Surface, Groundwater and Aquatic Monitoring at Kusile Power Station for a Period of Five (5) Years</t>
        </is>
      </c>
      <c r="I103" t="inlineStr">
        <is>
          <t>ETENDERS.GOV.ZA</t>
        </is>
      </c>
      <c r="J103" t="inlineStr">
        <is>
          <t>ESKOM</t>
        </is>
      </c>
      <c r="K103" t="inlineStr">
        <is>
          <t>Mpumalanga</t>
        </is>
      </c>
      <c r="L103" t="inlineStr">
        <is>
          <t>No</t>
        </is>
      </c>
      <c r="M103" t="inlineStr">
        <is>
          <t>Services: Professional</t>
        </is>
      </c>
      <c r="N103" t="inlineStr">
        <is>
          <t>Yes</t>
        </is>
      </c>
      <c r="O103" t="inlineStr">
        <is>
          <t>No</t>
        </is>
      </c>
      <c r="P103" t="inlineStr">
        <is>
          <t>Kusile Power Station</t>
        </is>
      </c>
      <c r="Q103" s="3" t="inlineStr">
        <is>
          <t>https://www.etenders.gov.za/home/Download/?blobName=5a8fee48-4991-4346-a9ef-fed90fe58e03.docx&amp;downloadedFileName=240-68099512%20Form%20A_Cat%204_%20Rev%209.docx</t>
        </is>
      </c>
      <c r="R103" t="inlineStr"/>
      <c r="S103" t="inlineStr"/>
      <c r="T103" t="inlineStr"/>
      <c r="U103" t="inlineStr"/>
      <c r="V103" t="inlineStr"/>
    </row>
    <row r="104">
      <c r="A104" s="2" t="n">
        <v>46178</v>
      </c>
      <c r="B104" t="n">
        <v>113</v>
      </c>
      <c r="C104" t="inlineStr">
        <is>
          <t>E2226GXMPKUSEXTENSION</t>
        </is>
      </c>
      <c r="D104" s="2" t="n">
        <v>46178</v>
      </c>
      <c r="E104" s="2" t="n">
        <v>46185</v>
      </c>
      <c r="F104" t="inlineStr">
        <is>
          <t>10:00</t>
        </is>
      </c>
      <c r="G104" t="inlineStr">
        <is>
          <t>Request for Bid(Open-Tender)</t>
        </is>
      </c>
      <c r="H104" t="inlineStr">
        <is>
          <t>VALIDITY EXTENSION - Provision of C&amp;I Cable pulling, installation, commissioning including Fibre Optic splicing and Outage scope of work on “as and when required” basis for the period of 60 Months</t>
        </is>
      </c>
      <c r="I104" t="inlineStr">
        <is>
          <t>ETENDERS.GOV.ZA</t>
        </is>
      </c>
      <c r="J104" t="inlineStr">
        <is>
          <t>ESKOM</t>
        </is>
      </c>
      <c r="K104" t="inlineStr">
        <is>
          <t>Mpumalanga</t>
        </is>
      </c>
      <c r="L104" t="inlineStr">
        <is>
          <t>No</t>
        </is>
      </c>
      <c r="M104" t="inlineStr">
        <is>
          <t>Services: General</t>
        </is>
      </c>
      <c r="N104" t="inlineStr">
        <is>
          <t>No</t>
        </is>
      </c>
      <c r="O104" t="inlineStr">
        <is>
          <t>No</t>
        </is>
      </c>
      <c r="P104" t="inlineStr">
        <is>
          <t>N/A</t>
        </is>
      </c>
      <c r="Q104" s="3" t="inlineStr">
        <is>
          <t>https://www.etenders.gov.za/home/Download/?blobName=af78effe-74e3-4aff-b5b3-d7f9205704c3.pdf&amp;downloadedFileName=Letter%20to%20Extend%20validity%20period%20of%20Tender%20-C&amp;I%20Cable%20Installation.pdf</t>
        </is>
      </c>
      <c r="R104" t="inlineStr"/>
      <c r="S104" t="inlineStr"/>
      <c r="T104" t="inlineStr"/>
      <c r="U104" t="inlineStr"/>
      <c r="V104" t="inlineStr"/>
    </row>
    <row r="105">
      <c r="A105" s="2" t="n">
        <v>46178</v>
      </c>
      <c r="B105" t="n">
        <v>112</v>
      </c>
      <c r="C105" t="inlineStr">
        <is>
          <t>SDT02-2026</t>
        </is>
      </c>
      <c r="D105" s="2" t="n">
        <v>46178</v>
      </c>
      <c r="E105" s="2" t="n">
        <v>46202</v>
      </c>
      <c r="F105" t="inlineStr">
        <is>
          <t>11:00</t>
        </is>
      </c>
      <c r="G105" t="inlineStr">
        <is>
          <t>Request for Bid(Open-Tender)</t>
        </is>
      </c>
      <c r="H105" t="inlineStr">
        <is>
          <t>SDT02/2026 PROVISION OF INFORMATION TECHNOLOGY COMMUNICATION (ICT) SUPPORT SERVICES INCLUDING HOSTING SOLUTION, NETWORKING AND MAINTENANCE SERVICES FOR A PERIOD OF TWENTY-FOUR (24) MONTHS</t>
        </is>
      </c>
      <c r="I105" t="inlineStr">
        <is>
          <t>ETENDERS.GOV.ZA</t>
        </is>
      </c>
      <c r="J105" t="inlineStr">
        <is>
          <t>State Diamond Trader</t>
        </is>
      </c>
      <c r="K105" t="inlineStr">
        <is>
          <t>Gauteng</t>
        </is>
      </c>
      <c r="L105" t="inlineStr">
        <is>
          <t>No</t>
        </is>
      </c>
      <c r="M105" t="inlineStr">
        <is>
          <t>Computer programming, consultancy and related activities</t>
        </is>
      </c>
      <c r="N105" t="inlineStr">
        <is>
          <t>Yes</t>
        </is>
      </c>
      <c r="O105" t="inlineStr">
        <is>
          <t>Yes</t>
        </is>
      </c>
      <c r="P105" t="inlineStr">
        <is>
          <t>https://teams.microsoft.com/meet/39902488551185?p=JmSrJ3ZLL4FXOE1Ame</t>
        </is>
      </c>
      <c r="Q105" s="3" t="inlineStr">
        <is>
          <t>https://www.etenders.gov.za/home/Download/?blobName=55d2b50b-a85f-4eba-adda-80fa082ddfe4.pdf&amp;downloadedFileName=SBD1%20ICT.pdf</t>
        </is>
      </c>
      <c r="R105" t="inlineStr"/>
      <c r="S105" t="inlineStr"/>
      <c r="T105" t="inlineStr"/>
      <c r="U105" t="inlineStr"/>
      <c r="V105" t="inlineStr"/>
    </row>
    <row r="106">
      <c r="A106" s="2" t="n">
        <v>46178</v>
      </c>
      <c r="B106" t="n">
        <v>111</v>
      </c>
      <c r="C106" t="inlineStr">
        <is>
          <t>31093/TNP/2026-27</t>
        </is>
      </c>
      <c r="D106" s="2" t="n">
        <v>46178</v>
      </c>
      <c r="E106" s="2" t="n">
        <v>46184</v>
      </c>
      <c r="F106" t="inlineStr">
        <is>
          <t>11:00</t>
        </is>
      </c>
      <c r="G106" t="inlineStr">
        <is>
          <t>Request for Quotation</t>
        </is>
      </c>
      <c r="H106" t="inlineStr">
        <is>
          <t>APPOINTMENT OF A SERVICE PROVIDER FOR THE PROVISION OF LAUNDRY SERVICES AT THE TSITSIKAMMA SECTION OF THE GARDEN ROUTE NATIONAL PARK FOR A PERIOD OF 12 MONTHS.</t>
        </is>
      </c>
      <c r="I106" t="inlineStr">
        <is>
          <t>ETENDERS.GOV.ZA</t>
        </is>
      </c>
      <c r="J106" t="inlineStr">
        <is>
          <t>South African National Parks</t>
        </is>
      </c>
      <c r="K106" t="inlineStr">
        <is>
          <t>Eastern Cape</t>
        </is>
      </c>
      <c r="L106" t="inlineStr">
        <is>
          <t>No</t>
        </is>
      </c>
      <c r="M106" t="inlineStr">
        <is>
          <t>Other service activities</t>
        </is>
      </c>
      <c r="N106" t="inlineStr">
        <is>
          <t>No</t>
        </is>
      </c>
      <c r="O106" t="inlineStr">
        <is>
          <t>No</t>
        </is>
      </c>
      <c r="P106" t="inlineStr">
        <is>
          <t>N/A</t>
        </is>
      </c>
      <c r="Q106" s="3" t="inlineStr">
        <is>
          <t>https://www.etenders.gov.za/home/Download/?blobName=f89a13c0-9672-4897-8211-c7dcd2b62b00.pdf&amp;downloadedFileName=RFQ%20-%2031093-TNP-2026-27.pdf</t>
        </is>
      </c>
      <c r="R106" t="inlineStr"/>
      <c r="S106" t="inlineStr"/>
      <c r="T106" t="inlineStr"/>
      <c r="U106" t="inlineStr"/>
      <c r="V106" t="inlineStr"/>
    </row>
    <row r="107">
      <c r="A107" s="2" t="n">
        <v>46178</v>
      </c>
      <c r="B107" t="n">
        <v>110</v>
      </c>
      <c r="C107" t="inlineStr">
        <is>
          <t>EHC/06/DSTV/2026</t>
        </is>
      </c>
      <c r="D107" s="2" t="n">
        <v>46178</v>
      </c>
      <c r="E107" s="2" t="n">
        <v>46188</v>
      </c>
      <c r="F107" t="inlineStr">
        <is>
          <t>11:00</t>
        </is>
      </c>
      <c r="G107" t="inlineStr">
        <is>
          <t>Request for Quotation</t>
        </is>
      </c>
      <c r="H107" t="inlineStr">
        <is>
          <t>Request to appoint a service provider for DSTV Service and Repairs at Chris Hani Village 11 Blocks</t>
        </is>
      </c>
      <c r="I107" t="inlineStr">
        <is>
          <t>ETENDERS.GOV.ZA</t>
        </is>
      </c>
      <c r="J107" t="inlineStr">
        <is>
          <t>Ekurhuieni Housing Company</t>
        </is>
      </c>
      <c r="K107" t="inlineStr">
        <is>
          <t>Gauteng</t>
        </is>
      </c>
      <c r="L107" t="inlineStr">
        <is>
          <t>No</t>
        </is>
      </c>
      <c r="M107" t="inlineStr">
        <is>
          <t>Other service activities</t>
        </is>
      </c>
      <c r="N107" t="inlineStr">
        <is>
          <t>No</t>
        </is>
      </c>
      <c r="O107" t="inlineStr">
        <is>
          <t>No</t>
        </is>
      </c>
      <c r="P107" t="inlineStr">
        <is>
          <t>N/A</t>
        </is>
      </c>
      <c r="Q107" s="3" t="inlineStr">
        <is>
          <t>https://www.etenders.gov.za/home/Download/?blobName=e61db610-0d7c-4166-ad8c-d54bc0ea8246.pdf&amp;downloadedFileName=etender%20advert%20DSTV%20Service.pdf</t>
        </is>
      </c>
      <c r="R107" t="inlineStr"/>
      <c r="S107" t="inlineStr"/>
      <c r="T107" t="inlineStr"/>
      <c r="U107" t="inlineStr"/>
      <c r="V107" t="inlineStr"/>
    </row>
    <row r="108">
      <c r="A108" s="2" t="n">
        <v>46178</v>
      </c>
      <c r="B108" t="n">
        <v>109</v>
      </c>
      <c r="C108" t="inlineStr">
        <is>
          <t>NRA 2026/0307</t>
        </is>
      </c>
      <c r="D108" s="2" t="n">
        <v>46178</v>
      </c>
      <c r="E108" s="2" t="n">
        <v>46210</v>
      </c>
      <c r="F108" t="inlineStr">
        <is>
          <t>12:00</t>
        </is>
      </c>
      <c r="G108" t="inlineStr">
        <is>
          <t>Request for Bid(Open-Tender)</t>
        </is>
      </c>
      <c r="H108" t="inlineStr">
        <is>
          <t>THE NEW GRADE SEPARATED INTERCHANGE ON NATIONAL ROUTE R71 AND D4020 AT ST ENGENAS ZCC</t>
        </is>
      </c>
      <c r="I108" t="inlineStr">
        <is>
          <t>ETENDERS.GOV.ZA</t>
        </is>
      </c>
      <c r="J108" t="inlineStr">
        <is>
          <t>South African National Roads Agency Soc Limited (SANRAL)</t>
        </is>
      </c>
      <c r="K108" t="inlineStr">
        <is>
          <t>Limpopo</t>
        </is>
      </c>
      <c r="L108" t="inlineStr">
        <is>
          <t>No</t>
        </is>
      </c>
      <c r="M108" t="inlineStr">
        <is>
          <t>Construction</t>
        </is>
      </c>
      <c r="N108" t="inlineStr">
        <is>
          <t>Yes</t>
        </is>
      </c>
      <c r="O108" t="inlineStr">
        <is>
          <t>Yes</t>
        </is>
      </c>
      <c r="P108" t="inlineStr">
        <is>
          <t>Virtual</t>
        </is>
      </c>
      <c r="Q108" s="3" t="inlineStr">
        <is>
          <t>https://www.etenders.gov.za/home/Download/?blobName=280f955b-2a86-4a2d-a11b-be2314e4991d.zip&amp;downloadedFileName=OneDrive_2026-06-05.zip</t>
        </is>
      </c>
      <c r="R108" t="inlineStr"/>
      <c r="S108" t="inlineStr"/>
      <c r="T108" t="inlineStr"/>
      <c r="U108" t="inlineStr"/>
      <c r="V108" t="inlineStr"/>
    </row>
    <row r="109">
      <c r="A109" s="2" t="n">
        <v>46178</v>
      </c>
      <c r="B109" t="n">
        <v>108</v>
      </c>
      <c r="C109" t="inlineStr">
        <is>
          <t>EHC/06/PLR/2026</t>
        </is>
      </c>
      <c r="D109" s="2" t="n">
        <v>46178</v>
      </c>
      <c r="E109" s="2" t="n">
        <v>46188</v>
      </c>
      <c r="F109" t="inlineStr">
        <is>
          <t>11:00</t>
        </is>
      </c>
      <c r="G109" t="inlineStr">
        <is>
          <t>Request for Quotation</t>
        </is>
      </c>
      <c r="H109" t="inlineStr">
        <is>
          <t>APPOINTMENT OF SERVICE PROVIDER FOR PLUMBING REPAIRS AND MINOR RENOVATIONS OF PHAROE PARK COMPLEX.</t>
        </is>
      </c>
      <c r="I109" t="inlineStr">
        <is>
          <t>ETENDERS.GOV.ZA</t>
        </is>
      </c>
      <c r="J109" t="inlineStr">
        <is>
          <t>Ekurhuieni Housing Company</t>
        </is>
      </c>
      <c r="K109" t="inlineStr">
        <is>
          <t>Gauteng</t>
        </is>
      </c>
      <c r="L109" t="inlineStr">
        <is>
          <t>No</t>
        </is>
      </c>
      <c r="M109" t="inlineStr">
        <is>
          <t>Services: Building</t>
        </is>
      </c>
      <c r="N109" t="inlineStr">
        <is>
          <t>No</t>
        </is>
      </c>
      <c r="O109" t="inlineStr">
        <is>
          <t>No</t>
        </is>
      </c>
      <c r="P109" t="inlineStr">
        <is>
          <t>N/A</t>
        </is>
      </c>
      <c r="Q109" s="3" t="inlineStr">
        <is>
          <t>https://www.etenders.gov.za/home/Download/?blobName=bc71985e-3159-4463-9c62-b2f767977e03.zip&amp;downloadedFileName=MBDs.zip</t>
        </is>
      </c>
      <c r="R109" t="inlineStr"/>
      <c r="S109" t="inlineStr"/>
      <c r="T109" t="inlineStr"/>
      <c r="U109" t="inlineStr"/>
      <c r="V109" t="inlineStr"/>
    </row>
    <row r="110">
      <c r="A110" s="2" t="n">
        <v>46178</v>
      </c>
      <c r="B110" t="n">
        <v>107</v>
      </c>
      <c r="C110" t="inlineStr">
        <is>
          <t>SCMU5-26/27-0004SB</t>
        </is>
      </c>
      <c r="D110" s="2" t="n">
        <v>46178</v>
      </c>
      <c r="E110" s="2" t="n">
        <v>46210</v>
      </c>
      <c r="F110" t="inlineStr">
        <is>
          <t>11:00</t>
        </is>
      </c>
      <c r="G110" t="inlineStr">
        <is>
          <t>Request for Bid(Open-Tender)</t>
        </is>
      </c>
      <c r="H110" t="inlineStr">
        <is>
          <t>APPOINTMENT OF A SERVICE PROVIDER TO RENDER CLEANING SERVICES FOR DEPARTMENT OF PUBLIC WORKS &amp; INFRASTRUCTURE AT MAKHANDA ARTISAN CENTRE &amp; ADDO THE KRAAL BUILDING IN SARAH BAARTMAN DISTRICT FOR A PERIOD OF TWENTY-FOUR (24) MONTHS</t>
        </is>
      </c>
      <c r="I110" t="inlineStr">
        <is>
          <t>ETENDERS.GOV.ZA</t>
        </is>
      </c>
      <c r="J110" t="inlineStr">
        <is>
          <t>Eastern Cape - Roads and Public Works</t>
        </is>
      </c>
      <c r="K110" t="inlineStr">
        <is>
          <t>Eastern Cape</t>
        </is>
      </c>
      <c r="L110" t="inlineStr">
        <is>
          <t>No</t>
        </is>
      </c>
      <c r="M110" t="inlineStr">
        <is>
          <t>Other service activities</t>
        </is>
      </c>
      <c r="N110" t="inlineStr">
        <is>
          <t>Yes</t>
        </is>
      </c>
      <c r="O110" t="inlineStr">
        <is>
          <t>No</t>
        </is>
      </c>
      <c r="P110" t="inlineStr">
        <is>
          <t>MAKHANDA ARTISAN CENTRE AT 10H00 &amp; ADDO THE KRAAL BUILDING AT 13H00</t>
        </is>
      </c>
      <c r="Q110" s="3" t="inlineStr">
        <is>
          <t>https://www.etenders.gov.za/home/Download/?blobName=d6af5f6b-9eb9-4e18-aa51-b1a243315065.pdf&amp;downloadedFileName=SCMU5-26-27-0004SB.pdf</t>
        </is>
      </c>
      <c r="R110" t="inlineStr"/>
      <c r="S110" t="inlineStr"/>
      <c r="T110" t="inlineStr"/>
      <c r="U110" t="inlineStr"/>
      <c r="V110" t="inlineStr"/>
    </row>
    <row r="111">
      <c r="A111" s="2" t="n">
        <v>46178</v>
      </c>
      <c r="B111" t="n">
        <v>106</v>
      </c>
      <c r="C111" t="inlineStr">
        <is>
          <t>OLT2128191</t>
        </is>
      </c>
      <c r="D111" s="2" t="n">
        <v>46178</v>
      </c>
      <c r="E111" s="2" t="n">
        <v>46188</v>
      </c>
      <c r="F111" t="inlineStr">
        <is>
          <t>10:00</t>
        </is>
      </c>
      <c r="G111" t="inlineStr">
        <is>
          <t>Request for Bid(Open-Tender)</t>
        </is>
      </c>
      <c r="H111" t="inlineStr">
        <is>
          <t>DISPOSAL - ESTABLISHMENT OF AN ENABLING AGREEMENT FOR THE DISPOSAL OF SCRAP MIXED EWASTE INCLUDING NON-FUNCTIONAL COMPUTER EQUIPMENT ON BEHALF OF ESKOM FROM KZN OPERATING UNIT AND MAJUBA PS “AS AND WHEN” REQUIRED FOR A CONTRACT PERIOD OF THREE (3) YEARS FROM DATE OF CONTRACT SIGNATURE</t>
        </is>
      </c>
      <c r="I111" t="inlineStr">
        <is>
          <t>ETENDERS.GOV.ZA</t>
        </is>
      </c>
      <c r="J111" t="inlineStr">
        <is>
          <t>ESKOM</t>
        </is>
      </c>
      <c r="K111" t="inlineStr">
        <is>
          <t>KwaZulu-Natal</t>
        </is>
      </c>
      <c r="L111" t="inlineStr">
        <is>
          <t>No</t>
        </is>
      </c>
      <c r="M111" t="inlineStr">
        <is>
          <t>Disposals: General</t>
        </is>
      </c>
      <c r="N111" t="inlineStr">
        <is>
          <t>No</t>
        </is>
      </c>
      <c r="O111" t="inlineStr">
        <is>
          <t>No</t>
        </is>
      </c>
      <c r="P111" t="inlineStr">
        <is>
          <t>N/A</t>
        </is>
      </c>
      <c r="Q111" s="3" t="inlineStr">
        <is>
          <t>https://www.etenders.gov.za/home/Download/?blobName=720c61f6-d480-4ecb-a627-12c05b83b9a6.pdf&amp;downloadedFileName=Eskom_-_Standard_Conditions_of_Tender_-_30_January_2025%20-%20JAN%202030.pdf</t>
        </is>
      </c>
      <c r="R111" t="inlineStr"/>
      <c r="S111" t="inlineStr"/>
      <c r="T111" t="inlineStr"/>
      <c r="U111" t="inlineStr"/>
      <c r="V111" t="inlineStr"/>
    </row>
    <row r="112">
      <c r="A112" s="2" t="n">
        <v>46178</v>
      </c>
      <c r="B112" t="n">
        <v>105</v>
      </c>
      <c r="C112" t="inlineStr">
        <is>
          <t>E3020GXMPDUV</t>
        </is>
      </c>
      <c r="D112" s="2" t="n">
        <v>46178</v>
      </c>
      <c r="E112" s="2" t="n">
        <v>46202</v>
      </c>
      <c r="F112" t="inlineStr">
        <is>
          <t>10:00</t>
        </is>
      </c>
      <c r="G112" t="inlineStr">
        <is>
          <t>Request for Bid(Open-Tender)</t>
        </is>
      </c>
      <c r="H112" t="inlineStr">
        <is>
          <t>For the Design, Supply, Installation, Commissioning and Testing of the Sulphuric Acid Storage and Dilution Upgrade Project at Duvha Power Station for a period of Twenty-Four (24) Months</t>
        </is>
      </c>
      <c r="I112" t="inlineStr">
        <is>
          <t>ETENDERS.GOV.ZA</t>
        </is>
      </c>
      <c r="J112" t="inlineStr">
        <is>
          <t>ESKOM</t>
        </is>
      </c>
      <c r="K112" t="inlineStr">
        <is>
          <t>Mpumalanga</t>
        </is>
      </c>
      <c r="L112" t="inlineStr">
        <is>
          <t>No</t>
        </is>
      </c>
      <c r="M112" t="inlineStr">
        <is>
          <t>Specialised construction activities</t>
        </is>
      </c>
      <c r="N112" t="inlineStr">
        <is>
          <t>Yes</t>
        </is>
      </c>
      <c r="O112" t="inlineStr">
        <is>
          <t>No</t>
        </is>
      </c>
      <c r="P112" t="inlineStr">
        <is>
          <t>Ms Teams</t>
        </is>
      </c>
      <c r="Q112" s="3" t="inlineStr">
        <is>
          <t>https://www.etenders.gov.za/home/Download/?blobName=1cf27294-9165-499e-9330-fc0c02493f41.pdf&amp;downloadedFileName=ECC3%20Contract%20for%20Design%20Supply%20and%20installation%20of%20Duvha%20Acid%20Regen%20.pdf</t>
        </is>
      </c>
      <c r="R112" t="inlineStr"/>
      <c r="S112" t="inlineStr"/>
      <c r="T112" t="inlineStr"/>
      <c r="U112" t="inlineStr"/>
      <c r="V112" t="inlineStr"/>
    </row>
    <row r="113">
      <c r="A113" s="2" t="n">
        <v>46178</v>
      </c>
      <c r="B113" t="n">
        <v>104</v>
      </c>
      <c r="C113" t="inlineStr">
        <is>
          <t>SCMU3-25/26-0204-FRE</t>
        </is>
      </c>
      <c r="D113" s="2" t="n">
        <v>46178</v>
      </c>
      <c r="E113" s="2" t="n">
        <v>46188</v>
      </c>
      <c r="F113" t="inlineStr">
        <is>
          <t>11:00</t>
        </is>
      </c>
      <c r="G113" t="inlineStr">
        <is>
          <t>Request for Quotation</t>
        </is>
      </c>
      <c r="H113" t="inlineStr">
        <is>
          <t>Supply and Delivery of Dairy Products for a period of 4 months</t>
        </is>
      </c>
      <c r="I113" t="inlineStr">
        <is>
          <t>ETENDERS.GOV.ZA</t>
        </is>
      </c>
      <c r="J113" t="inlineStr">
        <is>
          <t>Eastern Cape - Health</t>
        </is>
      </c>
      <c r="K113" t="inlineStr">
        <is>
          <t>Eastern Cape</t>
        </is>
      </c>
      <c r="L113" t="inlineStr">
        <is>
          <t>No</t>
        </is>
      </c>
      <c r="M113" t="inlineStr">
        <is>
          <t>Food and beverage service activities</t>
        </is>
      </c>
      <c r="N113" t="inlineStr">
        <is>
          <t>No</t>
        </is>
      </c>
      <c r="O113" t="inlineStr">
        <is>
          <t>No</t>
        </is>
      </c>
      <c r="P113" t="inlineStr">
        <is>
          <t>N/A</t>
        </is>
      </c>
      <c r="Q113" s="3" t="inlineStr">
        <is>
          <t>https://www.etenders.gov.za/home/Download/?blobName=75ec217f-fd44-4b16-a03d-635b391e3491.pdf&amp;downloadedFileName=RFQ_DAIRY_PRODUCTS.pdf</t>
        </is>
      </c>
      <c r="R113" t="inlineStr"/>
      <c r="S113" t="inlineStr"/>
      <c r="T113" t="inlineStr"/>
      <c r="U113" t="inlineStr"/>
      <c r="V113" t="inlineStr"/>
    </row>
    <row r="114">
      <c r="A114" s="2" t="n">
        <v>46178</v>
      </c>
      <c r="B114" t="n">
        <v>103</v>
      </c>
      <c r="C114" t="inlineStr">
        <is>
          <t>SCMU3-25/26-0201-FRE</t>
        </is>
      </c>
      <c r="D114" s="2" t="n">
        <v>46178</v>
      </c>
      <c r="E114" s="2" t="n">
        <v>46188</v>
      </c>
      <c r="F114" t="inlineStr">
        <is>
          <t>11:00</t>
        </is>
      </c>
      <c r="G114" t="inlineStr">
        <is>
          <t>Request for Quotation</t>
        </is>
      </c>
      <c r="H114" t="inlineStr">
        <is>
          <t>Quotations invited for Supply and Delivery of Soups and Seasonings for a period of 9 months to Frere Hospital</t>
        </is>
      </c>
      <c r="I114" t="inlineStr">
        <is>
          <t>ETENDERS.GOV.ZA</t>
        </is>
      </c>
      <c r="J114" t="inlineStr">
        <is>
          <t>Eastern Cape - Health</t>
        </is>
      </c>
      <c r="K114" t="inlineStr">
        <is>
          <t>Eastern Cape</t>
        </is>
      </c>
      <c r="L114" t="inlineStr">
        <is>
          <t>No</t>
        </is>
      </c>
      <c r="M114" t="inlineStr">
        <is>
          <t>Food and beverage service activities</t>
        </is>
      </c>
      <c r="N114" t="inlineStr">
        <is>
          <t>No</t>
        </is>
      </c>
      <c r="O114" t="inlineStr">
        <is>
          <t>No</t>
        </is>
      </c>
      <c r="P114" t="inlineStr">
        <is>
          <t>N/A</t>
        </is>
      </c>
      <c r="Q114" s="3" t="inlineStr">
        <is>
          <t>https://www.etenders.gov.za/home/Download/?blobName=65877c65-82cb-4ab7-85e1-a8e0469d276f.pdf&amp;downloadedFileName=RFQ_Soups_9_Months.pdf</t>
        </is>
      </c>
      <c r="R114" t="inlineStr"/>
      <c r="S114" t="inlineStr"/>
      <c r="T114" t="inlineStr"/>
      <c r="U114" t="inlineStr"/>
      <c r="V114" t="inlineStr"/>
    </row>
    <row r="115">
      <c r="A115" s="2" t="n">
        <v>46178</v>
      </c>
      <c r="B115" t="n">
        <v>102</v>
      </c>
      <c r="C115" t="inlineStr">
        <is>
          <t>E2956NTCSAMWP</t>
        </is>
      </c>
      <c r="D115" s="2" t="n">
        <v>46178</v>
      </c>
      <c r="E115" s="2" t="n">
        <v>46220</v>
      </c>
      <c r="F115" t="inlineStr">
        <is>
          <t>10:00</t>
        </is>
      </c>
      <c r="G115" t="inlineStr">
        <is>
          <t>Request for Bid(Open-Tender)</t>
        </is>
      </c>
      <c r="H115" t="inlineStr">
        <is>
          <t>SUPPLY, DELIVERY, INSTALLATION AND MAINTENANCE OF DESK OFFICE SCREENS/PARTITION, BLINDS, SHOPFRONTS AND FROSTING ON AN AS AND WHEN REQUIRED BASIS TO NTCSA BUILDINGS NATIONWIDE FOR A PERIOD OF 05 YEARS.</t>
        </is>
      </c>
      <c r="I115" t="inlineStr">
        <is>
          <t>ETENDERS.GOV.ZA</t>
        </is>
      </c>
      <c r="J115" t="inlineStr">
        <is>
          <t>ESKOM</t>
        </is>
      </c>
      <c r="K115" t="inlineStr">
        <is>
          <t>National</t>
        </is>
      </c>
      <c r="L115" t="inlineStr">
        <is>
          <t>No</t>
        </is>
      </c>
      <c r="M115" t="inlineStr">
        <is>
          <t>Manufacture of furniture</t>
        </is>
      </c>
      <c r="N115" t="inlineStr">
        <is>
          <t>Yes</t>
        </is>
      </c>
      <c r="O115" t="inlineStr">
        <is>
          <t>No</t>
        </is>
      </c>
      <c r="P115" t="inlineStr">
        <is>
          <t>Refer to invitation to tender document - Link attached</t>
        </is>
      </c>
      <c r="Q115" s="3" t="inlineStr">
        <is>
          <t>https://www.etenders.gov.za/home/Download/?blobName=1d1fc959-64a9-4389-b3d2-fa9ccaeb35d4.PDF&amp;downloadedFileName=NTCSAO~2.PDF</t>
        </is>
      </c>
      <c r="R115" t="inlineStr"/>
      <c r="S115" t="inlineStr"/>
      <c r="T115" t="inlineStr"/>
      <c r="U115" t="inlineStr"/>
      <c r="V115" t="inlineStr"/>
    </row>
    <row r="116">
      <c r="A116" s="2" t="n">
        <v>46178</v>
      </c>
      <c r="B116" t="n">
        <v>101</v>
      </c>
      <c r="C116" t="inlineStr">
        <is>
          <t>E2982GXMPMAT</t>
        </is>
      </c>
      <c r="D116" s="2" t="n">
        <v>46178</v>
      </c>
      <c r="E116" s="2" t="n">
        <v>46210</v>
      </c>
      <c r="F116" t="inlineStr">
        <is>
          <t>10:00</t>
        </is>
      </c>
      <c r="G116" t="inlineStr">
        <is>
          <t>Request for Bid(Open-Tender)</t>
        </is>
      </c>
      <c r="H116" t="inlineStr">
        <is>
          <t>SLUDGE SUMP REFURBISHMENT AT MATLA POWER STATION FOR A PERIOD OF 12 MONTHS</t>
        </is>
      </c>
      <c r="I116" t="inlineStr">
        <is>
          <t>ETENDERS.GOV.ZA</t>
        </is>
      </c>
      <c r="J116" t="inlineStr">
        <is>
          <t>ESKOM</t>
        </is>
      </c>
      <c r="K116" t="inlineStr">
        <is>
          <t>Mpumalanga</t>
        </is>
      </c>
      <c r="L116" t="inlineStr">
        <is>
          <t>No</t>
        </is>
      </c>
      <c r="M116" t="inlineStr">
        <is>
          <t>Services: Building</t>
        </is>
      </c>
      <c r="N116" t="inlineStr">
        <is>
          <t>Yes</t>
        </is>
      </c>
      <c r="O116" t="inlineStr">
        <is>
          <t>No</t>
        </is>
      </c>
      <c r="P116" t="inlineStr">
        <is>
          <t>Microsoft Teams</t>
        </is>
      </c>
      <c r="Q116" s="3" t="inlineStr">
        <is>
          <t>https://www.etenders.gov.za/home/Download/?blobName=250023c2-b1b4-4bb8-a4b1-9e1c7965465b.pdf&amp;downloadedFileName=SDL&amp;I%20Strategy%20for%20Sludge%20Sump%20Walls%20Repair%20and%20Isolations%20project.pdf</t>
        </is>
      </c>
      <c r="R116" t="inlineStr"/>
      <c r="S116" t="inlineStr"/>
      <c r="T116" t="inlineStr"/>
      <c r="U116" t="inlineStr"/>
      <c r="V116" t="inlineStr"/>
    </row>
    <row r="117">
      <c r="A117" s="2" t="n">
        <v>46178</v>
      </c>
      <c r="B117" t="n">
        <v>100</v>
      </c>
      <c r="C117" t="inlineStr">
        <is>
          <t>SCMU3-26/27-0206</t>
        </is>
      </c>
      <c r="D117" s="2" t="n">
        <v>46178</v>
      </c>
      <c r="E117" s="2" t="n">
        <v>46188</v>
      </c>
      <c r="F117" t="inlineStr">
        <is>
          <t>11:00</t>
        </is>
      </c>
      <c r="G117" t="inlineStr">
        <is>
          <t>Request for Quotation</t>
        </is>
      </c>
      <c r="H117" t="inlineStr">
        <is>
          <t>Supply and Delivery of manufacturer/machine specific laundry detergents</t>
        </is>
      </c>
      <c r="I117" t="inlineStr">
        <is>
          <t>ETENDERS.GOV.ZA</t>
        </is>
      </c>
      <c r="J117" t="inlineStr">
        <is>
          <t>Eastern Cape - Health</t>
        </is>
      </c>
      <c r="K117" t="inlineStr">
        <is>
          <t>Eastern Cape</t>
        </is>
      </c>
      <c r="L117" t="inlineStr">
        <is>
          <t>No</t>
        </is>
      </c>
      <c r="M117" t="inlineStr">
        <is>
          <t>Human health and social work activities</t>
        </is>
      </c>
      <c r="N117" t="inlineStr">
        <is>
          <t>No</t>
        </is>
      </c>
      <c r="O117" t="inlineStr">
        <is>
          <t>No</t>
        </is>
      </c>
      <c r="P117" t="inlineStr">
        <is>
          <t>N/A</t>
        </is>
      </c>
      <c r="Q117" s="3" t="inlineStr">
        <is>
          <t>https://www.etenders.gov.za/home/Download/?blobName=62b0f47f-1007-4db8-8725-1c43762f005f.pdf&amp;downloadedFileName=RFQ_Laundry_Detergents.pdf</t>
        </is>
      </c>
      <c r="R117" t="inlineStr"/>
      <c r="S117" t="inlineStr"/>
      <c r="T117" t="inlineStr"/>
      <c r="U117" t="inlineStr"/>
      <c r="V117" t="inlineStr"/>
    </row>
    <row r="118">
      <c r="A118" s="2" t="n">
        <v>46178</v>
      </c>
      <c r="B118" t="n">
        <v>99</v>
      </c>
      <c r="C118" t="inlineStr">
        <is>
          <t>E3026GXMPMAT</t>
        </is>
      </c>
      <c r="D118" s="2" t="n">
        <v>46178</v>
      </c>
      <c r="E118" s="2" t="n">
        <v>46192</v>
      </c>
      <c r="F118" t="inlineStr">
        <is>
          <t>10:00</t>
        </is>
      </c>
      <c r="G118" t="inlineStr">
        <is>
          <t>Request for Bid(Open-Tender)</t>
        </is>
      </c>
      <c r="H118" t="inlineStr">
        <is>
          <t>SUPPLY AND DELIVERY OF LOCKS, KEYS, AND ACCESSORIES ON AN AS AND WHEN REQUIRED BASIS FOR THE PERIOD OF 5 YEARS</t>
        </is>
      </c>
      <c r="I118" t="inlineStr">
        <is>
          <t>ETENDERS.GOV.ZA</t>
        </is>
      </c>
      <c r="J118" t="inlineStr">
        <is>
          <t>ESKOM</t>
        </is>
      </c>
      <c r="K118" t="inlineStr">
        <is>
          <t>Limpopo</t>
        </is>
      </c>
      <c r="L118" t="inlineStr">
        <is>
          <t>No</t>
        </is>
      </c>
      <c r="M118" t="inlineStr">
        <is>
          <t>Supplies: General</t>
        </is>
      </c>
      <c r="N118" t="inlineStr">
        <is>
          <t>No</t>
        </is>
      </c>
      <c r="O118" t="inlineStr">
        <is>
          <t>No</t>
        </is>
      </c>
      <c r="P118" t="inlineStr">
        <is>
          <t>N/A</t>
        </is>
      </c>
      <c r="Q118" s="3" t="inlineStr">
        <is>
          <t>https://www.etenders.gov.za/home/Download/?blobName=785b598f-fe49-4dfd-8ea9-67c342ac96ec.docx&amp;downloadedFileName=E-Tenderers%20E-Tendering%20Training%20Acknowledgement%20Form%20-%2027%20January%202025.docx</t>
        </is>
      </c>
      <c r="R118" t="inlineStr"/>
      <c r="S118" t="inlineStr"/>
      <c r="T118" t="inlineStr"/>
      <c r="U118" t="inlineStr"/>
      <c r="V118" t="inlineStr"/>
    </row>
    <row r="119">
      <c r="A119" s="2" t="n">
        <v>46178</v>
      </c>
      <c r="B119" t="n">
        <v>98</v>
      </c>
      <c r="C119" t="inlineStr">
        <is>
          <t>E3027GXMPMAT</t>
        </is>
      </c>
      <c r="D119" s="2" t="n">
        <v>46178</v>
      </c>
      <c r="E119" s="2" t="n">
        <v>46198</v>
      </c>
      <c r="F119" t="inlineStr">
        <is>
          <t>10:00</t>
        </is>
      </c>
      <c r="G119" t="inlineStr">
        <is>
          <t>Request for Bid(Open-Tender)</t>
        </is>
      </c>
      <c r="H119" t="inlineStr">
        <is>
          <t>SUPPLY, AND DELIVERY OF FUSES, RELAYS, CONTACTORS AND CIRCUIT BREAKERS TO MATIMBA POWER STATION OVER A PERIOD OF FIVE (5) YEARS ON AN AS-AND-WHEN REQUIRED</t>
        </is>
      </c>
      <c r="I119" t="inlineStr">
        <is>
          <t>ETENDERS.GOV.ZA</t>
        </is>
      </c>
      <c r="J119" t="inlineStr">
        <is>
          <t>ESKOM</t>
        </is>
      </c>
      <c r="K119" t="inlineStr">
        <is>
          <t>Limpopo</t>
        </is>
      </c>
      <c r="L119" t="inlineStr">
        <is>
          <t>No</t>
        </is>
      </c>
      <c r="M119" t="inlineStr">
        <is>
          <t>Supplies: General</t>
        </is>
      </c>
      <c r="N119" t="inlineStr">
        <is>
          <t>No</t>
        </is>
      </c>
      <c r="O119" t="inlineStr">
        <is>
          <t>No</t>
        </is>
      </c>
      <c r="P119" t="inlineStr">
        <is>
          <t>N/A</t>
        </is>
      </c>
      <c r="Q119" s="3" t="inlineStr">
        <is>
          <t>https://www.etenders.gov.za/home/Download/?blobName=ab25b45d-3186-4939-8046-65c936ad9def.docx&amp;downloadedFileName=E-tendering%20Help%20Manual%20for%20supplier%20-%2027%20January%202025.docx</t>
        </is>
      </c>
      <c r="R119" t="inlineStr"/>
      <c r="S119" t="inlineStr"/>
      <c r="T119" t="inlineStr"/>
      <c r="U119" t="inlineStr"/>
      <c r="V119" t="inlineStr"/>
    </row>
    <row r="120">
      <c r="A120" s="2" t="n">
        <v>46178</v>
      </c>
      <c r="B120" t="n">
        <v>97</v>
      </c>
      <c r="C120" t="inlineStr">
        <is>
          <t>ES/26/PS/01</t>
        </is>
      </c>
      <c r="D120" s="2" t="n">
        <v>46178</v>
      </c>
      <c r="E120" s="2" t="n">
        <v>46206</v>
      </c>
      <c r="F120" t="inlineStr">
        <is>
          <t>12:00</t>
        </is>
      </c>
      <c r="G120" t="inlineStr">
        <is>
          <t>Request for Proposal</t>
        </is>
      </c>
      <c r="H120" t="inlineStr">
        <is>
          <t>Provision of Maintenance and Repair Services to ELIDZ Pump stations</t>
        </is>
      </c>
      <c r="I120" t="inlineStr">
        <is>
          <t>ETENDERS.GOV.ZA</t>
        </is>
      </c>
      <c r="J120" t="inlineStr">
        <is>
          <t>Eastern Cape - East London Industrial Development Zone Corporation</t>
        </is>
      </c>
      <c r="K120" t="inlineStr">
        <is>
          <t>Eastern Cape</t>
        </is>
      </c>
      <c r="L120" t="inlineStr">
        <is>
          <t>No</t>
        </is>
      </c>
      <c r="M120" t="inlineStr">
        <is>
          <t>Sewerage</t>
        </is>
      </c>
      <c r="N120" t="inlineStr">
        <is>
          <t>Yes</t>
        </is>
      </c>
      <c r="O120" t="inlineStr">
        <is>
          <t>Yes</t>
        </is>
      </c>
      <c r="P120" t="inlineStr">
        <is>
          <t>ELIDZ Head Quarters Zone Development Boardroom , Lower Chester Road, Sunnyridge</t>
        </is>
      </c>
      <c r="Q120" s="3" t="inlineStr">
        <is>
          <t>https://www.etenders.gov.za/home/Download/?blobName=7b12b837-ba04-4abd-8471-620804fd1160.pdf&amp;downloadedFileName=PS%20Envelope%20A.pdf</t>
        </is>
      </c>
      <c r="R120" t="inlineStr"/>
      <c r="S120" t="inlineStr"/>
      <c r="T120" t="inlineStr"/>
      <c r="U120" t="inlineStr"/>
      <c r="V120" t="inlineStr"/>
    </row>
    <row r="121">
      <c r="A121" s="2" t="n">
        <v>46178</v>
      </c>
      <c r="B121" t="n">
        <v>96</v>
      </c>
      <c r="C121" t="inlineStr">
        <is>
          <t>SMQ76-25-26</t>
        </is>
      </c>
      <c r="D121" s="2" t="n">
        <v>46178</v>
      </c>
      <c r="E121" s="2" t="n">
        <v>46183</v>
      </c>
      <c r="F121" t="inlineStr">
        <is>
          <t>11:00</t>
        </is>
      </c>
      <c r="G121" t="inlineStr">
        <is>
          <t>Request for Quotation</t>
        </is>
      </c>
      <c r="H121" t="inlineStr">
        <is>
          <t>REPLACE EXISTING LUMINAIRES ON 18M POLES IN RAILTON, SUURBRAAK, BARRYDALE AND POWELL STADIUM</t>
        </is>
      </c>
      <c r="I121" t="inlineStr">
        <is>
          <t>ETENDERS.GOV.ZA</t>
        </is>
      </c>
      <c r="J121" t="inlineStr">
        <is>
          <t>Swellendam Municipality</t>
        </is>
      </c>
      <c r="K121" t="inlineStr">
        <is>
          <t>Western Cape</t>
        </is>
      </c>
      <c r="L121" t="inlineStr">
        <is>
          <t>No</t>
        </is>
      </c>
      <c r="M121" t="inlineStr">
        <is>
          <t>Services: Electrical</t>
        </is>
      </c>
      <c r="N121" t="inlineStr">
        <is>
          <t>No</t>
        </is>
      </c>
      <c r="O121" t="inlineStr">
        <is>
          <t>No</t>
        </is>
      </c>
      <c r="P121" t="inlineStr">
        <is>
          <t>N/A</t>
        </is>
      </c>
      <c r="Q121" s="3" t="inlineStr">
        <is>
          <t>https://www.etenders.gov.za/home/Download/?blobName=d4a6c51f-c005-49aa-a478-a72137243ca3.pdf&amp;downloadedFileName=SMQ76-25-26_Advert.pdf</t>
        </is>
      </c>
      <c r="R121" t="inlineStr"/>
      <c r="S121" t="inlineStr"/>
      <c r="T121" t="inlineStr"/>
      <c r="U121" t="inlineStr"/>
      <c r="V121" t="inlineStr"/>
    </row>
    <row r="122">
      <c r="A122" s="2" t="n">
        <v>46178</v>
      </c>
      <c r="B122" t="n">
        <v>95</v>
      </c>
      <c r="C122" t="inlineStr">
        <is>
          <t>SK8/3/1-35/2025/26</t>
        </is>
      </c>
      <c r="D122" s="2" t="n">
        <v>46178</v>
      </c>
      <c r="E122" s="2" t="n">
        <v>46195</v>
      </c>
      <c r="F122" t="inlineStr">
        <is>
          <t>10:00</t>
        </is>
      </c>
      <c r="G122" t="inlineStr">
        <is>
          <t>Request for Bid(Open-Tender)</t>
        </is>
      </c>
      <c r="H122" t="inlineStr">
        <is>
          <t>Appointment of Service Provider for Asbestos Removal from Elokshini &amp; JS 5 portion 6 farm, Transportation, Replacement and Disposal</t>
        </is>
      </c>
      <c r="I122" t="inlineStr">
        <is>
          <t>ETENDERS.GOV.ZA</t>
        </is>
      </c>
      <c r="J122" t="inlineStr">
        <is>
          <t>Sekhukhune District Municipality</t>
        </is>
      </c>
      <c r="K122" t="inlineStr">
        <is>
          <t>Limpopo</t>
        </is>
      </c>
      <c r="L122" t="inlineStr">
        <is>
          <t>No</t>
        </is>
      </c>
      <c r="M122" t="inlineStr">
        <is>
          <t>Disposals: General</t>
        </is>
      </c>
      <c r="N122" t="inlineStr">
        <is>
          <t>No</t>
        </is>
      </c>
      <c r="O122" t="inlineStr">
        <is>
          <t>No</t>
        </is>
      </c>
      <c r="P122" t="inlineStr">
        <is>
          <t>N/A</t>
        </is>
      </c>
      <c r="Q122" s="3" t="inlineStr">
        <is>
          <t>https://www.etenders.gov.za/home/Download/?blobName=fb3cf344-8e89-4ac6-ab4e-1129f0333a4b.pdf&amp;downloadedFileName=SDM%20Term%20Contract%20Asbestos%20Removal%20Dennilton%20final.pdf</t>
        </is>
      </c>
      <c r="R122" t="inlineStr"/>
      <c r="S122" t="inlineStr"/>
      <c r="T122" t="inlineStr"/>
      <c r="U122" t="inlineStr"/>
      <c r="V122" t="inlineStr"/>
    </row>
    <row r="123">
      <c r="A123" s="2" t="n">
        <v>46178</v>
      </c>
      <c r="B123" t="n">
        <v>94</v>
      </c>
      <c r="C123" t="inlineStr">
        <is>
          <t>SMQ75-25-26</t>
        </is>
      </c>
      <c r="D123" s="2" t="n">
        <v>46178</v>
      </c>
      <c r="E123" s="2" t="n">
        <v>46185</v>
      </c>
      <c r="F123" t="inlineStr">
        <is>
          <t>11:00</t>
        </is>
      </c>
      <c r="G123" t="inlineStr">
        <is>
          <t>Request for Quotation</t>
        </is>
      </c>
      <c r="H123" t="inlineStr">
        <is>
          <t>SUPPLY AND INSTALLATION OF RAISED FLOORING AT OUTER BUILDING AT 6 RHENIUS STREET, SWELLENDAM</t>
        </is>
      </c>
      <c r="I123" t="inlineStr">
        <is>
          <t>ETENDERS.GOV.ZA</t>
        </is>
      </c>
      <c r="J123" t="inlineStr">
        <is>
          <t>Swellendam Municipality</t>
        </is>
      </c>
      <c r="K123" t="inlineStr">
        <is>
          <t>Western Cape</t>
        </is>
      </c>
      <c r="L123" t="inlineStr">
        <is>
          <t>No</t>
        </is>
      </c>
      <c r="M123" t="inlineStr">
        <is>
          <t>Services: Building</t>
        </is>
      </c>
      <c r="N123" t="inlineStr">
        <is>
          <t>No</t>
        </is>
      </c>
      <c r="O123" t="inlineStr">
        <is>
          <t>No</t>
        </is>
      </c>
      <c r="P123" t="inlineStr">
        <is>
          <t>N/A</t>
        </is>
      </c>
      <c r="Q123" s="3" t="inlineStr">
        <is>
          <t>https://www.etenders.gov.za/home/Download/?blobName=b8f21583-21af-4c56-a8ca-e4e4babfe8ba.pdf&amp;downloadedFileName=SMQ75-25-26_Advert.pdf</t>
        </is>
      </c>
      <c r="R123" t="inlineStr"/>
      <c r="S123" t="inlineStr"/>
      <c r="T123" t="inlineStr"/>
      <c r="U123" t="inlineStr"/>
      <c r="V123" t="inlineStr"/>
    </row>
    <row r="124">
      <c r="A124" s="2" t="n">
        <v>46178</v>
      </c>
      <c r="B124" t="n">
        <v>93</v>
      </c>
      <c r="C124" t="inlineStr">
        <is>
          <t>REQ0006103</t>
        </is>
      </c>
      <c r="D124" s="2" t="n">
        <v>46178</v>
      </c>
      <c r="E124" s="2" t="n">
        <v>46185</v>
      </c>
      <c r="F124" t="inlineStr">
        <is>
          <t>11:00</t>
        </is>
      </c>
      <c r="G124" t="inlineStr">
        <is>
          <t>Request for Quotation</t>
        </is>
      </c>
      <c r="H124" t="inlineStr">
        <is>
          <t>Password manager for 36 months</t>
        </is>
      </c>
      <c r="I124" t="inlineStr">
        <is>
          <t>ETENDERS.GOV.ZA</t>
        </is>
      </c>
      <c r="J124" t="inlineStr">
        <is>
          <t>South African National Accreditation System</t>
        </is>
      </c>
      <c r="K124" t="inlineStr">
        <is>
          <t>Gauteng</t>
        </is>
      </c>
      <c r="L124" t="inlineStr">
        <is>
          <t>No</t>
        </is>
      </c>
      <c r="M124" t="inlineStr">
        <is>
          <t>Services: Professional</t>
        </is>
      </c>
      <c r="N124" t="inlineStr">
        <is>
          <t>No</t>
        </is>
      </c>
      <c r="O124" t="inlineStr">
        <is>
          <t>No</t>
        </is>
      </c>
      <c r="P124" t="inlineStr">
        <is>
          <t>N/A</t>
        </is>
      </c>
      <c r="Q124" s="3" t="inlineStr">
        <is>
          <t>https://www.etenders.gov.za/home/Download/?blobName=297892ef-aa72-44f3-8dac-23c833703335.pdf&amp;downloadedFileName=SBD%206.1%20IN%20TERMS%20OF%20PPR2022.pdf</t>
        </is>
      </c>
      <c r="R124" t="inlineStr"/>
      <c r="S124" t="inlineStr"/>
      <c r="T124" t="inlineStr"/>
      <c r="U124" t="inlineStr"/>
      <c r="V124" t="inlineStr"/>
    </row>
    <row r="125">
      <c r="A125" s="2" t="n">
        <v>46178</v>
      </c>
      <c r="B125" t="n">
        <v>92</v>
      </c>
      <c r="C125" t="inlineStr">
        <is>
          <t>re-advert BTO-B061/25/26</t>
        </is>
      </c>
      <c r="D125" s="2" t="n">
        <v>46178</v>
      </c>
      <c r="E125" s="2" t="n">
        <v>46239</v>
      </c>
      <c r="F125" t="inlineStr">
        <is>
          <t>12:00</t>
        </is>
      </c>
      <c r="G125" t="inlineStr">
        <is>
          <t>Request for Proposal</t>
        </is>
      </c>
      <c r="H125" t="inlineStr">
        <is>
          <t>LEASING OF MUNICIPAL LAND IN CREIGHTON , BULWER AND HIMEVILLE FOR A PERIOD OF 5 YEARS</t>
        </is>
      </c>
      <c r="I125" t="inlineStr">
        <is>
          <t>ETENDERS.GOV.ZA</t>
        </is>
      </c>
      <c r="J125" t="inlineStr">
        <is>
          <t>Dr Nkosazana Dlamini Zuma Local Municipality</t>
        </is>
      </c>
      <c r="K125" t="inlineStr">
        <is>
          <t>KwaZulu-Natal</t>
        </is>
      </c>
      <c r="L125" t="inlineStr">
        <is>
          <t>No</t>
        </is>
      </c>
      <c r="M125" t="inlineStr">
        <is>
          <t>Other service activities</t>
        </is>
      </c>
      <c r="N125" t="inlineStr">
        <is>
          <t>Yes</t>
        </is>
      </c>
      <c r="O125" t="inlineStr">
        <is>
          <t>No</t>
        </is>
      </c>
      <c r="P125" t="inlineStr">
        <is>
          <t>Creighton</t>
        </is>
      </c>
      <c r="Q125" s="3" t="inlineStr">
        <is>
          <t>https://www.etenders.gov.za/home/Download/?blobName=f930725b-f4ba-41be-9d5f-f08b314f44cc.pdf&amp;downloadedFileName=ADVERT-2026-06-05.pdf</t>
        </is>
      </c>
      <c r="R125" t="inlineStr"/>
      <c r="S125" t="inlineStr"/>
      <c r="T125" t="inlineStr"/>
      <c r="U125" t="inlineStr"/>
      <c r="V125" t="inlineStr"/>
    </row>
    <row r="126">
      <c r="A126" s="2" t="n">
        <v>46178</v>
      </c>
      <c r="B126" t="n">
        <v>91</v>
      </c>
      <c r="C126" t="inlineStr">
        <is>
          <t>PWBS-BB64/25/26</t>
        </is>
      </c>
      <c r="D126" s="2" t="n">
        <v>46178</v>
      </c>
      <c r="E126" s="2" t="n">
        <v>46209</v>
      </c>
      <c r="F126" t="inlineStr">
        <is>
          <t>12:00</t>
        </is>
      </c>
      <c r="G126" t="inlineStr">
        <is>
          <t>Request for Proposal</t>
        </is>
      </c>
      <c r="H126" t="inlineStr">
        <is>
          <t>PANEL OF PLANT HIRE SERVICE PROVIDERS FOR REPAIRS AND MAINTENANCE FOR A PERIOD OF 3 YEARS</t>
        </is>
      </c>
      <c r="I126" t="inlineStr">
        <is>
          <t>ETENDERS.GOV.ZA</t>
        </is>
      </c>
      <c r="J126" t="inlineStr">
        <is>
          <t>Dr Nkosazana Dlamini Zuma Local Municipality</t>
        </is>
      </c>
      <c r="K126" t="inlineStr">
        <is>
          <t>KwaZulu-Natal</t>
        </is>
      </c>
      <c r="L126" t="inlineStr">
        <is>
          <t>No</t>
        </is>
      </c>
      <c r="M126" t="inlineStr">
        <is>
          <t>Other service activities</t>
        </is>
      </c>
      <c r="N126" t="inlineStr">
        <is>
          <t>Yes</t>
        </is>
      </c>
      <c r="O126" t="inlineStr">
        <is>
          <t>Yes</t>
        </is>
      </c>
      <c r="P126" t="inlineStr">
        <is>
          <t>Creighton</t>
        </is>
      </c>
      <c r="Q126" s="3" t="inlineStr">
        <is>
          <t>https://www.etenders.gov.za/home/Download/?blobName=cee38fcf-6fe1-4169-8fa2-e877f8c58e53.pdf&amp;downloadedFileName=ADVERT-2026-06-05.pdf</t>
        </is>
      </c>
      <c r="R126" t="inlineStr"/>
      <c r="S126" t="inlineStr"/>
      <c r="T126" t="inlineStr"/>
      <c r="U126" t="inlineStr"/>
      <c r="V126" t="inlineStr"/>
    </row>
    <row r="127">
      <c r="A127" s="2" t="n">
        <v>46178</v>
      </c>
      <c r="B127" t="n">
        <v>90</v>
      </c>
      <c r="C127" t="inlineStr">
        <is>
          <t>PWBS-B067/25/26</t>
        </is>
      </c>
      <c r="D127" s="2" t="n">
        <v>46178</v>
      </c>
      <c r="E127" s="2" t="n">
        <v>46209</v>
      </c>
      <c r="F127" t="inlineStr">
        <is>
          <t>12:00</t>
        </is>
      </c>
      <c r="G127" t="inlineStr">
        <is>
          <t>Request for Proposal</t>
        </is>
      </c>
      <c r="H127" t="inlineStr">
        <is>
          <t>SERVICE PROVIDER TO REMOVE WASTE FROM HIMEVILLE TRANSFER STATION FOR A PERIOD OF 3 YEARS</t>
        </is>
      </c>
      <c r="I127" t="inlineStr">
        <is>
          <t>ETENDERS.GOV.ZA</t>
        </is>
      </c>
      <c r="J127" t="inlineStr">
        <is>
          <t>Dr Nkosazana Dlamini Zuma Local Municipality</t>
        </is>
      </c>
      <c r="K127" t="inlineStr">
        <is>
          <t>KwaZulu-Natal</t>
        </is>
      </c>
      <c r="L127" t="inlineStr">
        <is>
          <t>No</t>
        </is>
      </c>
      <c r="M127" t="inlineStr">
        <is>
          <t>Other service activities</t>
        </is>
      </c>
      <c r="N127" t="inlineStr">
        <is>
          <t>Yes</t>
        </is>
      </c>
      <c r="O127" t="inlineStr">
        <is>
          <t>Yes</t>
        </is>
      </c>
      <c r="P127" t="inlineStr">
        <is>
          <t>Creighton</t>
        </is>
      </c>
      <c r="Q127" s="3" t="inlineStr">
        <is>
          <t>https://www.etenders.gov.za/home/Download/?blobName=ae4a6c0b-7a46-4690-a594-08cbee68da87.pdf&amp;downloadedFileName=ADVERT-2026-06-05.pdf</t>
        </is>
      </c>
      <c r="R127" t="inlineStr"/>
      <c r="S127" t="inlineStr"/>
      <c r="T127" t="inlineStr"/>
      <c r="U127" t="inlineStr"/>
      <c r="V127" t="inlineStr"/>
    </row>
    <row r="128">
      <c r="A128" s="2" t="n">
        <v>46178</v>
      </c>
      <c r="B128" t="n">
        <v>89</v>
      </c>
      <c r="C128" t="inlineStr">
        <is>
          <t>PWBS-B068/25/26</t>
        </is>
      </c>
      <c r="D128" s="2" t="n">
        <v>46178</v>
      </c>
      <c r="E128" s="2" t="n">
        <v>46209</v>
      </c>
      <c r="F128" t="inlineStr">
        <is>
          <t>12:00</t>
        </is>
      </c>
      <c r="G128" t="inlineStr">
        <is>
          <t>Request for Proposal</t>
        </is>
      </c>
      <c r="H128" t="inlineStr">
        <is>
          <t>SERVICE PROVIDERS FOR REPAIRS AND MAINTENANCE OF SMALL PLANT AND EQUIPMENT FOR A PERIOD OF 3 YEARS</t>
        </is>
      </c>
      <c r="I128" t="inlineStr">
        <is>
          <t>ETENDERS.GOV.ZA</t>
        </is>
      </c>
      <c r="J128" t="inlineStr">
        <is>
          <t>Dr Nkosazana Dlamini Zuma Local Municipality</t>
        </is>
      </c>
      <c r="K128" t="inlineStr">
        <is>
          <t>KwaZulu-Natal</t>
        </is>
      </c>
      <c r="L128" t="inlineStr">
        <is>
          <t>No</t>
        </is>
      </c>
      <c r="M128" t="inlineStr">
        <is>
          <t>Other service activities</t>
        </is>
      </c>
      <c r="N128" t="inlineStr">
        <is>
          <t>Yes</t>
        </is>
      </c>
      <c r="O128" t="inlineStr">
        <is>
          <t>Yes</t>
        </is>
      </c>
      <c r="P128" t="inlineStr">
        <is>
          <t>Creighton</t>
        </is>
      </c>
      <c r="Q128" s="3" t="inlineStr">
        <is>
          <t>https://www.etenders.gov.za/home/Download/?blobName=1870ee43-6c81-436d-81c8-3d8b984b439c.pdf&amp;downloadedFileName=ADVERT-2026-06-05.pdf</t>
        </is>
      </c>
      <c r="R128" t="inlineStr"/>
      <c r="S128" t="inlineStr"/>
      <c r="T128" t="inlineStr"/>
      <c r="U128" t="inlineStr"/>
      <c r="V128" t="inlineStr"/>
    </row>
    <row r="129">
      <c r="A129" s="2" t="n">
        <v>46178</v>
      </c>
      <c r="B129" t="n">
        <v>88</v>
      </c>
      <c r="C129" t="inlineStr">
        <is>
          <t>114_2025-2026T</t>
        </is>
      </c>
      <c r="D129" s="2" t="n">
        <v>46178</v>
      </c>
      <c r="E129" s="2" t="n">
        <v>46210</v>
      </c>
      <c r="F129" t="inlineStr">
        <is>
          <t>12:00</t>
        </is>
      </c>
      <c r="G129" t="inlineStr">
        <is>
          <t>Request for Bid(Open-Tender)</t>
        </is>
      </c>
      <c r="H129" t="inlineStr">
        <is>
          <t>Integrated Fleet Management Services On An “As-And-When Required Basis” For A Period Of Thirty-Six (36) Months</t>
        </is>
      </c>
      <c r="I129" t="inlineStr">
        <is>
          <t>ETENDERS.GOV.ZA</t>
        </is>
      </c>
      <c r="J129" t="inlineStr">
        <is>
          <t>Senqu Local Municipality</t>
        </is>
      </c>
      <c r="K129" t="inlineStr">
        <is>
          <t>Eastern Cape</t>
        </is>
      </c>
      <c r="L129" t="inlineStr">
        <is>
          <t>No</t>
        </is>
      </c>
      <c r="M129" t="inlineStr">
        <is>
          <t>Rental and leasing activities</t>
        </is>
      </c>
      <c r="N129" t="inlineStr">
        <is>
          <t>Yes</t>
        </is>
      </c>
      <c r="O129" t="inlineStr">
        <is>
          <t>Yes</t>
        </is>
      </c>
      <c r="P129" t="inlineStr">
        <is>
          <t>Lady Grey Municipal Main Office (Council Chamber)</t>
        </is>
      </c>
      <c r="Q129" s="3" t="inlineStr">
        <is>
          <t>https://www.etenders.gov.za/home/Download/?blobName=76b84625-bd5d-4210-9821-007440c3e776.pdf&amp;downloadedFileName=Advert%20114_2025-2026T%20Integrated%20Fleet%20Management%20Services%20On%20An%20%E2%80%9CAs-And-When%20Required%20Basis%E2%80%9D%20For%20A%20Period%20Of%20Thirty-Six%20(36)%20Months.pdf</t>
        </is>
      </c>
      <c r="R129" t="inlineStr"/>
      <c r="S129" t="inlineStr"/>
      <c r="T129" t="inlineStr"/>
      <c r="U129" t="inlineStr"/>
      <c r="V129" t="inlineStr"/>
    </row>
    <row r="130">
      <c r="A130" s="2" t="n">
        <v>46178</v>
      </c>
      <c r="B130" t="n">
        <v>87</v>
      </c>
      <c r="C130" t="inlineStr">
        <is>
          <t>ZNT 05/25/26</t>
        </is>
      </c>
      <c r="D130" s="2" t="n">
        <v>46178</v>
      </c>
      <c r="E130" s="2" t="n">
        <v>46210</v>
      </c>
      <c r="F130" t="inlineStr">
        <is>
          <t>11:00</t>
        </is>
      </c>
      <c r="G130" t="inlineStr">
        <is>
          <t>Request for Bid(Open-Tender)</t>
        </is>
      </c>
      <c r="H130" t="inlineStr">
        <is>
          <t>ZNT 05/25/26: APPOINTMENT OF A PANEL OF PRIVATE ATTORNEY FIRMS TO BE USED BY LEGAL SERVICES ON AN AD-HOC BASIS FOR A PERIOD OF 3 YEARS</t>
        </is>
      </c>
      <c r="I130" t="inlineStr">
        <is>
          <t>ETENDERS.GOV.ZA</t>
        </is>
      </c>
      <c r="J130" t="inlineStr">
        <is>
          <t>Kwazulu Natal - Public Works (Head Office)</t>
        </is>
      </c>
      <c r="K130" t="inlineStr">
        <is>
          <t>KwaZulu-Natal</t>
        </is>
      </c>
      <c r="L130" t="inlineStr">
        <is>
          <t>No</t>
        </is>
      </c>
      <c r="M130" t="inlineStr">
        <is>
          <t>Legal and accounting activities</t>
        </is>
      </c>
      <c r="N130" t="inlineStr">
        <is>
          <t>No</t>
        </is>
      </c>
      <c r="O130" t="inlineStr">
        <is>
          <t>No</t>
        </is>
      </c>
      <c r="P130" t="inlineStr">
        <is>
          <t>N/A</t>
        </is>
      </c>
      <c r="Q130" s="3" t="inlineStr">
        <is>
          <t>https://www.etenders.gov.za/home/Download/?blobName=b6e1a8b0-8813-4182-ae26-1eeafd31ba22.pdf&amp;downloadedFileName=ZNT%2005%20-25%20-%2026%20%20-%20PANEL%20OF%20ATTORNEYS.pdf1.pdf</t>
        </is>
      </c>
      <c r="R130" t="inlineStr"/>
      <c r="S130" t="inlineStr"/>
      <c r="T130" t="inlineStr"/>
      <c r="U130" t="inlineStr"/>
      <c r="V130" t="inlineStr"/>
    </row>
    <row r="131">
      <c r="A131" s="2" t="n">
        <v>46178</v>
      </c>
      <c r="B131" t="n">
        <v>86</v>
      </c>
      <c r="C131" t="inlineStr">
        <is>
          <t>GMQ105/25-26</t>
        </is>
      </c>
      <c r="D131" s="2" t="n">
        <v>46178</v>
      </c>
      <c r="E131" s="2" t="n">
        <v>46184</v>
      </c>
      <c r="F131" t="inlineStr">
        <is>
          <t>12:00</t>
        </is>
      </c>
      <c r="G131" t="inlineStr">
        <is>
          <t>Request for Quotation</t>
        </is>
      </c>
      <c r="H131" t="inlineStr">
        <is>
          <t>GMQ105/25-26 – Supply, Delivery and Installation of Office Partitioning and Desk Dividers</t>
        </is>
      </c>
      <c r="I131" t="inlineStr">
        <is>
          <t>ETENDERS.GOV.ZA</t>
        </is>
      </c>
      <c r="J131" t="inlineStr">
        <is>
          <t>George Municipality</t>
        </is>
      </c>
      <c r="K131" t="inlineStr">
        <is>
          <t>Western Cape</t>
        </is>
      </c>
      <c r="L131" t="inlineStr">
        <is>
          <t>No</t>
        </is>
      </c>
      <c r="M131" t="inlineStr">
        <is>
          <t>Manufacture of furniture</t>
        </is>
      </c>
      <c r="N131" t="inlineStr">
        <is>
          <t>No</t>
        </is>
      </c>
      <c r="O131" t="inlineStr">
        <is>
          <t>No</t>
        </is>
      </c>
      <c r="P131" t="inlineStr">
        <is>
          <t>N/A</t>
        </is>
      </c>
      <c r="Q131" s="3" t="inlineStr">
        <is>
          <t>https://www.etenders.gov.za/home/Download/?blobName=782c68e6-aa67-4be7-9348-e72dc2bd0612.pdf&amp;downloadedFileName=Advertisement%20-%20GMQ105%20of%2025-26.pdf</t>
        </is>
      </c>
      <c r="R131" t="inlineStr"/>
      <c r="S131" t="inlineStr"/>
      <c r="T131" t="inlineStr"/>
      <c r="U131" t="inlineStr"/>
      <c r="V131" t="inlineStr"/>
    </row>
    <row r="132">
      <c r="A132" s="2" t="n">
        <v>46178</v>
      </c>
      <c r="B132" t="n">
        <v>85</v>
      </c>
      <c r="C132" t="inlineStr">
        <is>
          <t>Q 02 EDTEA 26/27</t>
        </is>
      </c>
      <c r="D132" s="2" t="n">
        <v>46178</v>
      </c>
      <c r="E132" s="2" t="n">
        <v>46195</v>
      </c>
      <c r="F132" t="inlineStr">
        <is>
          <t>15:00</t>
        </is>
      </c>
      <c r="G132" t="inlineStr">
        <is>
          <t>Request for Quotation</t>
        </is>
      </c>
      <c r="H132" t="inlineStr">
        <is>
          <t>APPOINTMENT OF A SERVICE PROVIDER TO ROLL OUT AND IMPLEMENT A FOUNDRY TRAINING AND FURNACE REPAIRS PROJECT AT THE DOWNSTREAM ALUMINIUM CENTRE FOR TECHNOLOGY (DACT) TO IMPROVE METAL BENEFICIATION SKILLS FOR A PERIOD OF SIX (6) MONTHS.</t>
        </is>
      </c>
      <c r="I132" t="inlineStr">
        <is>
          <t>ETENDERS.GOV.ZA</t>
        </is>
      </c>
      <c r="J132" t="inlineStr">
        <is>
          <t>Kwazulu Natal - Economic Development, Tourism and Environ Affairs</t>
        </is>
      </c>
      <c r="K132" t="inlineStr">
        <is>
          <t>KwaZulu-Natal</t>
        </is>
      </c>
      <c r="L132" t="inlineStr">
        <is>
          <t>No</t>
        </is>
      </c>
      <c r="M132" t="inlineStr">
        <is>
          <t>Services: Professional</t>
        </is>
      </c>
      <c r="N132" t="inlineStr">
        <is>
          <t>No</t>
        </is>
      </c>
      <c r="O132" t="inlineStr">
        <is>
          <t>No</t>
        </is>
      </c>
      <c r="P132" t="inlineStr">
        <is>
          <t>N/A</t>
        </is>
      </c>
      <c r="Q132" s="3" t="inlineStr">
        <is>
          <t>https://www.etenders.gov.za/home/Download/?blobName=ae3485bd-9cd2-487e-a8fa-48045c802805.pdf&amp;downloadedFileName=QUOTATION%20DOCUMENT%20%20Q%2002%20EDTEA%2026-27.pdf</t>
        </is>
      </c>
      <c r="R132" t="inlineStr"/>
      <c r="S132" t="inlineStr"/>
      <c r="T132" t="inlineStr"/>
      <c r="U132" t="inlineStr"/>
      <c r="V132" t="inlineStr"/>
    </row>
    <row r="133">
      <c r="A133" s="2" t="n">
        <v>46178</v>
      </c>
      <c r="B133" t="n">
        <v>84</v>
      </c>
      <c r="C133" t="inlineStr">
        <is>
          <t>ZNQ 10/26/27</t>
        </is>
      </c>
      <c r="D133" s="2" t="n">
        <v>46178</v>
      </c>
      <c r="E133" s="2" t="n">
        <v>46183</v>
      </c>
      <c r="F133" t="inlineStr">
        <is>
          <t>11:00</t>
        </is>
      </c>
      <c r="G133" t="inlineStr">
        <is>
          <t>Request for Quotation</t>
        </is>
      </c>
      <c r="H133" t="inlineStr">
        <is>
          <t>RE-ADVERTISING: SUITABLE AND CAPABLE SERVICE PROVIDER ARE INVITED TO QUOTE FOR THE TRAINING OF THIRTY (30) EMPLOYEES FOR SIGN LANGUAGE FOR THE KZN DEPARTMENT OF PUBLIC WORKS AND INFRASTRUCTURE.</t>
        </is>
      </c>
      <c r="I133" t="inlineStr">
        <is>
          <t>ETENDERS.GOV.ZA</t>
        </is>
      </c>
      <c r="J133" t="inlineStr">
        <is>
          <t>Kwazulu Natal - Public Works (Head Office)</t>
        </is>
      </c>
      <c r="K133" t="inlineStr">
        <is>
          <t>KwaZulu-Natal</t>
        </is>
      </c>
      <c r="L133" t="inlineStr">
        <is>
          <t>No</t>
        </is>
      </c>
      <c r="M133" t="inlineStr">
        <is>
          <t>Administrative and support activities</t>
        </is>
      </c>
      <c r="N133" t="inlineStr">
        <is>
          <t>No</t>
        </is>
      </c>
      <c r="O133" t="inlineStr">
        <is>
          <t>No</t>
        </is>
      </c>
      <c r="P133" t="inlineStr">
        <is>
          <t>N/A</t>
        </is>
      </c>
      <c r="Q133" s="3" t="inlineStr">
        <is>
          <t>https://www.etenders.gov.za/home/Download/?blobName=0d119077-6aab-471c-a830-3aaebd3c9ec7.pdf&amp;downloadedFileName=Advert%20ZNQ10.26.27.pdf</t>
        </is>
      </c>
      <c r="R133" t="inlineStr"/>
      <c r="S133" t="inlineStr"/>
      <c r="T133" t="inlineStr"/>
      <c r="U133" t="inlineStr"/>
      <c r="V133" t="inlineStr"/>
    </row>
    <row r="134">
      <c r="A134" s="2" t="n">
        <v>46178</v>
      </c>
      <c r="B134" t="n">
        <v>83</v>
      </c>
      <c r="C134" t="inlineStr">
        <is>
          <t>TENDER NO MN 204-2025</t>
        </is>
      </c>
      <c r="D134" s="2" t="n">
        <v>46178</v>
      </c>
      <c r="E134" s="2" t="n">
        <v>46199</v>
      </c>
      <c r="F134" t="inlineStr">
        <is>
          <t>12:00</t>
        </is>
      </c>
      <c r="G134" t="inlineStr">
        <is>
          <t>Request for Bid(Open-Tender)</t>
        </is>
      </c>
      <c r="H134" t="inlineStr">
        <is>
          <t>TENDER NO MN 204/2025 - SUPPLY, DELIVER, INSTALL, &amp; COMMISSION OF A 200KG WASTE BAILER AT KDM WASTE BUY BACK CENTRE</t>
        </is>
      </c>
      <c r="I134" t="inlineStr">
        <is>
          <t>ETENDERS.GOV.ZA</t>
        </is>
      </c>
      <c r="J134" t="inlineStr">
        <is>
          <t>Kwadukuza Municipality</t>
        </is>
      </c>
      <c r="K134" t="inlineStr">
        <is>
          <t>KwaZulu-Natal</t>
        </is>
      </c>
      <c r="L134" t="inlineStr">
        <is>
          <t>No</t>
        </is>
      </c>
      <c r="M134" t="inlineStr">
        <is>
          <t>Other manufacturing</t>
        </is>
      </c>
      <c r="N134" t="inlineStr">
        <is>
          <t>Yes</t>
        </is>
      </c>
      <c r="O134" t="inlineStr">
        <is>
          <t>Yes</t>
        </is>
      </c>
      <c r="P134" t="inlineStr">
        <is>
          <t>2 INDUSTRIA CRESENT KWADUKUZA, PMU Boardroom</t>
        </is>
      </c>
      <c r="Q134" s="3" t="inlineStr">
        <is>
          <t>https://www.etenders.gov.za/home/Download/?blobName=dd9febd2-c1bc-4798-bfd4-248926f360de.docx&amp;downloadedFileName=TENDER%20NO%20204-%202025.docx</t>
        </is>
      </c>
      <c r="R134" t="inlineStr"/>
      <c r="S134" t="inlineStr"/>
      <c r="T134" t="inlineStr"/>
      <c r="U134" t="inlineStr"/>
      <c r="V134" t="inlineStr"/>
    </row>
    <row r="135">
      <c r="A135" s="2" t="n">
        <v>46178</v>
      </c>
      <c r="B135" t="n">
        <v>82</v>
      </c>
      <c r="C135" t="inlineStr">
        <is>
          <t>DARD07/2026</t>
        </is>
      </c>
      <c r="D135" s="2" t="n">
        <v>46178</v>
      </c>
      <c r="E135" s="2" t="n">
        <v>46210</v>
      </c>
      <c r="F135" t="inlineStr">
        <is>
          <t>11:00</t>
        </is>
      </c>
      <c r="G135" t="inlineStr">
        <is>
          <t>Request for Bid(Open-Tender)</t>
        </is>
      </c>
      <c r="H135" t="inlineStr">
        <is>
          <t>Request for Proposal for Provision of Canteen Services, for Staff Members at the Department of Agriculture and Rural Development – Cedara, for a Period of Thirty-Six (36) Months.</t>
        </is>
      </c>
      <c r="I135" t="inlineStr">
        <is>
          <t>ETENDERS.GOV.ZA</t>
        </is>
      </c>
      <c r="J135" t="inlineStr">
        <is>
          <t>Kwazulu Natal - Department of Agriculture and Rural Develeopment</t>
        </is>
      </c>
      <c r="K135" t="inlineStr">
        <is>
          <t>KwaZulu-Natal</t>
        </is>
      </c>
      <c r="L135" t="inlineStr">
        <is>
          <t>No</t>
        </is>
      </c>
      <c r="M135" t="inlineStr">
        <is>
          <t>Other service activities</t>
        </is>
      </c>
      <c r="N135" t="inlineStr">
        <is>
          <t>No</t>
        </is>
      </c>
      <c r="O135" t="inlineStr">
        <is>
          <t>No</t>
        </is>
      </c>
      <c r="P135" t="inlineStr">
        <is>
          <t>N/A</t>
        </is>
      </c>
      <c r="Q135" s="3" t="inlineStr">
        <is>
          <t>https://www.etenders.gov.za/home/Download/?blobName=2d625084-b05d-480d-9ca6-09c005f9985a.pdf&amp;downloadedFileName=DARD07.2026.pdf</t>
        </is>
      </c>
      <c r="R135" t="inlineStr"/>
      <c r="S135" t="inlineStr"/>
      <c r="T135" t="inlineStr"/>
      <c r="U135" t="inlineStr"/>
      <c r="V135" t="inlineStr"/>
    </row>
    <row r="136">
      <c r="A136" s="2" t="n">
        <v>46178</v>
      </c>
      <c r="B136" t="n">
        <v>81</v>
      </c>
      <c r="C136" t="inlineStr">
        <is>
          <t>ZNB5296/2026 -H</t>
        </is>
      </c>
      <c r="D136" s="2" t="n">
        <v>46178</v>
      </c>
      <c r="E136" s="2" t="n">
        <v>46203</v>
      </c>
      <c r="F136" t="inlineStr">
        <is>
          <t>11:00</t>
        </is>
      </c>
      <c r="G136" t="inlineStr">
        <is>
          <t>Request for Bid(Open-Tender)</t>
        </is>
      </c>
      <c r="H136" t="inlineStr">
        <is>
          <t>APPOINTMENT OF SERVICE PROVIDERS TO RENDER A COMPREHENSIVE HEALTH CARE RISK WASTE MANAGEMENT (HCRWM) SERVICES FOR VARIOUS INSTITUTIONS. THREE (3) YEAR CONTRACT)</t>
        </is>
      </c>
      <c r="I136" t="inlineStr">
        <is>
          <t>ETENDERS.GOV.ZA</t>
        </is>
      </c>
      <c r="J136" t="inlineStr">
        <is>
          <t>Kwazulu Natal - Health</t>
        </is>
      </c>
      <c r="K136" t="inlineStr">
        <is>
          <t>KwaZulu-Natal</t>
        </is>
      </c>
      <c r="L136" t="inlineStr">
        <is>
          <t>No</t>
        </is>
      </c>
      <c r="M136" t="inlineStr">
        <is>
          <t>Human health activities</t>
        </is>
      </c>
      <c r="N136" t="inlineStr">
        <is>
          <t>Yes</t>
        </is>
      </c>
      <c r="O136" t="inlineStr">
        <is>
          <t>No</t>
        </is>
      </c>
      <c r="P136" t="inlineStr">
        <is>
          <t>Teams Meeting ID: 333 403 199 919 315 Passcode: RF6vT6yZ</t>
        </is>
      </c>
      <c r="Q136" s="3" t="inlineStr">
        <is>
          <t>https://www.etenders.gov.za/home/Download/?blobName=00288e22-8c0b-4059-a07e-af79beb919c4.pdf&amp;downloadedFileName=BID%20ADVERT%20ZNB%205296-2026-H%20-%20Copy.pdf</t>
        </is>
      </c>
      <c r="R136" t="inlineStr"/>
      <c r="S136" t="inlineStr"/>
      <c r="T136" t="inlineStr"/>
      <c r="U136" t="inlineStr"/>
      <c r="V136" t="inlineStr"/>
    </row>
    <row r="137">
      <c r="A137" s="2" t="n">
        <v>46178</v>
      </c>
      <c r="B137" t="n">
        <v>80</v>
      </c>
      <c r="C137" t="inlineStr">
        <is>
          <t>MFMP 2026/06/001</t>
        </is>
      </c>
      <c r="D137" s="2" t="n">
        <v>46178</v>
      </c>
      <c r="E137" s="2" t="n">
        <v>46192</v>
      </c>
      <c r="F137" t="inlineStr">
        <is>
          <t>12:00</t>
        </is>
      </c>
      <c r="G137" t="inlineStr">
        <is>
          <t>Request for Bid(Open-Tender)</t>
        </is>
      </c>
      <c r="H137" t="inlineStr">
        <is>
          <t>PROVISION OF THE MUNICIPAL FINANCE MANAGEMENT PROGRAM (MFMP) TRAINING FOR ELEVEN (11) OFFICALS OF MASILONYANA LOCAL MUNICIPALITY FOR A PERIOD OF 12 MONTHS</t>
        </is>
      </c>
      <c r="I137" t="inlineStr">
        <is>
          <t>ETENDERS.GOV.ZA</t>
        </is>
      </c>
      <c r="J137" t="inlineStr">
        <is>
          <t>Masilonyana local municipality</t>
        </is>
      </c>
      <c r="K137" t="inlineStr">
        <is>
          <t>Free State</t>
        </is>
      </c>
      <c r="L137" t="inlineStr">
        <is>
          <t>No</t>
        </is>
      </c>
      <c r="M137" t="inlineStr">
        <is>
          <t>Information service activities</t>
        </is>
      </c>
      <c r="N137" t="inlineStr">
        <is>
          <t>No</t>
        </is>
      </c>
      <c r="O137" t="inlineStr">
        <is>
          <t>No</t>
        </is>
      </c>
      <c r="P137" t="inlineStr">
        <is>
          <t>N/A</t>
        </is>
      </c>
      <c r="Q137" s="3" t="inlineStr">
        <is>
          <t>https://www.etenders.gov.za/home/Download/?blobName=9962cdac-9e91-41c7-bbe3-0f3b7dd2f67f.pdf&amp;downloadedFileName=ADVERT%20-%20MFMP.pdf</t>
        </is>
      </c>
      <c r="R137" t="inlineStr"/>
      <c r="S137" t="inlineStr"/>
      <c r="T137" t="inlineStr"/>
      <c r="U137" t="inlineStr"/>
      <c r="V137" t="inlineStr"/>
    </row>
    <row r="138">
      <c r="A138" s="2" t="n">
        <v>46178</v>
      </c>
      <c r="B138" t="n">
        <v>79</v>
      </c>
      <c r="C138" t="inlineStr">
        <is>
          <t>ZNQ18/26/27</t>
        </is>
      </c>
      <c r="D138" s="2" t="n">
        <v>46178</v>
      </c>
      <c r="E138" s="2" t="n">
        <v>46185</v>
      </c>
      <c r="F138" t="inlineStr">
        <is>
          <t>11:00</t>
        </is>
      </c>
      <c r="G138" t="inlineStr">
        <is>
          <t>Request for Quotation</t>
        </is>
      </c>
      <c r="H138" t="inlineStr">
        <is>
          <t>Suitable service providers are hereby invited to quote for the supply and delivery of shredder for Department of Public works &amp; infrastructure, 191 prince Alfred street, O.R Tambo House Head office, Pietermaritzburg, 3201.</t>
        </is>
      </c>
      <c r="I138" t="inlineStr">
        <is>
          <t>ETENDERS.GOV.ZA</t>
        </is>
      </c>
      <c r="J138" t="inlineStr">
        <is>
          <t>Kwazulu Natal - Public Works (Head Office)</t>
        </is>
      </c>
      <c r="K138" t="inlineStr">
        <is>
          <t>KwaZulu-Natal</t>
        </is>
      </c>
      <c r="L138" t="inlineStr">
        <is>
          <t>No</t>
        </is>
      </c>
      <c r="M138" t="inlineStr">
        <is>
          <t>Administrative and support activities</t>
        </is>
      </c>
      <c r="N138" t="inlineStr">
        <is>
          <t>No</t>
        </is>
      </c>
      <c r="O138" t="inlineStr">
        <is>
          <t>No</t>
        </is>
      </c>
      <c r="P138" t="inlineStr">
        <is>
          <t>N/A</t>
        </is>
      </c>
      <c r="Q138" s="3" t="inlineStr">
        <is>
          <t>https://www.etenders.gov.za/home/Download/?blobName=ff613cf4-53d1-44ae-9330-2f868a17f40c.pdf&amp;downloadedFileName=Znq%2018.26.27%20Adv.pdf</t>
        </is>
      </c>
      <c r="R138" t="inlineStr"/>
      <c r="S138" t="inlineStr"/>
      <c r="T138" t="inlineStr"/>
      <c r="U138" t="inlineStr"/>
      <c r="V138" t="inlineStr"/>
    </row>
    <row r="139">
      <c r="A139" s="2" t="n">
        <v>46178</v>
      </c>
      <c r="B139" t="n">
        <v>78</v>
      </c>
      <c r="C139" t="inlineStr">
        <is>
          <t>8/2/2/469 (2ME/2CE)(2025-2028)</t>
        </is>
      </c>
      <c r="D139" s="2" t="n">
        <v>46178</v>
      </c>
      <c r="E139" s="2" t="n">
        <v>46195</v>
      </c>
      <c r="F139" t="inlineStr">
        <is>
          <t>10:00</t>
        </is>
      </c>
      <c r="G139" t="inlineStr">
        <is>
          <t>Request for Bid(Open-Tender)</t>
        </is>
      </c>
      <c r="H139" t="inlineStr">
        <is>
          <t>BID TO APPOINT A SERVICE PROVIDER FOR THE DRILLING OF GROUNDWATER MONITORING AND GENERAL BOREHOLES FOR MIDVAAL LOCAL MUNICIPALITY WASTEWATER TREATMENT WORKS, TRANSFER STATIONS AND LANDFILL SITES AS AND WHEN REQUIRED FROM THE DATE OF APPOINTMENT TO 30 JUNE 2028</t>
        </is>
      </c>
      <c r="I139" t="inlineStr">
        <is>
          <t>ETENDERS.GOV.ZA</t>
        </is>
      </c>
      <c r="J139" t="inlineStr">
        <is>
          <t>Midvaal Local Municipality</t>
        </is>
      </c>
      <c r="K139" t="inlineStr">
        <is>
          <t>Gauteng</t>
        </is>
      </c>
      <c r="L139" t="inlineStr">
        <is>
          <t>No</t>
        </is>
      </c>
      <c r="M139" t="inlineStr">
        <is>
          <t>Other service activities</t>
        </is>
      </c>
      <c r="N139" t="inlineStr">
        <is>
          <t>No</t>
        </is>
      </c>
      <c r="O139" t="inlineStr">
        <is>
          <t>No</t>
        </is>
      </c>
      <c r="P139" t="inlineStr">
        <is>
          <t>N/A</t>
        </is>
      </c>
      <c r="Q139" s="3" t="inlineStr">
        <is>
          <t>https://www.etenders.gov.za/home/Download/?blobName=91a36c49-4f0e-46f8-bde5-a5ac9b373028.pdf&amp;downloadedFileName=ADVERT%20100117686.pdf</t>
        </is>
      </c>
      <c r="R139" t="inlineStr"/>
      <c r="S139" t="inlineStr"/>
      <c r="T139" t="inlineStr"/>
      <c r="U139" t="inlineStr"/>
      <c r="V139" t="inlineStr"/>
    </row>
    <row r="140">
      <c r="A140" s="2" t="n">
        <v>46178</v>
      </c>
      <c r="B140" t="n">
        <v>77</v>
      </c>
      <c r="C140" t="inlineStr">
        <is>
          <t>EDET 321</t>
        </is>
      </c>
      <c r="D140" s="2" t="n">
        <v>46178</v>
      </c>
      <c r="E140" s="2" t="n">
        <v>46212</v>
      </c>
      <c r="F140" t="inlineStr">
        <is>
          <t>11:00</t>
        </is>
      </c>
      <c r="G140" t="inlineStr">
        <is>
          <t>Request for Bid(Open-Tender)</t>
        </is>
      </c>
      <c r="H140" t="inlineStr">
        <is>
          <t>APPOINTMENT OF A SERVICE PROVIDER FOR THE REVIEW AND DEVELOPMENT OF THE ENVIRONMENT OUTLOOK REPORT: 2027-2032</t>
        </is>
      </c>
      <c r="I140" t="inlineStr">
        <is>
          <t>ETENDERS.GOV.ZA</t>
        </is>
      </c>
      <c r="J140" t="inlineStr">
        <is>
          <t>Limpopo - Economic Development Environment &amp; Tourism</t>
        </is>
      </c>
      <c r="K140" t="inlineStr">
        <is>
          <t>Limpopo</t>
        </is>
      </c>
      <c r="L140" t="inlineStr">
        <is>
          <t>No</t>
        </is>
      </c>
      <c r="M140" t="inlineStr">
        <is>
          <t>Services: Professional</t>
        </is>
      </c>
      <c r="N140" t="inlineStr">
        <is>
          <t>Yes</t>
        </is>
      </c>
      <c r="O140" t="inlineStr">
        <is>
          <t>Yes</t>
        </is>
      </c>
      <c r="P140" t="inlineStr">
        <is>
          <t>https://teams.microsoft.com/l/meetup-join/19%3ameeting_OWZlMTdlMTEtNzA2MC00NGU1LThhYmYtY2E5YTk4ZDA0Y</t>
        </is>
      </c>
      <c r="Q140" s="3" t="inlineStr">
        <is>
          <t>https://www.etenders.gov.za/home/Download/?blobName=6e387161-73f1-4066-a3dc-1d27c5fbf04a.pdf&amp;downloadedFileName=Edet%20321%20Bid%20document.pdf</t>
        </is>
      </c>
      <c r="R140" t="inlineStr"/>
      <c r="S140" t="inlineStr"/>
      <c r="T140" t="inlineStr"/>
      <c r="U140" t="inlineStr"/>
      <c r="V140" t="inlineStr"/>
    </row>
    <row r="141">
      <c r="A141" s="2" t="n">
        <v>46178</v>
      </c>
      <c r="B141" t="n">
        <v>76</v>
      </c>
      <c r="C141" t="inlineStr">
        <is>
          <t>RFB/MW/WS-06/2025-26/01</t>
        </is>
      </c>
      <c r="D141" s="2" t="n">
        <v>46178</v>
      </c>
      <c r="E141" s="2" t="n">
        <v>46203</v>
      </c>
      <c r="F141" t="inlineStr">
        <is>
          <t>12:00</t>
        </is>
      </c>
      <c r="G141" t="inlineStr">
        <is>
          <t>Request for Bid(Open-Tender)</t>
        </is>
      </c>
      <c r="H141" t="inlineStr">
        <is>
          <t>RETENDER: MEDICAL SURVEILLANCE FOR MAGALIES WATER, WATER TREATMENT PLANTS FOR 3 YEARS (THE SERVICE WILL BE PROVIDED IN AREA WEST &amp; FAR WEST)</t>
        </is>
      </c>
      <c r="I141" t="inlineStr">
        <is>
          <t>ETENDERS.GOV.ZA</t>
        </is>
      </c>
      <c r="J141" t="inlineStr">
        <is>
          <t>Magalies Water</t>
        </is>
      </c>
      <c r="K141" t="inlineStr">
        <is>
          <t>National</t>
        </is>
      </c>
      <c r="L141" t="inlineStr">
        <is>
          <t>No</t>
        </is>
      </c>
      <c r="M141" t="inlineStr">
        <is>
          <t>Human health activities</t>
        </is>
      </c>
      <c r="N141" t="inlineStr">
        <is>
          <t>Yes</t>
        </is>
      </c>
      <c r="O141" t="inlineStr">
        <is>
          <t>Yes</t>
        </is>
      </c>
      <c r="P141" t="inlineStr">
        <is>
          <t>Virtual Meeting</t>
        </is>
      </c>
      <c r="Q141" s="3" t="inlineStr">
        <is>
          <t>https://www.etenders.gov.za/home/Download/?blobName=36c0d9f2-2158-4023-9c7f-44f91a6000f3.pdf&amp;downloadedFileName=Tender%20Advert%20RETENDER%20MEDICAL%20SURVEILLANCE%20.pdf</t>
        </is>
      </c>
      <c r="R141" t="inlineStr"/>
      <c r="S141" t="inlineStr"/>
      <c r="T141" t="inlineStr"/>
      <c r="U141" t="inlineStr"/>
      <c r="V141" t="inlineStr"/>
    </row>
    <row r="142">
      <c r="A142" s="2" t="n">
        <v>46178</v>
      </c>
      <c r="B142" t="n">
        <v>75</v>
      </c>
      <c r="C142" t="inlineStr">
        <is>
          <t>RFB/MW/WS-06/2025-26/02</t>
        </is>
      </c>
      <c r="D142" s="2" t="n">
        <v>46178</v>
      </c>
      <c r="E142" s="2" t="n">
        <v>46205</v>
      </c>
      <c r="F142" t="inlineStr">
        <is>
          <t>12:00</t>
        </is>
      </c>
      <c r="G142" t="inlineStr">
        <is>
          <t>Request for Bid(Open-Tender)</t>
        </is>
      </c>
      <c r="H142" t="inlineStr">
        <is>
          <t>SUPPLY, DELIVER, INSTALL, SERVICE AND MAINTAIN FIRE EQUIPMENT AND SELF CONTAINED BREATHING APPARATUTS FOR MAGALIES WATER TREATMENT PLANTS FOR 5 YEARS</t>
        </is>
      </c>
      <c r="I142" t="inlineStr">
        <is>
          <t>ETENDERS.GOV.ZA</t>
        </is>
      </c>
      <c r="J142" t="inlineStr">
        <is>
          <t>Magalies Water</t>
        </is>
      </c>
      <c r="K142" t="inlineStr">
        <is>
          <t>National</t>
        </is>
      </c>
      <c r="L142" t="inlineStr">
        <is>
          <t>No</t>
        </is>
      </c>
      <c r="M142" t="inlineStr">
        <is>
          <t>Services: General</t>
        </is>
      </c>
      <c r="N142" t="inlineStr">
        <is>
          <t>Yes</t>
        </is>
      </c>
      <c r="O142" t="inlineStr">
        <is>
          <t>Yes</t>
        </is>
      </c>
      <c r="P142" t="inlineStr">
        <is>
          <t>Virtual Meeting</t>
        </is>
      </c>
      <c r="Q142" s="3" t="inlineStr">
        <is>
          <t>https://www.etenders.gov.za/home/Download/?blobName=3fca3de7-7edf-4f25-ad25-f125b02dc32c.pdf&amp;downloadedFileName=Tender%20Advert%20SUPPLY,%20DELIVER,%20INSTALL,%20SERVICE%20AND%20MAINTAIN%20FIRE%20EQUIPMENT.pdf</t>
        </is>
      </c>
      <c r="R142" t="inlineStr"/>
      <c r="S142" t="inlineStr"/>
      <c r="T142" t="inlineStr"/>
      <c r="U142" t="inlineStr"/>
      <c r="V142" t="inlineStr"/>
    </row>
    <row r="143">
      <c r="A143" s="2" t="n">
        <v>46178</v>
      </c>
      <c r="B143" t="n">
        <v>74</v>
      </c>
      <c r="C143" t="inlineStr">
        <is>
          <t>RFB/MW/CE -06/2025-26/01</t>
        </is>
      </c>
      <c r="D143" s="2" t="n">
        <v>46178</v>
      </c>
      <c r="E143" s="2" t="n">
        <v>46206</v>
      </c>
      <c r="F143" t="inlineStr">
        <is>
          <t>12:00</t>
        </is>
      </c>
      <c r="G143" t="inlineStr">
        <is>
          <t>Request for Bid(Open-Tender)</t>
        </is>
      </c>
      <c r="H143" t="inlineStr">
        <is>
          <t>PROVISIONING OF GUARDING SECURITY SERVICES FOR MAGALIES WATER FAR WEST AND SOUTHWEST REGIONS FOR A PERIOD OF THREE (3) YEARS</t>
        </is>
      </c>
      <c r="I143" t="inlineStr">
        <is>
          <t>ETENDERS.GOV.ZA</t>
        </is>
      </c>
      <c r="J143" t="inlineStr">
        <is>
          <t>Magalies Water</t>
        </is>
      </c>
      <c r="K143" t="inlineStr">
        <is>
          <t>North West</t>
        </is>
      </c>
      <c r="L143" t="inlineStr">
        <is>
          <t>No</t>
        </is>
      </c>
      <c r="M143" t="inlineStr">
        <is>
          <t>Security and investigation activities</t>
        </is>
      </c>
      <c r="N143" t="inlineStr">
        <is>
          <t>Yes</t>
        </is>
      </c>
      <c r="O143" t="inlineStr">
        <is>
          <t>Yes</t>
        </is>
      </c>
      <c r="P143" t="inlineStr">
        <is>
          <t>Virtual Meeting</t>
        </is>
      </c>
      <c r="Q143" s="3" t="inlineStr">
        <is>
          <t>https://www.etenders.gov.za/home/Download/?blobName=56cb8698-6288-4780-ad1e-3014d8043ea0.pdf&amp;downloadedFileName=Tender%20Advert%20GUARDING%20SECURITY%20SERVICES%20FOR%20MAGALIES%20WATER%20FAR%20WEST%20AND%20SOUTHWEST%20REGIONS.pdf</t>
        </is>
      </c>
      <c r="R143" t="inlineStr"/>
      <c r="S143" t="inlineStr"/>
      <c r="T143" t="inlineStr"/>
      <c r="U143" t="inlineStr"/>
      <c r="V143" t="inlineStr"/>
    </row>
    <row r="144">
      <c r="A144" s="2" t="n">
        <v>46178</v>
      </c>
      <c r="B144" t="n">
        <v>73</v>
      </c>
      <c r="C144" t="inlineStr">
        <is>
          <t>MHSC 008/2026/2027</t>
        </is>
      </c>
      <c r="D144" s="2" t="n">
        <v>46178</v>
      </c>
      <c r="E144" s="2" t="n">
        <v>46203</v>
      </c>
      <c r="F144" t="inlineStr">
        <is>
          <t>11:00</t>
        </is>
      </c>
      <c r="G144" t="inlineStr">
        <is>
          <t>Request for Bid(Open-Tender)</t>
        </is>
      </c>
      <c r="H144" t="inlineStr">
        <is>
          <t>APPOINTMENT OF A SERVICE PROVIDER FOR A TWO-DAY CONFERENCING VENUE PACKAGE AND NETWORKING SESSION FOR THE MHSC TRIPERTITE SUMMIT TO BE HELD IN GAUTENG ON THE 17 - 18 SEPTEMBER 2026.</t>
        </is>
      </c>
      <c r="I144" t="inlineStr">
        <is>
          <t>ETENDERS.GOV.ZA</t>
        </is>
      </c>
      <c r="J144" t="inlineStr">
        <is>
          <t>Mine Health and Safety Council</t>
        </is>
      </c>
      <c r="K144" t="inlineStr">
        <is>
          <t>National</t>
        </is>
      </c>
      <c r="L144" t="inlineStr">
        <is>
          <t>No</t>
        </is>
      </c>
      <c r="M144" t="inlineStr">
        <is>
          <t>Accommodation</t>
        </is>
      </c>
      <c r="N144" t="inlineStr">
        <is>
          <t>Yes</t>
        </is>
      </c>
      <c r="O144" t="inlineStr">
        <is>
          <t>No</t>
        </is>
      </c>
      <c r="P144" t="inlineStr">
        <is>
          <t>Online / Virtual</t>
        </is>
      </c>
      <c r="Q144" s="3" t="inlineStr">
        <is>
          <t>https://www.etenders.gov.za/home/Download/?blobName=317046cc-88fe-40f9-9f2f-e4132071378a.pdf&amp;downloadedFileName=MHSC_008_2026_2027.pdf</t>
        </is>
      </c>
      <c r="R144" t="inlineStr"/>
      <c r="S144" t="inlineStr"/>
      <c r="T144" t="inlineStr"/>
      <c r="U144" t="inlineStr"/>
      <c r="V144" t="inlineStr"/>
    </row>
    <row r="145">
      <c r="A145" s="2" t="n">
        <v>46178</v>
      </c>
      <c r="B145" t="n">
        <v>72</v>
      </c>
      <c r="C145" t="inlineStr">
        <is>
          <t>MHSC 009/2026/2027</t>
        </is>
      </c>
      <c r="D145" s="2" t="n">
        <v>46178</v>
      </c>
      <c r="E145" s="2" t="n">
        <v>46204</v>
      </c>
      <c r="F145" t="inlineStr">
        <is>
          <t>11:00</t>
        </is>
      </c>
      <c r="G145" t="inlineStr">
        <is>
          <t>Request for Bid(Open-Tender)</t>
        </is>
      </c>
      <c r="H145" t="inlineStr">
        <is>
          <t>APPOINTMENT OF A SERVICE PROVIDER TO PROVIDE A HOSTED PABX SOLUTION WITH MICROSOFT TEAMS TELEPHONY INTEGRATION, VoIP CAPABILITY, AND DESKTOP INSTRUMENTS TO THE MHSC FOR A PERIOD OF SIXTY-TWO (62) MONTHS</t>
        </is>
      </c>
      <c r="I145" t="inlineStr">
        <is>
          <t>ETENDERS.GOV.ZA</t>
        </is>
      </c>
      <c r="J145" t="inlineStr">
        <is>
          <t>Mine Health and Safety Council</t>
        </is>
      </c>
      <c r="K145" t="inlineStr">
        <is>
          <t>National</t>
        </is>
      </c>
      <c r="L145" t="inlineStr">
        <is>
          <t>No</t>
        </is>
      </c>
      <c r="M145" t="inlineStr">
        <is>
          <t>Information service activities</t>
        </is>
      </c>
      <c r="N145" t="inlineStr">
        <is>
          <t>Yes</t>
        </is>
      </c>
      <c r="O145" t="inlineStr">
        <is>
          <t>No</t>
        </is>
      </c>
      <c r="P145" t="inlineStr">
        <is>
          <t>Online / Virtual</t>
        </is>
      </c>
      <c r="Q145" s="3" t="inlineStr">
        <is>
          <t>https://www.etenders.gov.za/home/Download/?blobName=4fb53fce-c339-4f4a-b0c0-856697fb1763.pdf&amp;downloadedFileName=MHSC_009_2026_2027.pdf</t>
        </is>
      </c>
      <c r="R145" t="inlineStr"/>
      <c r="S145" t="inlineStr"/>
      <c r="T145" t="inlineStr"/>
      <c r="U145" t="inlineStr"/>
      <c r="V145" t="inlineStr"/>
    </row>
    <row r="146">
      <c r="A146" s="2" t="n">
        <v>46178</v>
      </c>
      <c r="B146" t="n">
        <v>71</v>
      </c>
      <c r="C146" t="inlineStr">
        <is>
          <t>LNW24/25/26</t>
        </is>
      </c>
      <c r="D146" s="2" t="n">
        <v>46178</v>
      </c>
      <c r="E146" s="2" t="n">
        <v>46206</v>
      </c>
      <c r="F146" t="inlineStr">
        <is>
          <t>11:00</t>
        </is>
      </c>
      <c r="G146" t="inlineStr">
        <is>
          <t>Request for Bid(Open-Tender)</t>
        </is>
      </c>
      <c r="H146" t="inlineStr">
        <is>
          <t>APPOINTMENT OF AN INDEPENDENT PROJECT MANAGEMENT AND QUALITY ASSURANCE SERVICE PROVIDER TO RENDER PROJECT MANAGEMENT AND QUALITY ASSURANCE SERVICES FOR THE SAP S4/HANAIMPLEMENTION PROJECT AT LNW FOR A PERIOD OF TWELVE(12) MONTHS</t>
        </is>
      </c>
      <c r="I146" t="inlineStr">
        <is>
          <t>ETENDERS.GOV.ZA</t>
        </is>
      </c>
      <c r="J146" t="inlineStr">
        <is>
          <t>Lepelle Northern Water</t>
        </is>
      </c>
      <c r="K146" t="inlineStr">
        <is>
          <t>Limpopo</t>
        </is>
      </c>
      <c r="L146" t="inlineStr">
        <is>
          <t>No</t>
        </is>
      </c>
      <c r="M146" t="inlineStr">
        <is>
          <t>Other service activities</t>
        </is>
      </c>
      <c r="N146" t="inlineStr">
        <is>
          <t>Yes</t>
        </is>
      </c>
      <c r="O146" t="inlineStr">
        <is>
          <t>Yes</t>
        </is>
      </c>
      <c r="P146" t="inlineStr">
        <is>
          <t>01 Landros Mare Street, Lepelle House, Polokwane, 0699</t>
        </is>
      </c>
      <c r="Q146" s="3" t="inlineStr">
        <is>
          <t>https://www.etenders.gov.za/home/Download/?blobName=3bd4ff95-0d74-41b9-9a7e-1bb11edf6f23.pdf&amp;downloadedFileName=Tender%20document%20-LNW_24_25_26%20APPOINTMENT%20OF%20AN%20INDEPENDENT%20PROJECT%20MANAGEMENT%20AND%20QUALITY%20ASSURANCE%20SERVICE%20PROVIDER.pdf</t>
        </is>
      </c>
      <c r="R146" t="inlineStr"/>
      <c r="S146" t="inlineStr"/>
      <c r="T146" t="inlineStr"/>
      <c r="U146" t="inlineStr"/>
      <c r="V146" t="inlineStr"/>
    </row>
    <row r="147">
      <c r="A147" s="2" t="n">
        <v>46178</v>
      </c>
      <c r="B147" t="n">
        <v>70</v>
      </c>
      <c r="C147" t="inlineStr">
        <is>
          <t>RFQ00028</t>
        </is>
      </c>
      <c r="D147" s="2" t="n">
        <v>46178</v>
      </c>
      <c r="E147" s="2" t="n">
        <v>46185</v>
      </c>
      <c r="F147" t="inlineStr">
        <is>
          <t>11:00</t>
        </is>
      </c>
      <c r="G147" t="inlineStr">
        <is>
          <t>Request for Quotation</t>
        </is>
      </c>
      <c r="H147" t="inlineStr">
        <is>
          <t>SERVICE PROVIDER TO DEVELOP DIGITAL MANUAL FOR 39 MQA MODULES WITH TOTAL OF 1000 PAGES</t>
        </is>
      </c>
      <c r="I147" t="inlineStr">
        <is>
          <t>ETENDERS.GOV.ZA</t>
        </is>
      </c>
      <c r="J147" t="inlineStr">
        <is>
          <t>Mining Qualifications Authority</t>
        </is>
      </c>
      <c r="K147" t="inlineStr">
        <is>
          <t>Gauteng</t>
        </is>
      </c>
      <c r="L147" t="inlineStr">
        <is>
          <t>No</t>
        </is>
      </c>
      <c r="M147" t="inlineStr">
        <is>
          <t>Administrative and support activities</t>
        </is>
      </c>
      <c r="N147" t="inlineStr">
        <is>
          <t>No</t>
        </is>
      </c>
      <c r="O147" t="inlineStr">
        <is>
          <t>No</t>
        </is>
      </c>
      <c r="P147" t="inlineStr">
        <is>
          <t>N/A</t>
        </is>
      </c>
      <c r="Q147" s="3" t="inlineStr">
        <is>
          <t>https://www.etenders.gov.za/home/Download/?blobName=5bac37f2-f9e8-44e1-a941-82b897c3e983.docx&amp;downloadedFileName=SBD%206.1%20IN%20TERMS%20OF%20PPR2022%20(003).docx</t>
        </is>
      </c>
      <c r="R147" t="inlineStr"/>
      <c r="S147" t="inlineStr"/>
      <c r="T147" t="inlineStr"/>
      <c r="U147" t="inlineStr"/>
      <c r="V147" t="inlineStr"/>
    </row>
    <row r="148">
      <c r="A148" s="2" t="n">
        <v>46178</v>
      </c>
      <c r="B148" t="n">
        <v>69</v>
      </c>
      <c r="C148" t="inlineStr">
        <is>
          <t>MLM/LED/ILLEGAL/DUMP/HOTSPOT/2026-2029</t>
        </is>
      </c>
      <c r="D148" s="2" t="n">
        <v>46178</v>
      </c>
      <c r="E148" s="2" t="n">
        <v>46210</v>
      </c>
      <c r="F148" t="inlineStr">
        <is>
          <t>12:00</t>
        </is>
      </c>
      <c r="G148" t="inlineStr">
        <is>
          <t>Request for Bid(Open-Tender)</t>
        </is>
      </c>
      <c r="H148" t="inlineStr">
        <is>
          <t>APPOINTMENT OF SERVICE PROVIDERS FOR THE CLEANING OF THE ILLEGAL DUMP HOTSPOT</t>
        </is>
      </c>
      <c r="I148" t="inlineStr">
        <is>
          <t>ETENDERS.GOV.ZA</t>
        </is>
      </c>
      <c r="J148" t="inlineStr">
        <is>
          <t>Moretele Local Municipality</t>
        </is>
      </c>
      <c r="K148" t="inlineStr">
        <is>
          <t>North West</t>
        </is>
      </c>
      <c r="L148" t="inlineStr">
        <is>
          <t>No</t>
        </is>
      </c>
      <c r="M148" t="inlineStr">
        <is>
          <t>Other service activities</t>
        </is>
      </c>
      <c r="N148" t="inlineStr">
        <is>
          <t>Yes</t>
        </is>
      </c>
      <c r="O148" t="inlineStr">
        <is>
          <t>Yes</t>
        </is>
      </c>
      <c r="P148" t="inlineStr">
        <is>
          <t>MUNICIPAL HALL</t>
        </is>
      </c>
      <c r="Q148" s="3" t="inlineStr">
        <is>
          <t>https://www.etenders.gov.za/home/Download/?blobName=38a0532c-f5fa-4524-83a3-b55824752bfb.pdf&amp;downloadedFileName=appointment%20of%20service%20providers%20for%20the%20cleaning%20of%20illegal%20hotspot.pdf</t>
        </is>
      </c>
      <c r="R148" t="inlineStr"/>
      <c r="S148" t="inlineStr"/>
      <c r="T148" t="inlineStr"/>
      <c r="U148" t="inlineStr"/>
      <c r="V148" t="inlineStr"/>
    </row>
    <row r="149">
      <c r="A149" s="2" t="n">
        <v>46178</v>
      </c>
      <c r="B149" t="n">
        <v>68</v>
      </c>
      <c r="C149" t="inlineStr">
        <is>
          <t>MHSC010/2026/2027</t>
        </is>
      </c>
      <c r="D149" s="2" t="n">
        <v>46178</v>
      </c>
      <c r="E149" s="2" t="n">
        <v>46209</v>
      </c>
      <c r="F149" t="inlineStr">
        <is>
          <t>11:00</t>
        </is>
      </c>
      <c r="G149" t="inlineStr">
        <is>
          <t>Request for Bid(Open-Tender)</t>
        </is>
      </c>
      <c r="H149" t="inlineStr">
        <is>
          <t>APPOINTMENT OF A SERVICE PROVIDER TO UNDERTAKE RESEARCH PROJECT COE 190401 “INVESTIGATION OF THE POTENTIAL CAUSES AND THE DEVELOPMENT OF THE MEASURES TO PREVENT, DETECT AND COMBAT CONVEYOR BELT FIRES IN INCLINED EXCAVATIONS IN UNDERGROUND MINES”</t>
        </is>
      </c>
      <c r="I149" t="inlineStr">
        <is>
          <t>ETENDERS.GOV.ZA</t>
        </is>
      </c>
      <c r="J149" t="inlineStr">
        <is>
          <t>Mine Health and Safety Council</t>
        </is>
      </c>
      <c r="K149" t="inlineStr">
        <is>
          <t>National</t>
        </is>
      </c>
      <c r="L149" t="inlineStr">
        <is>
          <t>No</t>
        </is>
      </c>
      <c r="M149" t="inlineStr">
        <is>
          <t>Mining support service activities</t>
        </is>
      </c>
      <c r="N149" t="inlineStr">
        <is>
          <t>Yes</t>
        </is>
      </c>
      <c r="O149" t="inlineStr">
        <is>
          <t>No</t>
        </is>
      </c>
      <c r="P149" t="inlineStr">
        <is>
          <t>Online / Virtual</t>
        </is>
      </c>
      <c r="Q149" s="3" t="inlineStr">
        <is>
          <t>https://www.etenders.gov.za/home/Download/?blobName=5b30b3bc-b689-4023-83b3-3a3b4d882547.pdf&amp;downloadedFileName=MHSC010_2026_2027.pdf</t>
        </is>
      </c>
      <c r="R149" t="inlineStr"/>
      <c r="S149" t="inlineStr"/>
      <c r="T149" t="inlineStr"/>
      <c r="U149" t="inlineStr"/>
      <c r="V149" t="inlineStr"/>
    </row>
    <row r="150">
      <c r="A150" s="2" t="n">
        <v>46178</v>
      </c>
      <c r="B150" t="n">
        <v>67</v>
      </c>
      <c r="C150" t="inlineStr">
        <is>
          <t>MHSC 011/2026/2027</t>
        </is>
      </c>
      <c r="D150" s="2" t="n">
        <v>46178</v>
      </c>
      <c r="E150" s="2" t="n">
        <v>46209</v>
      </c>
      <c r="F150" t="inlineStr">
        <is>
          <t>11:00</t>
        </is>
      </c>
      <c r="G150" t="inlineStr">
        <is>
          <t>Request for Bid(Open-Tender)</t>
        </is>
      </c>
      <c r="H150" t="inlineStr">
        <is>
          <t>___ APPOINTMENT OF A SERVICE PROVIDER TO UNDERTAKE RESEARCH PROJECT COE 210502 “ASSESSMENT AND REVIEW OF WINDER ROPE DISCARD CRITERIA, TESTING PROCEDURE AND CONDITION ASSESSMENT PROTOCOL”</t>
        </is>
      </c>
      <c r="I150" t="inlineStr">
        <is>
          <t>ETENDERS.GOV.ZA</t>
        </is>
      </c>
      <c r="J150" t="inlineStr">
        <is>
          <t>Mine Health and Safety Council</t>
        </is>
      </c>
      <c r="K150" t="inlineStr">
        <is>
          <t>National</t>
        </is>
      </c>
      <c r="L150" t="inlineStr">
        <is>
          <t>No</t>
        </is>
      </c>
      <c r="M150" t="inlineStr">
        <is>
          <t>Mining support service activities</t>
        </is>
      </c>
      <c r="N150" t="inlineStr">
        <is>
          <t>Yes</t>
        </is>
      </c>
      <c r="O150" t="inlineStr">
        <is>
          <t>No</t>
        </is>
      </c>
      <c r="P150" t="inlineStr">
        <is>
          <t>Online / Virtual</t>
        </is>
      </c>
      <c r="Q150" s="3" t="inlineStr">
        <is>
          <t>https://www.etenders.gov.za/home/Download/?blobName=e3b9ffc2-3001-4e5c-a24a-2a43f1ba6c23.pdf&amp;downloadedFileName=MHSC_011_2026_2027.pdf</t>
        </is>
      </c>
      <c r="R150" t="inlineStr"/>
      <c r="S150" t="inlineStr"/>
      <c r="T150" t="inlineStr"/>
      <c r="U150" t="inlineStr"/>
      <c r="V150" t="inlineStr"/>
    </row>
    <row r="151">
      <c r="A151" s="2" t="n">
        <v>46178</v>
      </c>
      <c r="B151" t="n">
        <v>66</v>
      </c>
      <c r="C151" t="inlineStr">
        <is>
          <t>MHSC 012/2026/2027</t>
        </is>
      </c>
      <c r="D151" s="2" t="n">
        <v>46178</v>
      </c>
      <c r="E151" s="2" t="n">
        <v>46209</v>
      </c>
      <c r="F151" t="inlineStr">
        <is>
          <t>11:00</t>
        </is>
      </c>
      <c r="G151" t="inlineStr">
        <is>
          <t>Request for Bid(Open-Tender)</t>
        </is>
      </c>
      <c r="H151" t="inlineStr">
        <is>
          <t>APPOINTMENT OF A SERVICE PROVIDER TO UNDERTAKE RESEARCH PROJECT CoE 240201 “DEVELOP PRE-TENSIONING GUIDELINES FOR ANTI-SPIN (ASP) CABLE BOLTS UNDER VARIOUS ROCK MASS CONDITIONS”.</t>
        </is>
      </c>
      <c r="I151" t="inlineStr">
        <is>
          <t>ETENDERS.GOV.ZA</t>
        </is>
      </c>
      <c r="J151" t="inlineStr">
        <is>
          <t>Mine Health and Safety Council</t>
        </is>
      </c>
      <c r="K151" t="inlineStr">
        <is>
          <t>National</t>
        </is>
      </c>
      <c r="L151" t="inlineStr">
        <is>
          <t>No</t>
        </is>
      </c>
      <c r="M151" t="inlineStr">
        <is>
          <t>Mining support service activities</t>
        </is>
      </c>
      <c r="N151" t="inlineStr">
        <is>
          <t>Yes</t>
        </is>
      </c>
      <c r="O151" t="inlineStr">
        <is>
          <t>No</t>
        </is>
      </c>
      <c r="P151" t="inlineStr">
        <is>
          <t>Online / Virtual</t>
        </is>
      </c>
      <c r="Q151" s="3" t="inlineStr">
        <is>
          <t>https://www.etenders.gov.za/home/Download/?blobName=377c1e62-7404-454b-bec8-7162f984f664.doc&amp;downloadedFileName=MHSC%20Research%20Proposal%20template%20-%20Final.doc</t>
        </is>
      </c>
      <c r="R151" t="inlineStr"/>
      <c r="S151" t="inlineStr"/>
      <c r="T151" t="inlineStr"/>
      <c r="U151" t="inlineStr"/>
      <c r="V151" t="inlineStr"/>
    </row>
    <row r="152">
      <c r="A152" s="2" t="n">
        <v>46178</v>
      </c>
      <c r="B152" t="n">
        <v>65</v>
      </c>
      <c r="C152" t="inlineStr">
        <is>
          <t>MHSC 013/2026/2027</t>
        </is>
      </c>
      <c r="D152" s="2" t="n">
        <v>46178</v>
      </c>
      <c r="E152" s="2" t="n">
        <v>46209</v>
      </c>
      <c r="F152" t="inlineStr">
        <is>
          <t>11:00</t>
        </is>
      </c>
      <c r="G152" t="inlineStr">
        <is>
          <t>Request for Bid(Open-Tender)</t>
        </is>
      </c>
      <c r="H152" t="inlineStr">
        <is>
          <t>APPOINTMENT OF A SERVICE PROVIDER TO UNDERTAKE RESEARCH PROJECT CoE 240901 “VALIDATION OF NON-DESTRUCTIVE TESTING (NDT) AS A RELIABLE DIAGNOSTIC TOOL FOR SEALED SELF - CONTAINED SELF-RESCUERS (SCSRS) IN MINING ENVIRONMENT”</t>
        </is>
      </c>
      <c r="I152" t="inlineStr">
        <is>
          <t>ETENDERS.GOV.ZA</t>
        </is>
      </c>
      <c r="J152" t="inlineStr">
        <is>
          <t>Mine Health and Safety Council</t>
        </is>
      </c>
      <c r="K152" t="inlineStr">
        <is>
          <t>National</t>
        </is>
      </c>
      <c r="L152" t="inlineStr">
        <is>
          <t>No</t>
        </is>
      </c>
      <c r="M152" t="inlineStr">
        <is>
          <t>Mining support service activities</t>
        </is>
      </c>
      <c r="N152" t="inlineStr">
        <is>
          <t>Yes</t>
        </is>
      </c>
      <c r="O152" t="inlineStr">
        <is>
          <t>No</t>
        </is>
      </c>
      <c r="P152" t="inlineStr">
        <is>
          <t>Online / Virtual</t>
        </is>
      </c>
      <c r="Q152" s="3" t="inlineStr">
        <is>
          <t>https://www.etenders.gov.za/home/Download/?blobName=d742f0ea-7354-4ec5-9823-0480d47268d2.doc&amp;downloadedFileName=MHSC%20Research%20Proposal%20template%20-%20Final.doc</t>
        </is>
      </c>
      <c r="R152" t="inlineStr"/>
      <c r="S152" t="inlineStr"/>
      <c r="T152" t="inlineStr"/>
      <c r="U152" t="inlineStr"/>
      <c r="V152" t="inlineStr"/>
    </row>
    <row r="153">
      <c r="A153" s="2" t="n">
        <v>46178</v>
      </c>
      <c r="B153" t="n">
        <v>64</v>
      </c>
      <c r="C153" t="inlineStr">
        <is>
          <t>MLM/MIG/IDS/IR/W06/26-27</t>
        </is>
      </c>
      <c r="D153" s="2" t="n">
        <v>46178</v>
      </c>
      <c r="E153" s="2" t="n">
        <v>46206</v>
      </c>
      <c r="F153" t="inlineStr">
        <is>
          <t>12:00</t>
        </is>
      </c>
      <c r="G153" t="inlineStr">
        <is>
          <t>Request for Bid(Open-Tender)</t>
        </is>
      </c>
      <c r="H153" t="inlineStr">
        <is>
          <t>IMPLEMENTATION OF INTERNAL ROADS (STREET 1 &amp; STREET 4) IN WARD 06 (DIPETLWANE VILLAGE)</t>
        </is>
      </c>
      <c r="I153" t="inlineStr">
        <is>
          <t>ETENDERS.GOV.ZA</t>
        </is>
      </c>
      <c r="J153" t="inlineStr">
        <is>
          <t>Moretele Local Municipality</t>
        </is>
      </c>
      <c r="K153" t="inlineStr">
        <is>
          <t>North West</t>
        </is>
      </c>
      <c r="L153" t="inlineStr">
        <is>
          <t>No</t>
        </is>
      </c>
      <c r="M153" t="inlineStr">
        <is>
          <t>Construction</t>
        </is>
      </c>
      <c r="N153" t="inlineStr">
        <is>
          <t>Yes</t>
        </is>
      </c>
      <c r="O153" t="inlineStr">
        <is>
          <t>Yes</t>
        </is>
      </c>
      <c r="P153" t="inlineStr">
        <is>
          <t>MUNICIPAL HALL</t>
        </is>
      </c>
      <c r="Q153" s="3" t="inlineStr">
        <is>
          <t>https://www.etenders.gov.za/home/Download/?blobName=48b354cd-8837-4bef-bc5d-2c41253def9b.pdf&amp;downloadedFileName=Ngobi%20Village%20Ward_6_Tender%20Document_Updated.pdf</t>
        </is>
      </c>
      <c r="R153" t="inlineStr"/>
      <c r="S153" t="inlineStr"/>
      <c r="T153" t="inlineStr"/>
      <c r="U153" t="inlineStr"/>
      <c r="V153" t="inlineStr"/>
    </row>
    <row r="154">
      <c r="A154" s="2" t="n">
        <v>46178</v>
      </c>
      <c r="B154" t="n">
        <v>63</v>
      </c>
      <c r="C154" t="inlineStr">
        <is>
          <t>MLM/IDS/CS/W15/26-27</t>
        </is>
      </c>
      <c r="D154" s="2" t="n">
        <v>46178</v>
      </c>
      <c r="E154" s="2" t="n">
        <v>46210</v>
      </c>
      <c r="F154" t="inlineStr">
        <is>
          <t>12:00</t>
        </is>
      </c>
      <c r="G154" t="inlineStr">
        <is>
          <t>Request for Bid(Open-Tender)</t>
        </is>
      </c>
      <c r="H154" t="inlineStr">
        <is>
          <t>INVITATION FOR PROPOSALS TO PROVIDE PROFESSIONAL ENGINEERING OF WARD 15 (MAUBANE) COMMUNITY STADUIM (TURNKEY CONTRACT)</t>
        </is>
      </c>
      <c r="I154" t="inlineStr">
        <is>
          <t>ETENDERS.GOV.ZA</t>
        </is>
      </c>
      <c r="J154" t="inlineStr">
        <is>
          <t>Moretele Local Municipality</t>
        </is>
      </c>
      <c r="K154" t="inlineStr">
        <is>
          <t>North West</t>
        </is>
      </c>
      <c r="L154" t="inlineStr">
        <is>
          <t>No</t>
        </is>
      </c>
      <c r="M154" t="inlineStr">
        <is>
          <t>Construction</t>
        </is>
      </c>
      <c r="N154" t="inlineStr">
        <is>
          <t>Yes</t>
        </is>
      </c>
      <c r="O154" t="inlineStr">
        <is>
          <t>Yes</t>
        </is>
      </c>
      <c r="P154" t="inlineStr">
        <is>
          <t>MUNICIPAL HALL</t>
        </is>
      </c>
      <c r="Q154" s="3" t="inlineStr">
        <is>
          <t>https://www.etenders.gov.za/home/Download/?blobName=c0560576-c7d7-4f5b-9f36-efaf1d8cf274.pdf&amp;downloadedFileName=Ward%2015%20(Maubane)%20Community%20Stadium%20-%20Part%20A%2015.pdf</t>
        </is>
      </c>
      <c r="R154" t="inlineStr"/>
      <c r="S154" t="inlineStr"/>
      <c r="T154" t="inlineStr"/>
      <c r="U154" t="inlineStr"/>
      <c r="V154" t="inlineStr"/>
    </row>
    <row r="155">
      <c r="A155" s="2" t="n">
        <v>46178</v>
      </c>
      <c r="B155" t="n">
        <v>62</v>
      </c>
      <c r="C155" t="inlineStr">
        <is>
          <t>MLM/WS/R-SP/P1/26-27</t>
        </is>
      </c>
      <c r="D155" s="2" t="n">
        <v>46178</v>
      </c>
      <c r="E155" s="2" t="n">
        <v>46206</v>
      </c>
      <c r="F155" t="inlineStr">
        <is>
          <t>12:00</t>
        </is>
      </c>
      <c r="G155" t="inlineStr">
        <is>
          <t>Request for Bid(Open-Tender)</t>
        </is>
      </c>
      <c r="H155" t="inlineStr">
        <is>
          <t>CONSTRUCTION OF INTERNAL ROADS AND STORMWATER MANAGEMENT IN WARD 5 - SUTELONG PH 1</t>
        </is>
      </c>
      <c r="I155" t="inlineStr">
        <is>
          <t>ETENDERS.GOV.ZA</t>
        </is>
      </c>
      <c r="J155" t="inlineStr">
        <is>
          <t>Moretele Local Municipality</t>
        </is>
      </c>
      <c r="K155" t="inlineStr">
        <is>
          <t>North West</t>
        </is>
      </c>
      <c r="L155" t="inlineStr">
        <is>
          <t>No</t>
        </is>
      </c>
      <c r="M155" t="inlineStr">
        <is>
          <t>Construction</t>
        </is>
      </c>
      <c r="N155" t="inlineStr">
        <is>
          <t>Yes</t>
        </is>
      </c>
      <c r="O155" t="inlineStr">
        <is>
          <t>Yes</t>
        </is>
      </c>
      <c r="P155" t="inlineStr">
        <is>
          <t>MUNICIPAL HALL</t>
        </is>
      </c>
      <c r="Q155" s="3" t="inlineStr">
        <is>
          <t>https://www.etenders.gov.za/home/Download/?blobName=b9ebb18a-7e34-4218-86eb-df9af3200da1.pdf&amp;downloadedFileName=W5_Tender_Road.pdf</t>
        </is>
      </c>
      <c r="R155" t="inlineStr"/>
      <c r="S155" t="inlineStr"/>
      <c r="T155" t="inlineStr"/>
      <c r="U155" t="inlineStr"/>
      <c r="V155" t="inlineStr"/>
    </row>
    <row r="156">
      <c r="A156" s="2" t="n">
        <v>46178</v>
      </c>
      <c r="B156" t="n">
        <v>61</v>
      </c>
      <c r="C156" t="inlineStr">
        <is>
          <t>Q 2025/106</t>
        </is>
      </c>
      <c r="D156" s="2" t="n">
        <v>46178</v>
      </c>
      <c r="E156" s="2" t="n">
        <v>46185</v>
      </c>
      <c r="F156" t="inlineStr">
        <is>
          <t>11:00</t>
        </is>
      </c>
      <c r="G156" t="inlineStr">
        <is>
          <t>Request for Quotation</t>
        </is>
      </c>
      <c r="H156" t="inlineStr">
        <is>
          <t>APPOINTMENT OF A SERVICE PROVIDER TO UNDERTAKE A PARTIAL REVISION OF THE CWDM STAFF ESTABLISHMENT</t>
        </is>
      </c>
      <c r="I156" t="inlineStr">
        <is>
          <t>ETENDERS.GOV.ZA</t>
        </is>
      </c>
      <c r="J156" t="inlineStr">
        <is>
          <t>Cape Winelands District Municipality</t>
        </is>
      </c>
      <c r="K156" t="inlineStr">
        <is>
          <t>Western Cape</t>
        </is>
      </c>
      <c r="L156" t="inlineStr">
        <is>
          <t>No</t>
        </is>
      </c>
      <c r="M156" t="inlineStr">
        <is>
          <t>Services: General</t>
        </is>
      </c>
      <c r="N156" t="inlineStr">
        <is>
          <t>No</t>
        </is>
      </c>
      <c r="O156" t="inlineStr">
        <is>
          <t>No</t>
        </is>
      </c>
      <c r="P156" t="inlineStr">
        <is>
          <t>N/A</t>
        </is>
      </c>
      <c r="Q156" s="3" t="inlineStr">
        <is>
          <t>https://www.etenders.gov.za/home/Download/?blobName=12812f96-6785-4ec6-944d-70e1735eef66.pdf&amp;downloadedFileName=Q2025%20106%20DOC.pdf</t>
        </is>
      </c>
      <c r="R156" t="inlineStr"/>
      <c r="S156" t="inlineStr"/>
      <c r="T156" t="inlineStr"/>
      <c r="U156" t="inlineStr"/>
      <c r="V156" t="inlineStr"/>
    </row>
    <row r="157">
      <c r="A157" s="2" t="n">
        <v>46178</v>
      </c>
      <c r="B157" t="n">
        <v>60</v>
      </c>
      <c r="C157" t="inlineStr">
        <is>
          <t>TPT/2026/06/0585/6616/RFQ</t>
        </is>
      </c>
      <c r="D157" s="2" t="n">
        <v>46178</v>
      </c>
      <c r="E157" s="2" t="n">
        <v>46183</v>
      </c>
      <c r="F157" t="inlineStr">
        <is>
          <t>12:00</t>
        </is>
      </c>
      <c r="G157" t="inlineStr">
        <is>
          <t>Request for Bid(Open-Tender)</t>
        </is>
      </c>
      <c r="H157" t="inlineStr">
        <is>
          <t>PROVISION OF CLEANING SERVICES FOR TRANSNET SOC LTD (REG. N0 1990/000900/30) OPERATING AS TRANSNET PORT TERMINALS (HEREINAFTER REFERRED TO AS “TPT”) FOR A PERIOD OFTHREE (3) MONTHS</t>
        </is>
      </c>
      <c r="I157" t="inlineStr">
        <is>
          <t>ETENDERS.GOV.ZA</t>
        </is>
      </c>
      <c r="J157" t="inlineStr">
        <is>
          <t>Transnet SOC Ltd</t>
        </is>
      </c>
      <c r="K157" t="inlineStr">
        <is>
          <t>KwaZulu-Natal</t>
        </is>
      </c>
      <c r="L157" t="inlineStr">
        <is>
          <t>No</t>
        </is>
      </c>
      <c r="M157" t="inlineStr">
        <is>
          <t>Services: Functional (Including Cleaning and Security Services)</t>
        </is>
      </c>
      <c r="N157" t="inlineStr">
        <is>
          <t>No</t>
        </is>
      </c>
      <c r="O157" t="inlineStr">
        <is>
          <t>No</t>
        </is>
      </c>
      <c r="P157" t="inlineStr">
        <is>
          <t>N/A</t>
        </is>
      </c>
      <c r="Q157" s="3" t="inlineStr">
        <is>
          <t>https://www.etenders.gov.za/home/Download/?blobName=0d859753-9f78-4e20-a37c-d346159d882a.pdf&amp;downloadedFileName=RFQ%20CLEANING.pdf</t>
        </is>
      </c>
      <c r="R157" t="inlineStr"/>
      <c r="S157" t="inlineStr"/>
      <c r="T157" t="inlineStr"/>
      <c r="U157" t="inlineStr"/>
      <c r="V157" t="inlineStr"/>
    </row>
    <row r="158">
      <c r="A158" s="2" t="n">
        <v>46178</v>
      </c>
      <c r="B158" t="n">
        <v>59</v>
      </c>
      <c r="C158" t="inlineStr">
        <is>
          <t>TPT/2026/06/0591/6660/RFQ</t>
        </is>
      </c>
      <c r="D158" s="2" t="n">
        <v>46178</v>
      </c>
      <c r="E158" s="2" t="n">
        <v>46183</v>
      </c>
      <c r="F158" t="inlineStr">
        <is>
          <t>10:00</t>
        </is>
      </c>
      <c r="G158" t="inlineStr">
        <is>
          <t>Request for Quotation</t>
        </is>
      </c>
      <c r="H158" t="inlineStr">
        <is>
          <t>FOR THE PROVISION OF TIPPLER 01 RIGGING AND CRANE HIRE SERVICES FOR TRANSNET PORT TERMINALS IN RICHARDS BAY AS ONCE OFF.</t>
        </is>
      </c>
      <c r="I158" t="inlineStr">
        <is>
          <t>ETENDERS.GOV.ZA</t>
        </is>
      </c>
      <c r="J158" t="inlineStr">
        <is>
          <t>Transnet SOC Ltd</t>
        </is>
      </c>
      <c r="K158" t="inlineStr">
        <is>
          <t>KwaZulu-Natal</t>
        </is>
      </c>
      <c r="L158" t="inlineStr">
        <is>
          <t>No</t>
        </is>
      </c>
      <c r="M158" t="inlineStr">
        <is>
          <t>Other service activities</t>
        </is>
      </c>
      <c r="N158" t="inlineStr">
        <is>
          <t>No</t>
        </is>
      </c>
      <c r="O158" t="inlineStr">
        <is>
          <t>No</t>
        </is>
      </c>
      <c r="P158" t="inlineStr">
        <is>
          <t>N/A</t>
        </is>
      </c>
      <c r="Q158" s="3" t="inlineStr">
        <is>
          <t>https://www.etenders.gov.za/home/Download/?blobName=ccc7be58-8725-4d43-9ae7-4299f9298698.pdf&amp;downloadedFileName=PPA-109802%20-%20Tippler%2001%20Rigging%20and%20Crane%20Hire%20%20service%20rev00.pdf</t>
        </is>
      </c>
      <c r="R158" t="inlineStr"/>
      <c r="S158" t="inlineStr"/>
      <c r="T158" t="inlineStr"/>
      <c r="U158" t="inlineStr"/>
      <c r="V158" t="inlineStr"/>
    </row>
    <row r="159">
      <c r="A159" s="2" t="n">
        <v>46178</v>
      </c>
      <c r="B159" t="n">
        <v>58</v>
      </c>
      <c r="C159" t="inlineStr">
        <is>
          <t>ARC/20/08/2025/1</t>
        </is>
      </c>
      <c r="D159" s="2" t="n">
        <v>46178</v>
      </c>
      <c r="E159" s="2" t="n">
        <v>46209</v>
      </c>
      <c r="F159" t="inlineStr">
        <is>
          <t>11:00</t>
        </is>
      </c>
      <c r="G159" t="inlineStr">
        <is>
          <t>Request for Bid(Open-Tender)</t>
        </is>
      </c>
      <c r="H159" t="inlineStr">
        <is>
          <t>Appointment of a panel of service providers for the provision of buildings repairs and maintenance for a period of five (5) years on an ad hoc basis at various ARC farms/sites.</t>
        </is>
      </c>
      <c r="I159" t="inlineStr">
        <is>
          <t>ETENDERS.GOV.ZA</t>
        </is>
      </c>
      <c r="J159" t="inlineStr">
        <is>
          <t>Agricultural Research Council</t>
        </is>
      </c>
      <c r="K159" t="inlineStr">
        <is>
          <t>Mpumalanga</t>
        </is>
      </c>
      <c r="L159" t="inlineStr">
        <is>
          <t>No</t>
        </is>
      </c>
      <c r="M159" t="inlineStr">
        <is>
          <t>Services: Building</t>
        </is>
      </c>
      <c r="N159" t="inlineStr">
        <is>
          <t>No</t>
        </is>
      </c>
      <c r="O159" t="inlineStr">
        <is>
          <t>No</t>
        </is>
      </c>
      <c r="P159" t="inlineStr">
        <is>
          <t>N/A</t>
        </is>
      </c>
      <c r="Q159" s="3" t="inlineStr">
        <is>
          <t>https://www.etenders.gov.za/home/Download/?blobName=f8d41117-aed1-4289-8042-f9f86de10ee4.pdf&amp;downloadedFileName=BID%20DOCUMENT%20BUILDINGS%20REPAIRS%20ARC.20.08.2025.1%20.pdf</t>
        </is>
      </c>
      <c r="R159" t="inlineStr"/>
      <c r="S159" t="inlineStr"/>
      <c r="T159" t="inlineStr"/>
      <c r="U159" t="inlineStr"/>
      <c r="V159" t="inlineStr"/>
    </row>
    <row r="160">
      <c r="A160" s="2" t="n">
        <v>46178</v>
      </c>
      <c r="B160" t="n">
        <v>57</v>
      </c>
      <c r="C160" t="inlineStr">
        <is>
          <t>ARC/21/08/2025/1</t>
        </is>
      </c>
      <c r="D160" s="2" t="n">
        <v>46178</v>
      </c>
      <c r="E160" s="2" t="n">
        <v>46209</v>
      </c>
      <c r="F160" t="inlineStr">
        <is>
          <t>11:00</t>
        </is>
      </c>
      <c r="G160" t="inlineStr">
        <is>
          <t>Request for Bid(Open-Tender)</t>
        </is>
      </c>
      <c r="H160" t="inlineStr">
        <is>
          <t>Appointment of a panel of service providers for the provision of electrical repairs and maintenance for a period of five (5) years on an ad hoc basis at various ARC farms/sites.</t>
        </is>
      </c>
      <c r="I160" t="inlineStr">
        <is>
          <t>ETENDERS.GOV.ZA</t>
        </is>
      </c>
      <c r="J160" t="inlineStr">
        <is>
          <t>Agricultural Research Council</t>
        </is>
      </c>
      <c r="K160" t="inlineStr">
        <is>
          <t>Mpumalanga</t>
        </is>
      </c>
      <c r="L160" t="inlineStr">
        <is>
          <t>No</t>
        </is>
      </c>
      <c r="M160" t="inlineStr">
        <is>
          <t>Services: Electrical</t>
        </is>
      </c>
      <c r="N160" t="inlineStr">
        <is>
          <t>No</t>
        </is>
      </c>
      <c r="O160" t="inlineStr">
        <is>
          <t>No</t>
        </is>
      </c>
      <c r="P160" t="inlineStr">
        <is>
          <t>N/A</t>
        </is>
      </c>
      <c r="Q160" s="3" t="inlineStr">
        <is>
          <t>https://www.etenders.gov.za/home/Download/?blobName=896b6471-13c6-4de8-b59d-379546fc3ddd.pdf&amp;downloadedFileName=BID%20DOCUMENT%20ELECTRICAL%20REPAIRS%20ARC.21.08.2025.1%20doc.pdf</t>
        </is>
      </c>
      <c r="R160" t="inlineStr"/>
      <c r="S160" t="inlineStr"/>
      <c r="T160" t="inlineStr"/>
      <c r="U160" t="inlineStr"/>
      <c r="V160" t="inlineStr"/>
    </row>
    <row r="161">
      <c r="A161" s="2" t="n">
        <v>46178</v>
      </c>
      <c r="B161" t="n">
        <v>56</v>
      </c>
      <c r="C161" t="inlineStr">
        <is>
          <t>9/3/1/431</t>
        </is>
      </c>
      <c r="D161" s="2" t="n">
        <v>46178</v>
      </c>
      <c r="E161" s="2" t="n">
        <v>46216</v>
      </c>
      <c r="F161" t="inlineStr">
        <is>
          <t>12:00</t>
        </is>
      </c>
      <c r="G161" t="inlineStr">
        <is>
          <t>Request for Bid(Open-Tender)</t>
        </is>
      </c>
      <c r="H161" t="inlineStr">
        <is>
          <t>REPLACEMENT OF AC WATER PIPES IN BELABELA TOWN -GILFILLAN, BOTHA, VAN DER MERWE, PRETORIA, VOORTREKKER, SUTTER, MARX, CROCKERY AND POTGIETER STREETS (WARD 1) – PHASE 1</t>
        </is>
      </c>
      <c r="I161" t="inlineStr">
        <is>
          <t>ETENDERS.GOV.ZA</t>
        </is>
      </c>
      <c r="J161" t="inlineStr">
        <is>
          <t>Bela Bela Local Municipality</t>
        </is>
      </c>
      <c r="K161" t="inlineStr">
        <is>
          <t>Limpopo</t>
        </is>
      </c>
      <c r="L161" t="inlineStr">
        <is>
          <t>No</t>
        </is>
      </c>
      <c r="M161" t="inlineStr">
        <is>
          <t>Water supply; sewerage, waste management and remediation activities</t>
        </is>
      </c>
      <c r="N161" t="inlineStr">
        <is>
          <t>Yes</t>
        </is>
      </c>
      <c r="O161" t="inlineStr">
        <is>
          <t>Yes</t>
        </is>
      </c>
      <c r="P161" t="inlineStr">
        <is>
          <t>Old Clinic, Behind Municipal Offices, 59 Chris Hani Drive, Bela- Bela.</t>
        </is>
      </c>
      <c r="Q161" s="3" t="inlineStr">
        <is>
          <t>https://www.etenders.gov.za/home/Download/?blobName=229c7734-eca0-49bd-8064-3105d5300eb0.pdf&amp;downloadedFileName=2026-374_Bela%20Bela%20LM_31x5.pdf</t>
        </is>
      </c>
      <c r="R161" t="inlineStr"/>
      <c r="S161" t="inlineStr"/>
      <c r="T161" t="inlineStr"/>
      <c r="U161" t="inlineStr"/>
      <c r="V161" t="inlineStr"/>
    </row>
    <row r="162">
      <c r="A162" s="2" t="n">
        <v>46178</v>
      </c>
      <c r="B162" t="n">
        <v>55</v>
      </c>
      <c r="C162" t="inlineStr">
        <is>
          <t>RFP/SASSETA/24251126/1</t>
        </is>
      </c>
      <c r="D162" s="2" t="n">
        <v>46178</v>
      </c>
      <c r="E162" s="2" t="n">
        <v>46199</v>
      </c>
      <c r="F162" t="inlineStr">
        <is>
          <t>11:00</t>
        </is>
      </c>
      <c r="G162" t="inlineStr">
        <is>
          <t>Request for Proposal</t>
        </is>
      </c>
      <c r="H162" t="inlineStr">
        <is>
          <t>Appointment of a suitably experienced and knowledgeable service provider to implement end-to end management of the individual bursary process on an ad hoc or full-scale basis on behalf of SASSETA from date of appointment until 31 March 2030</t>
        </is>
      </c>
      <c r="I162" t="inlineStr">
        <is>
          <t>ETENDERS.GOV.ZA</t>
        </is>
      </c>
      <c r="J162" t="inlineStr">
        <is>
          <t>Safety and Security Sector Education and Training Authority (Sasseta)</t>
        </is>
      </c>
      <c r="K162" t="inlineStr">
        <is>
          <t>Gauteng</t>
        </is>
      </c>
      <c r="L162" t="inlineStr">
        <is>
          <t>No</t>
        </is>
      </c>
      <c r="M162" t="inlineStr">
        <is>
          <t>Services: Professional</t>
        </is>
      </c>
      <c r="N162" t="inlineStr">
        <is>
          <t>No</t>
        </is>
      </c>
      <c r="O162" t="inlineStr">
        <is>
          <t>No</t>
        </is>
      </c>
      <c r="P162" t="inlineStr">
        <is>
          <t>N/A</t>
        </is>
      </c>
      <c r="Q162" s="3" t="inlineStr">
        <is>
          <t>https://www.etenders.gov.za/home/Download/?blobName=12f6a8c7-5b48-4777-b9d1-3f4edede23d6.xls&amp;downloadedFileName=Annexure%20B%20-%20Pricing%20(Bursary).xls</t>
        </is>
      </c>
      <c r="R162" t="inlineStr"/>
      <c r="S162" t="inlineStr"/>
      <c r="T162" t="inlineStr"/>
      <c r="U162" t="inlineStr"/>
      <c r="V162" t="inlineStr"/>
    </row>
    <row r="163">
      <c r="A163" s="2" t="n">
        <v>46178</v>
      </c>
      <c r="B163" t="n">
        <v>54</v>
      </c>
      <c r="C163" t="inlineStr">
        <is>
          <t>9/3/1/432</t>
        </is>
      </c>
      <c r="D163" s="2" t="n">
        <v>46178</v>
      </c>
      <c r="E163" s="2" t="n">
        <v>46218</v>
      </c>
      <c r="F163" t="inlineStr">
        <is>
          <t>12:00</t>
        </is>
      </c>
      <c r="G163" t="inlineStr">
        <is>
          <t>Request for Bid(Open-Tender)</t>
        </is>
      </c>
      <c r="H163" t="inlineStr">
        <is>
          <t>UPGRADING OF PIENAARSRIVER SEWER PUMP STATION (WARD 8)</t>
        </is>
      </c>
      <c r="I163" t="inlineStr">
        <is>
          <t>ETENDERS.GOV.ZA</t>
        </is>
      </c>
      <c r="J163" t="inlineStr">
        <is>
          <t>Bela Bela Local Municipality</t>
        </is>
      </c>
      <c r="K163" t="inlineStr">
        <is>
          <t>Limpopo</t>
        </is>
      </c>
      <c r="L163" t="inlineStr">
        <is>
          <t>No</t>
        </is>
      </c>
      <c r="M163" t="inlineStr">
        <is>
          <t>Water supply; sewerage, waste management and remediation activities</t>
        </is>
      </c>
      <c r="N163" t="inlineStr">
        <is>
          <t>Yes</t>
        </is>
      </c>
      <c r="O163" t="inlineStr">
        <is>
          <t>Yes</t>
        </is>
      </c>
      <c r="P163" t="inlineStr">
        <is>
          <t>Old Clinic, Behind Municipal Offices, 59 Chris Hani Drive, Bela- Bela.</t>
        </is>
      </c>
      <c r="Q163" s="3" t="inlineStr">
        <is>
          <t>https://www.etenders.gov.za/home/Download/?blobName=d3ff3750-74dd-47d9-8ccf-4fe5133cc790.pdf&amp;downloadedFileName=2026-374_Bela%20Bela%20LM_31x5.pdf</t>
        </is>
      </c>
      <c r="R163" t="inlineStr"/>
      <c r="S163" t="inlineStr"/>
      <c r="T163" t="inlineStr"/>
      <c r="U163" t="inlineStr"/>
      <c r="V163" t="inlineStr"/>
    </row>
    <row r="164">
      <c r="A164" s="2" t="n">
        <v>46178</v>
      </c>
      <c r="B164" t="n">
        <v>53</v>
      </c>
      <c r="C164" t="inlineStr">
        <is>
          <t>9/3/1/436</t>
        </is>
      </c>
      <c r="D164" s="2" t="n">
        <v>46178</v>
      </c>
      <c r="E164" s="2" t="n">
        <v>46199</v>
      </c>
      <c r="F164" t="inlineStr">
        <is>
          <t>11:00</t>
        </is>
      </c>
      <c r="G164" t="inlineStr">
        <is>
          <t>Request for Bid(Open-Tender)</t>
        </is>
      </c>
      <c r="H164" t="inlineStr">
        <is>
          <t>REPAIR OF MASEMOLA-MOLOTO STREET (PAVEMENT) (WARD 2)</t>
        </is>
      </c>
      <c r="I164" t="inlineStr">
        <is>
          <t>ETENDERS.GOV.ZA</t>
        </is>
      </c>
      <c r="J164" t="inlineStr">
        <is>
          <t>Bela Bela Local Municipality</t>
        </is>
      </c>
      <c r="K164" t="inlineStr">
        <is>
          <t>Limpopo</t>
        </is>
      </c>
      <c r="L164" t="inlineStr">
        <is>
          <t>No</t>
        </is>
      </c>
      <c r="M164" t="inlineStr">
        <is>
          <t>Services: Civil</t>
        </is>
      </c>
      <c r="N164" t="inlineStr">
        <is>
          <t>Yes</t>
        </is>
      </c>
      <c r="O164" t="inlineStr">
        <is>
          <t>Yes</t>
        </is>
      </c>
      <c r="P164" t="inlineStr">
        <is>
          <t>Old Clinic, Behind Municipal Offices, 59 Chris Hani Drive, Bela- Bela.</t>
        </is>
      </c>
      <c r="Q164" s="3" t="inlineStr">
        <is>
          <t>https://www.etenders.gov.za/home/Download/?blobName=668ea6f2-4ec5-4aa4-a6c3-3302f07248c4.pdf&amp;downloadedFileName=2026-374_Bela%20Bela%20LM_31x5.pdf</t>
        </is>
      </c>
      <c r="R164" t="inlineStr"/>
      <c r="S164" t="inlineStr"/>
      <c r="T164" t="inlineStr"/>
      <c r="U164" t="inlineStr"/>
      <c r="V164" t="inlineStr"/>
    </row>
    <row r="165">
      <c r="A165" s="2" t="n">
        <v>46178</v>
      </c>
      <c r="B165" t="n">
        <v>52</v>
      </c>
      <c r="C165" t="inlineStr">
        <is>
          <t>IATS 2025/2026/10</t>
        </is>
      </c>
      <c r="D165" s="2" t="n">
        <v>46178</v>
      </c>
      <c r="E165" s="2" t="n">
        <v>46203</v>
      </c>
      <c r="F165" t="inlineStr">
        <is>
          <t>11:00</t>
        </is>
      </c>
      <c r="G165" t="inlineStr">
        <is>
          <t>Request for Bid(Open-Tender)</t>
        </is>
      </c>
      <c r="H165" t="inlineStr">
        <is>
          <t>IATS 2025/2026/10: APPOINTMENT OF A PANEL OF CONTRACTORS (CIDB GRADE 3EP TO 9EP) TO PROVIDE SPECIALISED TECHNICAL TESTING AND REPAIR SERVICES OF ELECTRICAL SUBSTATIONS PRIMARY AND SECONDARY PLANT APPARATUS TO THE ALFRED DUMA LOCAL MUNICIPALITY FOR A PERIOD OF THREE YEARS</t>
        </is>
      </c>
      <c r="I165" t="inlineStr">
        <is>
          <t>ETENDERS.GOV.ZA</t>
        </is>
      </c>
      <c r="J165" t="inlineStr">
        <is>
          <t>Alfred Duma Local Municipality</t>
        </is>
      </c>
      <c r="K165" t="inlineStr">
        <is>
          <t>KwaZulu-Natal</t>
        </is>
      </c>
      <c r="L165" t="inlineStr">
        <is>
          <t>No</t>
        </is>
      </c>
      <c r="M165" t="inlineStr">
        <is>
          <t>Electricity, gas, steam and air conditioning</t>
        </is>
      </c>
      <c r="N165" t="inlineStr">
        <is>
          <t>Yes</t>
        </is>
      </c>
      <c r="O165" t="inlineStr">
        <is>
          <t>Yes</t>
        </is>
      </c>
      <c r="P165" t="inlineStr">
        <is>
          <t>LEGAL SERVICES BOARDROOM, LISTER CLARENCE BUIDLING, 221 MURCHISON STREET, LADYSMITH</t>
        </is>
      </c>
      <c r="Q165" s="3" t="inlineStr">
        <is>
          <t>https://www.etenders.gov.za/home/Download/?blobName=aaf5034c-147c-4ade-9a2e-b75115134cde.pdf&amp;downloadedFileName=IATS%202025%202026%2010.pdf</t>
        </is>
      </c>
      <c r="R165" t="inlineStr"/>
      <c r="S165" t="inlineStr"/>
      <c r="T165" t="inlineStr"/>
      <c r="U165" t="inlineStr"/>
      <c r="V165" t="inlineStr"/>
    </row>
    <row r="166">
      <c r="A166" s="2" t="n">
        <v>46178</v>
      </c>
      <c r="B166" t="n">
        <v>51</v>
      </c>
      <c r="C166" t="inlineStr">
        <is>
          <t>OVI012606RFQ00000011</t>
        </is>
      </c>
      <c r="D166" s="2" t="n">
        <v>46178</v>
      </c>
      <c r="E166" s="2" t="n">
        <v>46185</v>
      </c>
      <c r="F166" t="inlineStr">
        <is>
          <t>11:00</t>
        </is>
      </c>
      <c r="G166" t="inlineStr">
        <is>
          <t>Request for Quotation</t>
        </is>
      </c>
      <c r="H166" t="inlineStr">
        <is>
          <t>Green Wire Supported Panel Filter 5off Green (59 cm x 59 cm + 4.8 cm breadth frame) 85% Pocket filter 5off 85% Pocket filter (59 cm x 59 cm + 2 cm</t>
        </is>
      </c>
      <c r="I166" t="inlineStr">
        <is>
          <t>ETENDERS.GOV.ZA</t>
        </is>
      </c>
      <c r="J166" t="inlineStr">
        <is>
          <t>Agricultural Research Council</t>
        </is>
      </c>
      <c r="K166" t="inlineStr">
        <is>
          <t>Gauteng</t>
        </is>
      </c>
      <c r="L166" t="inlineStr">
        <is>
          <t>No</t>
        </is>
      </c>
      <c r="M166" t="inlineStr">
        <is>
          <t>Manufacture of fabricated metal products, except machinery and equipment</t>
        </is>
      </c>
      <c r="N166" t="inlineStr">
        <is>
          <t>No</t>
        </is>
      </c>
      <c r="O166" t="inlineStr">
        <is>
          <t>No</t>
        </is>
      </c>
      <c r="P166" t="inlineStr">
        <is>
          <t>N/A</t>
        </is>
      </c>
      <c r="Q166" s="3" t="inlineStr">
        <is>
          <t>https://www.etenders.gov.za/home/Download/?blobName=67692273-f2e3-45b5-94f7-ea96e8f692ed.pdf&amp;downloadedFileName=OVI012606RFQ00000011.pdf</t>
        </is>
      </c>
      <c r="R166" t="inlineStr"/>
      <c r="S166" t="inlineStr"/>
      <c r="T166" t="inlineStr"/>
      <c r="U166" t="inlineStr"/>
      <c r="V166" t="inlineStr"/>
    </row>
    <row r="167">
      <c r="A167" s="2" t="n">
        <v>46178</v>
      </c>
      <c r="B167" t="n">
        <v>50</v>
      </c>
      <c r="C167" t="inlineStr">
        <is>
          <t>OVI012606RFQ00000009</t>
        </is>
      </c>
      <c r="D167" s="2" t="n">
        <v>46178</v>
      </c>
      <c r="E167" s="2" t="n">
        <v>46185</v>
      </c>
      <c r="F167" t="inlineStr">
        <is>
          <t>11:00</t>
        </is>
      </c>
      <c r="G167" t="inlineStr">
        <is>
          <t>Request for Quotation</t>
        </is>
      </c>
      <c r="H167" t="inlineStr">
        <is>
          <t>Research Consumables</t>
        </is>
      </c>
      <c r="I167" t="inlineStr">
        <is>
          <t>ETENDERS.GOV.ZA</t>
        </is>
      </c>
      <c r="J167" t="inlineStr">
        <is>
          <t>Agricultural Research Council</t>
        </is>
      </c>
      <c r="K167" t="inlineStr">
        <is>
          <t>Gauteng</t>
        </is>
      </c>
      <c r="L167" t="inlineStr">
        <is>
          <t>No</t>
        </is>
      </c>
      <c r="M167" t="inlineStr">
        <is>
          <t>Supplies: Medical</t>
        </is>
      </c>
      <c r="N167" t="inlineStr">
        <is>
          <t>No</t>
        </is>
      </c>
      <c r="O167" t="inlineStr">
        <is>
          <t>No</t>
        </is>
      </c>
      <c r="P167" t="inlineStr">
        <is>
          <t>N/A</t>
        </is>
      </c>
      <c r="Q167" s="3" t="inlineStr">
        <is>
          <t>https://www.etenders.gov.za/home/Download/?blobName=84db0165-5cdd-453b-873d-bd25cd2a00e8.pdf&amp;downloadedFileName=OVI012606RFQ00000009.pdf</t>
        </is>
      </c>
      <c r="R167" t="inlineStr"/>
      <c r="S167" t="inlineStr"/>
      <c r="T167" t="inlineStr"/>
      <c r="U167" t="inlineStr"/>
      <c r="V167" t="inlineStr"/>
    </row>
    <row r="168">
      <c r="A168" s="2" t="n">
        <v>46178</v>
      </c>
      <c r="B168" t="n">
        <v>49</v>
      </c>
      <c r="C168" t="inlineStr">
        <is>
          <t>5/2/1/1/2026-2027/77</t>
        </is>
      </c>
      <c r="D168" s="2" t="n">
        <v>46178</v>
      </c>
      <c r="E168" s="2" t="n">
        <v>46199</v>
      </c>
      <c r="F168" t="inlineStr">
        <is>
          <t>11:00</t>
        </is>
      </c>
      <c r="G168" t="inlineStr">
        <is>
          <t>Request for Quotation</t>
        </is>
      </c>
      <c r="H168" t="inlineStr">
        <is>
          <t>APPOINTMENT OF A SERVICE PROVIDER THAT WILL GRANT THE DEPARTMENT ACCESS TO IT'S DATA BASE FOR A PERIOD OF 12 MONTHS TO REAL TIME SCREEN AND VERIFY EMPLOYEES WHO DO BUSINESS WITH STATE.</t>
        </is>
      </c>
      <c r="I168" t="inlineStr">
        <is>
          <t>ETENDERS.GOV.ZA</t>
        </is>
      </c>
      <c r="J168" t="inlineStr">
        <is>
          <t>Department of Rural Development &amp; Land Reform</t>
        </is>
      </c>
      <c r="K168" t="inlineStr">
        <is>
          <t>National</t>
        </is>
      </c>
      <c r="L168" t="inlineStr">
        <is>
          <t>No</t>
        </is>
      </c>
      <c r="M168" t="inlineStr">
        <is>
          <t>Computer programming, consultancy and related activities</t>
        </is>
      </c>
      <c r="N168" t="inlineStr">
        <is>
          <t>No</t>
        </is>
      </c>
      <c r="O168" t="inlineStr">
        <is>
          <t>No</t>
        </is>
      </c>
      <c r="P168" t="inlineStr">
        <is>
          <t>N/A</t>
        </is>
      </c>
      <c r="Q168" s="3" t="inlineStr">
        <is>
          <t>https://www.etenders.gov.za/home/Download/?blobName=b4e147d8-7e5d-49e0-8318-d8a1e0a66d93.pdf&amp;downloadedFileName=5-2-1-1-2026-2027-77.pdf</t>
        </is>
      </c>
      <c r="R168" t="inlineStr"/>
      <c r="S168" t="inlineStr"/>
      <c r="T168" t="inlineStr"/>
      <c r="U168" t="inlineStr"/>
      <c r="V168" t="inlineStr"/>
    </row>
    <row r="169">
      <c r="A169" s="2" t="n">
        <v>46178</v>
      </c>
      <c r="B169" t="n">
        <v>48</v>
      </c>
      <c r="C169" t="inlineStr">
        <is>
          <t>IATS 2025/2026/11</t>
        </is>
      </c>
      <c r="D169" s="2" t="n">
        <v>46178</v>
      </c>
      <c r="E169" s="2" t="n">
        <v>46205</v>
      </c>
      <c r="F169" t="inlineStr">
        <is>
          <t>11:00</t>
        </is>
      </c>
      <c r="G169" t="inlineStr">
        <is>
          <t>Request for Bid(Open-Tender)</t>
        </is>
      </c>
      <c r="H169" t="inlineStr">
        <is>
          <t>IATS 2025/2026/11: APPOINTMENT OF A SERVICE PROVIDER FOR THE SUPPLY OF A STANDARD TRANSFER SPECIFICATION SYSTEM (STS) COMPLIANT PRE-PAYMENT ELECTRICITY ONLINE VENDING AND MANAGEMENT SYSTEM, INSTALLATION AND MANAGEMENT OF PRE-PAID SMART METERS, INSTALLATION AND MANAGEMENT OF LPU (LARGE POWER USERS) METERS WITHAMR (AUTOMATIC METER READING) FOR A PERIOD OF THREE (3) YEARS</t>
        </is>
      </c>
      <c r="I169" t="inlineStr">
        <is>
          <t>ETENDERS.GOV.ZA</t>
        </is>
      </c>
      <c r="J169" t="inlineStr">
        <is>
          <t>Alfred Duma Local Municipality</t>
        </is>
      </c>
      <c r="K169" t="inlineStr">
        <is>
          <t>KwaZulu-Natal</t>
        </is>
      </c>
      <c r="L169" t="inlineStr">
        <is>
          <t>No</t>
        </is>
      </c>
      <c r="M169" t="inlineStr">
        <is>
          <t>Electricity, gas, steam and air conditioning</t>
        </is>
      </c>
      <c r="N169" t="inlineStr">
        <is>
          <t>Yes</t>
        </is>
      </c>
      <c r="O169" t="inlineStr">
        <is>
          <t>Yes</t>
        </is>
      </c>
      <c r="P169" t="inlineStr">
        <is>
          <t>LEGAL SERVICES BOARDROOM, LISTER CLARENCE BUIDLING, 221 MURCHISON STREET, LADYSMITH</t>
        </is>
      </c>
      <c r="Q169" s="3" t="inlineStr">
        <is>
          <t>https://www.etenders.gov.za/home/Download/?blobName=6f476cd8-e2bf-4938-881e-4b04013606f0.pdf&amp;downloadedFileName=IATS%202025%202026%2011.pdf</t>
        </is>
      </c>
      <c r="R169" t="inlineStr"/>
      <c r="S169" t="inlineStr"/>
      <c r="T169" t="inlineStr"/>
      <c r="U169" t="inlineStr"/>
      <c r="V169" t="inlineStr"/>
    </row>
    <row r="170">
      <c r="A170" s="2" t="n">
        <v>46178</v>
      </c>
      <c r="B170" t="n">
        <v>47</v>
      </c>
      <c r="C170" t="inlineStr">
        <is>
          <t>RFQ AB 18/2026</t>
        </is>
      </c>
      <c r="D170" s="2" t="n">
        <v>46178</v>
      </c>
      <c r="E170" s="2" t="n">
        <v>46190</v>
      </c>
      <c r="F170" t="inlineStr">
        <is>
          <t>11:00</t>
        </is>
      </c>
      <c r="G170" t="inlineStr">
        <is>
          <t>Request for Quotation</t>
        </is>
      </c>
      <c r="H170" t="inlineStr">
        <is>
          <t>APPOINTMENT OF A SERVICE PROVIDE TO SUPPLY AND DELIVER OF NEW VENTURE SKILLS PROGRAMME NQF L2 LEARNING MATERIALS AT SOUTH CAPE TVET COLLEGE.</t>
        </is>
      </c>
      <c r="I170" t="inlineStr">
        <is>
          <t>ETENDERS.GOV.ZA</t>
        </is>
      </c>
      <c r="J170" t="inlineStr">
        <is>
          <t>South Cape TVET College</t>
        </is>
      </c>
      <c r="K170" t="inlineStr">
        <is>
          <t>Western Cape</t>
        </is>
      </c>
      <c r="L170" t="inlineStr">
        <is>
          <t>No</t>
        </is>
      </c>
      <c r="M170" t="inlineStr">
        <is>
          <t>Education</t>
        </is>
      </c>
      <c r="N170" t="inlineStr">
        <is>
          <t>No</t>
        </is>
      </c>
      <c r="O170" t="inlineStr">
        <is>
          <t>No</t>
        </is>
      </c>
      <c r="P170" t="inlineStr">
        <is>
          <t>N/A</t>
        </is>
      </c>
      <c r="Q170" s="3" t="inlineStr">
        <is>
          <t>https://www.etenders.gov.za/home/Download/?blobName=9c5961db-d242-43b4-9ab8-53b2564e4bcc.pdf&amp;downloadedFileName=bid%20document%20AB%201826.pdf</t>
        </is>
      </c>
      <c r="R170" t="inlineStr"/>
      <c r="S170" t="inlineStr"/>
      <c r="T170" t="inlineStr"/>
      <c r="U170" t="inlineStr"/>
      <c r="V170" t="inlineStr"/>
    </row>
    <row r="171">
      <c r="A171" s="2" t="n">
        <v>46178</v>
      </c>
      <c r="B171" t="n">
        <v>46</v>
      </c>
      <c r="C171" t="inlineStr">
        <is>
          <t>ECR/RAIL/RS/04/06/2026</t>
        </is>
      </c>
      <c r="D171" s="2" t="n">
        <v>46178</v>
      </c>
      <c r="E171" s="2" t="n">
        <v>46185</v>
      </c>
      <c r="F171" t="inlineStr">
        <is>
          <t>12:00</t>
        </is>
      </c>
      <c r="G171" t="inlineStr">
        <is>
          <t>Request for Quotation</t>
        </is>
      </c>
      <c r="H171" t="inlineStr">
        <is>
          <t>REQUEST FOR QUOTATION (RFQ) REQUEST FOR THE SERVICING AND CALIBRATION OF GAUGES, IN EAST LONDON ON A ONCE OFF BASIS AT PRASA IN THE EASTERN CAPE REGION.</t>
        </is>
      </c>
      <c r="I171" t="inlineStr">
        <is>
          <t>ETENDERS.GOV.ZA</t>
        </is>
      </c>
      <c r="J171" t="inlineStr">
        <is>
          <t>Passenger Rail Agency of South Africa</t>
        </is>
      </c>
      <c r="K171" t="inlineStr">
        <is>
          <t>Eastern Cape</t>
        </is>
      </c>
      <c r="L171" t="inlineStr">
        <is>
          <t>No</t>
        </is>
      </c>
      <c r="M171" t="inlineStr">
        <is>
          <t>Administrative and support activities</t>
        </is>
      </c>
      <c r="N171" t="inlineStr">
        <is>
          <t>No</t>
        </is>
      </c>
      <c r="O171" t="inlineStr">
        <is>
          <t>No</t>
        </is>
      </c>
      <c r="P171" t="inlineStr">
        <is>
          <t>N/A</t>
        </is>
      </c>
      <c r="Q171" s="3" t="inlineStr">
        <is>
          <t>https://www.etenders.gov.za/home/Download/?blobName=50aaaf67-a333-4faa-b3b4-41ff16aba8aa.pdf&amp;downloadedFileName=RFQ%2010353141%20-%20Calibration%20of%20Gauges%20-%203.pdf</t>
        </is>
      </c>
      <c r="R171" t="inlineStr"/>
      <c r="S171" t="inlineStr"/>
      <c r="T171" t="inlineStr"/>
      <c r="U171" t="inlineStr"/>
      <c r="V171" t="inlineStr"/>
    </row>
    <row r="172">
      <c r="A172" s="2" t="n">
        <v>46178</v>
      </c>
      <c r="B172" t="n">
        <v>45</v>
      </c>
      <c r="C172" t="inlineStr">
        <is>
          <t>ECR/RAIL/RS/03/06/2026</t>
        </is>
      </c>
      <c r="D172" s="2" t="n">
        <v>46178</v>
      </c>
      <c r="E172" s="2" t="n">
        <v>46185</v>
      </c>
      <c r="F172" t="inlineStr">
        <is>
          <t>12:00</t>
        </is>
      </c>
      <c r="G172" t="inlineStr">
        <is>
          <t>Request for Quotation</t>
        </is>
      </c>
      <c r="H172" t="inlineStr">
        <is>
          <t>REQUEST FOR QUOATATION (RFQ) REQUEST FOR CALIBRATION OF MEASURERING INSTRUMENTS, IN EAST LONDON ON A ONCE OF BASIS AT PRASA IN THE EASTERN CAPEREGION.</t>
        </is>
      </c>
      <c r="I172" t="inlineStr">
        <is>
          <t>ETENDERS.GOV.ZA</t>
        </is>
      </c>
      <c r="J172" t="inlineStr">
        <is>
          <t>Passenger Rail Agency of South Africa</t>
        </is>
      </c>
      <c r="K172" t="inlineStr">
        <is>
          <t>Eastern Cape</t>
        </is>
      </c>
      <c r="L172" t="inlineStr">
        <is>
          <t>No</t>
        </is>
      </c>
      <c r="M172" t="inlineStr">
        <is>
          <t>Administrative and support activities</t>
        </is>
      </c>
      <c r="N172" t="inlineStr">
        <is>
          <t>No</t>
        </is>
      </c>
      <c r="O172" t="inlineStr">
        <is>
          <t>No</t>
        </is>
      </c>
      <c r="P172" t="inlineStr">
        <is>
          <t>N/A</t>
        </is>
      </c>
      <c r="Q172" s="3" t="inlineStr">
        <is>
          <t>https://www.etenders.gov.za/home/Download/?blobName=491e1952-145c-4731-bb1e-901895993acb.pdf&amp;downloadedFileName=RFQ%2010369481%20-%20Calibration%20of%20Measuring%20Instruments%20-%203.pdf</t>
        </is>
      </c>
      <c r="R172" t="inlineStr"/>
      <c r="S172" t="inlineStr"/>
      <c r="T172" t="inlineStr"/>
      <c r="U172" t="inlineStr"/>
      <c r="V172" t="inlineStr"/>
    </row>
    <row r="173">
      <c r="A173" s="2" t="n">
        <v>46178</v>
      </c>
      <c r="B173" t="n">
        <v>44</v>
      </c>
      <c r="C173" t="inlineStr">
        <is>
          <t>KZN/PRASA/2026/02/17/Q-01</t>
        </is>
      </c>
      <c r="D173" s="2" t="n">
        <v>46178</v>
      </c>
      <c r="E173" s="2" t="n">
        <v>46192</v>
      </c>
      <c r="F173" t="inlineStr">
        <is>
          <t>12:00</t>
        </is>
      </c>
      <c r="G173" t="inlineStr">
        <is>
          <t>Request for Quotation</t>
        </is>
      </c>
      <c r="H173" t="inlineStr">
        <is>
          <t>THE APPOINTMENT OF A QUALIFIED SERVICE PROVIDER TO FACILITATE DISC CUTTER TRAINING. AS AND WHEN REQUIRED 36 MONTHS FOR PRASA KZN REGION.</t>
        </is>
      </c>
      <c r="I173" t="inlineStr">
        <is>
          <t>ETENDERS.GOV.ZA</t>
        </is>
      </c>
      <c r="J173" t="inlineStr">
        <is>
          <t>Passenger Rail Agency of South Africa</t>
        </is>
      </c>
      <c r="K173" t="inlineStr">
        <is>
          <t>KwaZulu-Natal</t>
        </is>
      </c>
      <c r="L173" t="inlineStr">
        <is>
          <t>No</t>
        </is>
      </c>
      <c r="M173" t="inlineStr">
        <is>
          <t>Education</t>
        </is>
      </c>
      <c r="N173" t="inlineStr">
        <is>
          <t>No</t>
        </is>
      </c>
      <c r="O173" t="inlineStr">
        <is>
          <t>No</t>
        </is>
      </c>
      <c r="P173" t="inlineStr">
        <is>
          <t>N/A</t>
        </is>
      </c>
      <c r="Q173" s="3" t="inlineStr">
        <is>
          <t>https://www.etenders.gov.za/home/Download/?blobName=77c11535-4d71-4648-8bef-46e17a76f8da.pdf&amp;downloadedFileName=RFQ%2001%20Document%20for%20dic%20Training%20.pdf</t>
        </is>
      </c>
      <c r="R173" t="inlineStr"/>
      <c r="S173" t="inlineStr"/>
      <c r="T173" t="inlineStr"/>
      <c r="U173" t="inlineStr"/>
      <c r="V173" t="inlineStr"/>
    </row>
    <row r="174">
      <c r="A174" s="2" t="n">
        <v>46178</v>
      </c>
      <c r="B174" t="n">
        <v>43</v>
      </c>
      <c r="C174" t="inlineStr">
        <is>
          <t>KZN/PRASA/2026/06/03/Q</t>
        </is>
      </c>
      <c r="D174" s="2" t="n">
        <v>46178</v>
      </c>
      <c r="E174" s="2" t="n">
        <v>46192</v>
      </c>
      <c r="F174" t="inlineStr">
        <is>
          <t>12:00</t>
        </is>
      </c>
      <c r="G174" t="inlineStr">
        <is>
          <t>Request for Quotation</t>
        </is>
      </c>
      <c r="H174" t="inlineStr">
        <is>
          <t>REQUEST FOR QUOTATION (RFQ) FOR THE APPOINTMENT OF A SERVICE PROVIDER FOR REPORT WRITING AND PRESENTATION TRAINING FOR A PERIOD OF 12 MONTHS AS AND WHEN REQUIRED FOR PRASA KZN</t>
        </is>
      </c>
      <c r="I174" t="inlineStr">
        <is>
          <t>ETENDERS.GOV.ZA</t>
        </is>
      </c>
      <c r="J174" t="inlineStr">
        <is>
          <t>Passenger Rail Agency of South Africa</t>
        </is>
      </c>
      <c r="K174" t="inlineStr">
        <is>
          <t>KwaZulu-Natal</t>
        </is>
      </c>
      <c r="L174" t="inlineStr">
        <is>
          <t>No</t>
        </is>
      </c>
      <c r="M174" t="inlineStr">
        <is>
          <t>Services: General</t>
        </is>
      </c>
      <c r="N174" t="inlineStr">
        <is>
          <t>No</t>
        </is>
      </c>
      <c r="O174" t="inlineStr">
        <is>
          <t>No</t>
        </is>
      </c>
      <c r="P174" t="inlineStr">
        <is>
          <t>N/A</t>
        </is>
      </c>
      <c r="Q174" s="3" t="inlineStr">
        <is>
          <t>https://www.etenders.gov.za/home/Download/?blobName=d642669c-afcf-48f7-9f77-96da93e7fd43.pdf&amp;downloadedFileName=KZN-PRASA-2026-06-03-Q-REPORT%20WRITTING%20AND%20PRESENTATION%20TRAINING.pdf</t>
        </is>
      </c>
      <c r="R174" t="inlineStr"/>
      <c r="S174" t="inlineStr"/>
      <c r="T174" t="inlineStr"/>
      <c r="U174" t="inlineStr"/>
      <c r="V174" t="inlineStr"/>
    </row>
    <row r="175">
      <c r="A175" s="2" t="n">
        <v>46178</v>
      </c>
      <c r="B175" t="n">
        <v>42</v>
      </c>
      <c r="C175" t="inlineStr">
        <is>
          <t>KZN/PRASA/2026/06/04/Q</t>
        </is>
      </c>
      <c r="D175" s="2" t="n">
        <v>46178</v>
      </c>
      <c r="E175" s="2" t="n">
        <v>46192</v>
      </c>
      <c r="F175" t="inlineStr">
        <is>
          <t>12:00</t>
        </is>
      </c>
      <c r="G175" t="inlineStr">
        <is>
          <t>Request for Quotation</t>
        </is>
      </c>
      <c r="H175" t="inlineStr">
        <is>
          <t>REQUEST FOR QUOTATION (RFQ) FOR THE APPOINTMENT OF A SERVICE PROVIDER FOR WORKING AT HEIGHTS TRAINING FOR A PERIOD OF 12 MONTHS AS AND WHEN REQUIRED FOR PRASA KZN</t>
        </is>
      </c>
      <c r="I175" t="inlineStr">
        <is>
          <t>ETENDERS.GOV.ZA</t>
        </is>
      </c>
      <c r="J175" t="inlineStr">
        <is>
          <t>Passenger Rail Agency of South Africa</t>
        </is>
      </c>
      <c r="K175" t="inlineStr">
        <is>
          <t>KwaZulu-Natal</t>
        </is>
      </c>
      <c r="L175" t="inlineStr">
        <is>
          <t>No</t>
        </is>
      </c>
      <c r="M175" t="inlineStr">
        <is>
          <t>Services: General</t>
        </is>
      </c>
      <c r="N175" t="inlineStr">
        <is>
          <t>No</t>
        </is>
      </c>
      <c r="O175" t="inlineStr">
        <is>
          <t>No</t>
        </is>
      </c>
      <c r="P175" t="inlineStr">
        <is>
          <t>N/A</t>
        </is>
      </c>
      <c r="Q175" s="3" t="inlineStr">
        <is>
          <t>https://www.etenders.gov.za/home/Download/?blobName=59409bda-8200-47ad-ac72-b3ac30ddb1a4.pdf&amp;downloadedFileName=KZN-PRASA-2026-06-04-Q-%20WORKING%20ON%20HEIGHTS.pdf</t>
        </is>
      </c>
      <c r="R175" t="inlineStr"/>
      <c r="S175" t="inlineStr"/>
      <c r="T175" t="inlineStr"/>
      <c r="U175" t="inlineStr"/>
      <c r="V175" t="inlineStr"/>
    </row>
    <row r="176">
      <c r="A176" s="2" t="n">
        <v>46178</v>
      </c>
      <c r="B176" t="n">
        <v>41</v>
      </c>
      <c r="C176" t="inlineStr">
        <is>
          <t>PRASA/CITYTOCITY/ENGINEPRO/05/2026</t>
        </is>
      </c>
      <c r="D176" s="2" t="n">
        <v>46178</v>
      </c>
      <c r="E176" s="2" t="n">
        <v>46185</v>
      </c>
      <c r="F176" t="inlineStr">
        <is>
          <t>12:00</t>
        </is>
      </c>
      <c r="G176" t="inlineStr">
        <is>
          <t>Request for Quotation</t>
        </is>
      </c>
      <c r="H176" t="inlineStr">
        <is>
          <t>REQUEST FOR QUOTATION (RFQ) FOR THE APPOINTMENT OF A SUPPLIER FOR SUPPLY, DELIVERY AND MAINTENANCE OF MERCEDES BENZ BUS ENGINE PROTECTION DEVICES ON A AS AND WHEN REQUIRED BASIS FOR 3 YEARS - NATIONAL</t>
        </is>
      </c>
      <c r="I176" t="inlineStr">
        <is>
          <t>ETENDERS.GOV.ZA</t>
        </is>
      </c>
      <c r="J176" t="inlineStr">
        <is>
          <t>Passenger Rail Agency of South Africa</t>
        </is>
      </c>
      <c r="K176" t="inlineStr">
        <is>
          <t>National</t>
        </is>
      </c>
      <c r="L176" t="inlineStr">
        <is>
          <t>No</t>
        </is>
      </c>
      <c r="M176" t="inlineStr">
        <is>
          <t>Services: Professional</t>
        </is>
      </c>
      <c r="N176" t="inlineStr">
        <is>
          <t>No</t>
        </is>
      </c>
      <c r="O176" t="inlineStr">
        <is>
          <t>No</t>
        </is>
      </c>
      <c r="P176" t="inlineStr">
        <is>
          <t>N/A</t>
        </is>
      </c>
      <c r="Q176" s="3" t="inlineStr">
        <is>
          <t>https://www.etenders.gov.za/home/Download/?blobName=cb0c9b86-6cee-429e-99af-1fe1c99c1304.pdf&amp;downloadedFileName=ANNEXURE%20C%20-%20PRICE%20SCHEDULE%20ENGINE%20PROTECTION%20DEVICE.pdf</t>
        </is>
      </c>
      <c r="R176" t="inlineStr"/>
      <c r="S176" t="inlineStr"/>
      <c r="T176" t="inlineStr"/>
      <c r="U176" t="inlineStr"/>
      <c r="V176" t="inlineStr"/>
    </row>
    <row r="177">
      <c r="A177" s="2" t="n">
        <v>46178</v>
      </c>
      <c r="B177" t="n">
        <v>40</v>
      </c>
      <c r="C177" t="inlineStr">
        <is>
          <t>WCR/02/04/2026</t>
        </is>
      </c>
      <c r="D177" s="2" t="n">
        <v>46178</v>
      </c>
      <c r="E177" s="2" t="n">
        <v>46211</v>
      </c>
      <c r="F177" t="inlineStr">
        <is>
          <t>12:00</t>
        </is>
      </c>
      <c r="G177" t="inlineStr">
        <is>
          <t>Request for Proposal</t>
        </is>
      </c>
      <c r="H177" t="inlineStr">
        <is>
          <t>REQUEST FOR PROPOSAL (RFP) FOR THE APPOINTMENT OF NOT MORE THAN 2 SERVICE PROVIDERS FOR MAINTENANCE, SERVICING, PUMPING, CLEANING AND JETTING OF SEPTIC TANKS AND MLPS TANKS FOR THIRTY-SIX (36) MONTHS IN THE WESTERN CAPE REGION</t>
        </is>
      </c>
      <c r="I177" t="inlineStr">
        <is>
          <t>ETENDERS.GOV.ZA</t>
        </is>
      </c>
      <c r="J177" t="inlineStr">
        <is>
          <t>Passenger Rail Agency of South Africa</t>
        </is>
      </c>
      <c r="K177" t="inlineStr">
        <is>
          <t>Western Cape</t>
        </is>
      </c>
      <c r="L177" t="inlineStr">
        <is>
          <t>No</t>
        </is>
      </c>
      <c r="M177" t="inlineStr">
        <is>
          <t>Sewerage</t>
        </is>
      </c>
      <c r="N177" t="inlineStr">
        <is>
          <t>Yes</t>
        </is>
      </c>
      <c r="O177" t="inlineStr">
        <is>
          <t>Yes</t>
        </is>
      </c>
      <c r="P177" t="inlineStr">
        <is>
          <t>Cape Town Station (Shosholoza Meyl waiting area)</t>
        </is>
      </c>
      <c r="Q177" s="3" t="inlineStr">
        <is>
          <t>https://www.etenders.gov.za/home/Download/?blobName=f64b341b-0ae7-424d-85bc-976895ce69dd.pdf&amp;downloadedFileName=RFP%20for%20Septic%20Tanks.pdf</t>
        </is>
      </c>
      <c r="R177" t="inlineStr"/>
      <c r="S177" t="inlineStr"/>
      <c r="T177" t="inlineStr"/>
      <c r="U177" t="inlineStr"/>
      <c r="V177" t="inlineStr"/>
    </row>
    <row r="178">
      <c r="A178" s="2" t="n">
        <v>46178</v>
      </c>
      <c r="B178" t="n">
        <v>39</v>
      </c>
      <c r="C178" t="inlineStr">
        <is>
          <t>T31-06-26</t>
        </is>
      </c>
      <c r="D178" s="2" t="n">
        <v>46178</v>
      </c>
      <c r="E178" s="2" t="n">
        <v>46196</v>
      </c>
      <c r="F178" t="inlineStr">
        <is>
          <t>11:00</t>
        </is>
      </c>
      <c r="G178" t="inlineStr">
        <is>
          <t>Request for Proposal</t>
        </is>
      </c>
      <c r="H178" t="inlineStr">
        <is>
          <t>REQUEST FOR PROPOSAL FOR THE APPOINTMENT OF A TALENT ACQUISITION RESPONSE HANDLING AND RECRUITMENT SERVICES PROVIDER.</t>
        </is>
      </c>
      <c r="I178" t="inlineStr">
        <is>
          <t>ETENDERS.GOV.ZA</t>
        </is>
      </c>
      <c r="J178" t="inlineStr">
        <is>
          <t>Industrial Development Corporation of South Africa Limited</t>
        </is>
      </c>
      <c r="K178" t="inlineStr">
        <is>
          <t>National</t>
        </is>
      </c>
      <c r="L178" t="inlineStr">
        <is>
          <t>No</t>
        </is>
      </c>
      <c r="M178" t="inlineStr">
        <is>
          <t>Services: Professional</t>
        </is>
      </c>
      <c r="N178" t="inlineStr">
        <is>
          <t>Yes</t>
        </is>
      </c>
      <c r="O178" t="inlineStr">
        <is>
          <t>No</t>
        </is>
      </c>
      <c r="P178" t="inlineStr">
        <is>
          <t>https://teams.microsoft.com/meet/358119972108425?p=0y8TF1nRLqXpedkrCR</t>
        </is>
      </c>
      <c r="Q178" s="3" t="inlineStr">
        <is>
          <t>https://www.etenders.gov.za/home/Download/?blobName=88816824-ef35-426b-9b9d-49d214a8a347.pdf&amp;downloadedFileName=T31%20-06-26_Talent%20Acquisition%20Response%20Handling%20and%20Recruitment%20Services.pdf</t>
        </is>
      </c>
      <c r="R178" t="inlineStr"/>
      <c r="S178" t="inlineStr"/>
      <c r="T178" t="inlineStr"/>
      <c r="U178" t="inlineStr"/>
      <c r="V178" t="inlineStr"/>
    </row>
    <row r="179">
      <c r="A179" s="2" t="n">
        <v>46178</v>
      </c>
      <c r="B179" t="n">
        <v>38</v>
      </c>
      <c r="C179" t="inlineStr">
        <is>
          <t>9/3/1/437</t>
        </is>
      </c>
      <c r="D179" s="2" t="n">
        <v>46178</v>
      </c>
      <c r="E179" s="2" t="n">
        <v>46202</v>
      </c>
      <c r="F179" t="inlineStr">
        <is>
          <t>12:00</t>
        </is>
      </c>
      <c r="G179" t="inlineStr">
        <is>
          <t>Request for Bid(Open-Tender)</t>
        </is>
      </c>
      <c r="H179" t="inlineStr">
        <is>
          <t>REHABILITATION OF MEININGER STREET (WARD 1)</t>
        </is>
      </c>
      <c r="I179" t="inlineStr">
        <is>
          <t>ETENDERS.GOV.ZA</t>
        </is>
      </c>
      <c r="J179" t="inlineStr">
        <is>
          <t>Bela Bela Local Municipality</t>
        </is>
      </c>
      <c r="K179" t="inlineStr">
        <is>
          <t>Limpopo</t>
        </is>
      </c>
      <c r="L179" t="inlineStr">
        <is>
          <t>No</t>
        </is>
      </c>
      <c r="M179" t="inlineStr">
        <is>
          <t>Civil engineering</t>
        </is>
      </c>
      <c r="N179" t="inlineStr">
        <is>
          <t>Yes</t>
        </is>
      </c>
      <c r="O179" t="inlineStr">
        <is>
          <t>Yes</t>
        </is>
      </c>
      <c r="P179" t="inlineStr">
        <is>
          <t>Old Clinic, Behind Municipal Offices, 59 Chris Hani Drive, Bela- Bela.</t>
        </is>
      </c>
      <c r="Q179" s="3" t="inlineStr">
        <is>
          <t>https://www.etenders.gov.za/home/Download/?blobName=49c2904d-263d-482e-b758-7d7dc95e7689.pdf&amp;downloadedFileName=2026-374_Bela%20Bela%20LM_31x5.pdf</t>
        </is>
      </c>
      <c r="R179" t="inlineStr"/>
      <c r="S179" t="inlineStr"/>
      <c r="T179" t="inlineStr"/>
      <c r="U179" t="inlineStr"/>
      <c r="V179" t="inlineStr"/>
    </row>
    <row r="180">
      <c r="A180" s="2" t="n">
        <v>46178</v>
      </c>
      <c r="B180" t="n">
        <v>37</v>
      </c>
      <c r="C180" t="inlineStr">
        <is>
          <t>9/3/1/434</t>
        </is>
      </c>
      <c r="D180" s="2" t="n">
        <v>46178</v>
      </c>
      <c r="E180" s="2" t="n">
        <v>46213</v>
      </c>
      <c r="F180" t="inlineStr">
        <is>
          <t>12:00</t>
        </is>
      </c>
      <c r="G180" t="inlineStr">
        <is>
          <t>Request for Bid(Open-Tender)</t>
        </is>
      </c>
      <c r="H180" t="inlineStr">
        <is>
          <t>WATER SUPPLY SOURCE AUGMENTATION USING SASSA BOREHOLE AND THE CONSTRUCTION OF WATER TREATMENT PACKAGE PLANT (WARD 1)</t>
        </is>
      </c>
      <c r="I180" t="inlineStr">
        <is>
          <t>ETENDERS.GOV.ZA</t>
        </is>
      </c>
      <c r="J180" t="inlineStr">
        <is>
          <t>Bela Bela Local Municipality</t>
        </is>
      </c>
      <c r="K180" t="inlineStr">
        <is>
          <t>Limpopo</t>
        </is>
      </c>
      <c r="L180" t="inlineStr">
        <is>
          <t>No</t>
        </is>
      </c>
      <c r="M180" t="inlineStr">
        <is>
          <t>Water supply; sewerage, waste management and remediation activities</t>
        </is>
      </c>
      <c r="N180" t="inlineStr">
        <is>
          <t>Yes</t>
        </is>
      </c>
      <c r="O180" t="inlineStr">
        <is>
          <t>Yes</t>
        </is>
      </c>
      <c r="P180" t="inlineStr">
        <is>
          <t>Old Clinic, Behind Municipal Offices, 59 Chris Hani Drive, Bela- Bela.</t>
        </is>
      </c>
      <c r="Q180" s="3" t="inlineStr">
        <is>
          <t>https://www.etenders.gov.za/home/Download/?blobName=1d4e4d07-281d-44c2-8d8b-82dd8a7c3b38.pdf&amp;downloadedFileName=2026-374_Bela%20Bela%20LM_31x5.pdf</t>
        </is>
      </c>
      <c r="R180" t="inlineStr"/>
      <c r="S180" t="inlineStr"/>
      <c r="T180" t="inlineStr"/>
      <c r="U180" t="inlineStr"/>
      <c r="V180" t="inlineStr"/>
    </row>
    <row r="181">
      <c r="A181" s="2" t="n">
        <v>46178</v>
      </c>
      <c r="B181" t="n">
        <v>36</v>
      </c>
      <c r="C181" t="inlineStr">
        <is>
          <t>9/3/1/429</t>
        </is>
      </c>
      <c r="D181" s="2" t="n">
        <v>46178</v>
      </c>
      <c r="E181" s="2" t="n">
        <v>46220</v>
      </c>
      <c r="F181" t="inlineStr">
        <is>
          <t>12:00</t>
        </is>
      </c>
      <c r="G181" t="inlineStr">
        <is>
          <t>Request for Bid(Open-Tender)</t>
        </is>
      </c>
      <c r="H181" t="inlineStr">
        <is>
          <t>PANEL OF FIVE (5) SERVICE PROVIDERS FOR SUPPLY AND DELIVERY OF TRANSFORMERS, MINI SUBSTATIONS, SWITCHGEAR, TOOLS, AND ASSOCIATED ELECTRICAL EQUIPMENT AS AND WHEN REQUIRED FOR A PERIOD OF 36 MONTHS</t>
        </is>
      </c>
      <c r="I181" t="inlineStr">
        <is>
          <t>ETENDERS.GOV.ZA</t>
        </is>
      </c>
      <c r="J181" t="inlineStr">
        <is>
          <t>Bela Bela Local Municipality</t>
        </is>
      </c>
      <c r="K181" t="inlineStr">
        <is>
          <t>Limpopo</t>
        </is>
      </c>
      <c r="L181" t="inlineStr">
        <is>
          <t>No</t>
        </is>
      </c>
      <c r="M181" t="inlineStr">
        <is>
          <t>Electricity, gas, steam and air conditioning</t>
        </is>
      </c>
      <c r="N181" t="inlineStr">
        <is>
          <t>No</t>
        </is>
      </c>
      <c r="O181" t="inlineStr">
        <is>
          <t>No</t>
        </is>
      </c>
      <c r="P181" t="inlineStr">
        <is>
          <t>N/A</t>
        </is>
      </c>
      <c r="Q181" s="3" t="inlineStr">
        <is>
          <t>https://www.etenders.gov.za/home/Download/?blobName=23054846-4d47-4c2a-8145-db6369dbb6b1.pdf&amp;downloadedFileName=2026-374_Bela%20Bela%20LM_31x5.pdf</t>
        </is>
      </c>
      <c r="R181" t="inlineStr"/>
      <c r="S181" t="inlineStr"/>
      <c r="T181" t="inlineStr"/>
      <c r="U181" t="inlineStr"/>
      <c r="V181" t="inlineStr"/>
    </row>
    <row r="182">
      <c r="A182" s="2" t="n">
        <v>46178</v>
      </c>
      <c r="B182" t="n">
        <v>35</v>
      </c>
      <c r="C182" t="inlineStr">
        <is>
          <t>EER-06-2026</t>
        </is>
      </c>
      <c r="D182" s="2" t="n">
        <v>46178</v>
      </c>
      <c r="E182" s="2" t="n">
        <v>46185</v>
      </c>
      <c r="F182" t="inlineStr">
        <is>
          <t>17:00</t>
        </is>
      </c>
      <c r="G182" t="inlineStr">
        <is>
          <t>Request for Proposal</t>
        </is>
      </c>
      <c r="H182" t="inlineStr">
        <is>
          <t>EERSTE SEEKS HEREBY INVITES SUITABLY QUALIFIED AND EXPERIENCED SERVICE PROVIDERS TO SUBMIT PROPOSALS FOR THE PROVISION OF JOB EVALUATION, JOB GRADING AND REMUNERATION BENCHMARKING SERVICES ACROSS IDENTIFIED POSITIONS WITHIN THE ORGANISATION</t>
        </is>
      </c>
      <c r="I182" t="inlineStr">
        <is>
          <t>ETENDERS.GOV.ZA</t>
        </is>
      </c>
      <c r="J182" t="inlineStr">
        <is>
          <t>Industrial Development Corporation of South Africa Limited</t>
        </is>
      </c>
      <c r="K182" t="inlineStr">
        <is>
          <t>KwaZulu-Natal</t>
        </is>
      </c>
      <c r="L182" t="inlineStr">
        <is>
          <t>No</t>
        </is>
      </c>
      <c r="M182" t="inlineStr">
        <is>
          <t>Employment activities</t>
        </is>
      </c>
      <c r="N182" t="inlineStr">
        <is>
          <t>No</t>
        </is>
      </c>
      <c r="O182" t="inlineStr">
        <is>
          <t>No</t>
        </is>
      </c>
      <c r="P182" t="inlineStr">
        <is>
          <t>1 ANDERSON ROAD,HAMMARSDALE</t>
        </is>
      </c>
      <c r="Q182" s="3" t="inlineStr">
        <is>
          <t>https://www.etenders.gov.za/home/Download/?blobName=67f2b75d-0f46-4874-b1fa-31e8bca35e03.pdf&amp;downloadedFileName=EERSTE%20TENDER%20DOCUMENT-%20HR%20SERVICES.pdf</t>
        </is>
      </c>
      <c r="R182" t="inlineStr"/>
      <c r="S182" t="inlineStr"/>
      <c r="T182" t="inlineStr"/>
      <c r="U182" t="inlineStr"/>
      <c r="V182" t="inlineStr"/>
    </row>
    <row r="183">
      <c r="A183" s="2" t="n">
        <v>46178</v>
      </c>
      <c r="B183" t="n">
        <v>34</v>
      </c>
      <c r="C183" t="inlineStr">
        <is>
          <t>NOTICE 2 OF 206</t>
        </is>
      </c>
      <c r="D183" s="2" t="n">
        <v>46178</v>
      </c>
      <c r="E183" s="2" t="n">
        <v>46188</v>
      </c>
      <c r="F183" t="inlineStr">
        <is>
          <t>11:00</t>
        </is>
      </c>
      <c r="G183" t="inlineStr">
        <is>
          <t>Request for Quotation</t>
        </is>
      </c>
      <c r="H183" t="inlineStr">
        <is>
          <t>SUPPLY, DELIVERY AND INSTALLATION OF OFFICE FURNITURE AND IT EQUIPMENT FOR THE DUNCAN VILLAGE WASTE MANAGEMENT PROGRAMME</t>
        </is>
      </c>
      <c r="I183" t="inlineStr">
        <is>
          <t>ETENDERS.GOV.ZA</t>
        </is>
      </c>
      <c r="J183" t="inlineStr">
        <is>
          <t>BUFFALO CITY METROPOLITAN DEVELOPMENT AGENCY</t>
        </is>
      </c>
      <c r="K183" t="inlineStr">
        <is>
          <t>Eastern Cape</t>
        </is>
      </c>
      <c r="L183" t="inlineStr">
        <is>
          <t>No</t>
        </is>
      </c>
      <c r="M183" t="inlineStr">
        <is>
          <t>Supplies: General</t>
        </is>
      </c>
      <c r="N183" t="inlineStr">
        <is>
          <t>No</t>
        </is>
      </c>
      <c r="O183" t="inlineStr">
        <is>
          <t>No</t>
        </is>
      </c>
      <c r="P183" t="inlineStr">
        <is>
          <t>N/A</t>
        </is>
      </c>
      <c r="Q183" s="3" t="inlineStr">
        <is>
          <t>https://www.etenders.gov.za/home/Download/?blobName=f8da6aa4-0fdc-4c07-b5fc-daced37c7461.pdf&amp;downloadedFileName=NOTICE%202%20OF%202026%20-%20SUPPLY,%20DELIVERY%20AND%20INSTALLATION%20OF%20OFFICE%20FURNITURE%20AND%20IT%20EQUIPMENT%20FOR%20THE%20DUNCAN%20VILLAGE%20WASTE%20MA.pdf</t>
        </is>
      </c>
      <c r="R183" t="inlineStr"/>
      <c r="S183" t="inlineStr"/>
      <c r="T183" t="inlineStr"/>
      <c r="U183" t="inlineStr"/>
      <c r="V183" t="inlineStr"/>
    </row>
    <row r="184">
      <c r="A184" s="2" t="n">
        <v>46178</v>
      </c>
      <c r="B184" t="n">
        <v>33</v>
      </c>
      <c r="C184" t="inlineStr">
        <is>
          <t>DCS08WP01-PH2-ISS-MAINT-CON02</t>
        </is>
      </c>
      <c r="D184" s="2" t="n">
        <v>46178</v>
      </c>
      <c r="E184" s="2" t="n">
        <v>46211</v>
      </c>
      <c r="F184" t="inlineStr">
        <is>
          <t>12:00</t>
        </is>
      </c>
      <c r="G184" t="inlineStr">
        <is>
          <t>Request for Bid(Open-Tender)</t>
        </is>
      </c>
      <c r="H184" t="inlineStr">
        <is>
          <t>TENDER FOR PROCUREMENT OF CONTRACTOR “36 MONTH CONTRACT: REPAIR, AND MAINTENANCE ON INTEGRATED SECURITY SYSTEMS (ISS)” AT: THE EMBONGWENI MAXIMUM CORRECTIONAL CENTRE, KOKSTAD MEDIUM B CORRECTIONAL CENTRE, NAPIERVILLE MEDIUM A CORRECTIONAL CENTRE, QALAKABUSHA CORRECTIONAL CENTRE, TSWELOPELE CORRECTIONAL CENTRE, STANDERTON CORRECTIONAL CENTRE, GQEBERHA NORTH END CORRECTIONAL CENTRE, TZANEEN CORRECTIONAL CENTRE</t>
        </is>
      </c>
      <c r="I184" t="inlineStr">
        <is>
          <t>ETENDERS.GOV.ZA</t>
        </is>
      </c>
      <c r="J184" t="inlineStr">
        <is>
          <t>Independent Development Trust</t>
        </is>
      </c>
      <c r="K184" t="inlineStr">
        <is>
          <t>National</t>
        </is>
      </c>
      <c r="L184" t="inlineStr">
        <is>
          <t>No</t>
        </is>
      </c>
      <c r="M184" t="inlineStr">
        <is>
          <t>Construction</t>
        </is>
      </c>
      <c r="N184" t="inlineStr">
        <is>
          <t>Yes</t>
        </is>
      </c>
      <c r="O184" t="inlineStr">
        <is>
          <t>Yes</t>
        </is>
      </c>
      <c r="P184" t="inlineStr">
        <is>
          <t>Qalakabusha Correctional Centre in KwaZulu Natal</t>
        </is>
      </c>
      <c r="Q184" s="3" t="inlineStr">
        <is>
          <t>https://www.etenders.gov.za/home/Download/?blobName=43b2b02c-8955-4329-862f-002e9493eba1.pdf&amp;downloadedFileName=Annexure%207%20-%20Uninterrupted_Power_Supply_specification.pdf</t>
        </is>
      </c>
      <c r="R184" t="inlineStr"/>
      <c r="S184" t="inlineStr"/>
      <c r="T184" t="inlineStr"/>
      <c r="U184" t="inlineStr"/>
      <c r="V184" t="inlineStr"/>
    </row>
    <row r="185">
      <c r="A185" s="2" t="n">
        <v>46178</v>
      </c>
      <c r="B185" t="n">
        <v>32</v>
      </c>
      <c r="C185" t="inlineStr">
        <is>
          <t>IHLM/112/2025-26/ROADS.</t>
        </is>
      </c>
      <c r="D185" s="2" t="n">
        <v>46178</v>
      </c>
      <c r="E185" s="2" t="n">
        <v>46211</v>
      </c>
      <c r="F185" t="inlineStr">
        <is>
          <t>12:00</t>
        </is>
      </c>
      <c r="G185" t="inlineStr">
        <is>
          <t>Request for Quotation</t>
        </is>
      </c>
      <c r="H185" t="inlineStr">
        <is>
          <t>ADDITIONAL PANEL OF CIVIL ENGINEERING CONTRACTORS FOR A PERIOD OF 29 MONTHS</t>
        </is>
      </c>
      <c r="I185" t="inlineStr">
        <is>
          <t>ETENDERS.GOV.ZA</t>
        </is>
      </c>
      <c r="J185" t="inlineStr">
        <is>
          <t>Ingquza Hill Local Municipality</t>
        </is>
      </c>
      <c r="K185" t="inlineStr">
        <is>
          <t>Eastern Cape</t>
        </is>
      </c>
      <c r="L185" t="inlineStr">
        <is>
          <t>No</t>
        </is>
      </c>
      <c r="M185" t="inlineStr">
        <is>
          <t>Services: General</t>
        </is>
      </c>
      <c r="N185" t="inlineStr">
        <is>
          <t>Yes</t>
        </is>
      </c>
      <c r="O185" t="inlineStr">
        <is>
          <t>Yes</t>
        </is>
      </c>
      <c r="P185" t="inlineStr">
        <is>
          <t>FLAGSTAFF TOWN HALL</t>
        </is>
      </c>
      <c r="Q185" s="3" t="inlineStr">
        <is>
          <t>https://www.etenders.gov.za/home/Download/?blobName=3d14913d-dfd0-482c-be71-f45ecc6443f6.pdf&amp;downloadedFileName=Tender%20Document%20Additional%20Panel%20of%20Contractors%20Civil%20Engineering%202025.pdf</t>
        </is>
      </c>
      <c r="R185" t="inlineStr"/>
      <c r="S185" t="inlineStr"/>
      <c r="T185" t="inlineStr"/>
      <c r="U185" t="inlineStr"/>
      <c r="V185" t="inlineStr"/>
    </row>
    <row r="186">
      <c r="A186" s="2" t="n">
        <v>46178</v>
      </c>
      <c r="B186" t="n">
        <v>31</v>
      </c>
      <c r="C186" t="inlineStr">
        <is>
          <t>9/3/1/428</t>
        </is>
      </c>
      <c r="D186" s="2" t="n">
        <v>46178</v>
      </c>
      <c r="E186" s="2" t="n">
        <v>46220</v>
      </c>
      <c r="F186" t="inlineStr">
        <is>
          <t>12:00</t>
        </is>
      </c>
      <c r="G186" t="inlineStr">
        <is>
          <t>Request for Bid(Open-Tender)</t>
        </is>
      </c>
      <c r="H186" t="inlineStr">
        <is>
          <t>PROVISION OF SHORT-TERM INSURANCE AND RISK SOLUTIONS SERVICES FOR THE PERIOD OF 36 MONTHS</t>
        </is>
      </c>
      <c r="I186" t="inlineStr">
        <is>
          <t>ETENDERS.GOV.ZA</t>
        </is>
      </c>
      <c r="J186" t="inlineStr">
        <is>
          <t>Bela Bela Local Municipality</t>
        </is>
      </c>
      <c r="K186" t="inlineStr">
        <is>
          <t>Limpopo</t>
        </is>
      </c>
      <c r="L186" t="inlineStr">
        <is>
          <t>No</t>
        </is>
      </c>
      <c r="M186" t="inlineStr">
        <is>
          <t>Insurance, reinsurance and pension funding, except compulsory social security</t>
        </is>
      </c>
      <c r="N186" t="inlineStr">
        <is>
          <t>No</t>
        </is>
      </c>
      <c r="O186" t="inlineStr">
        <is>
          <t>No</t>
        </is>
      </c>
      <c r="P186" t="inlineStr">
        <is>
          <t>N/A</t>
        </is>
      </c>
      <c r="Q186" s="3" t="inlineStr">
        <is>
          <t>https://www.etenders.gov.za/home/Download/?blobName=a7538df9-a1a2-4004-ae0c-95378f86ec7e.pdf&amp;downloadedFileName=2026-374_Bela%20Bela%20LM_31x5.pdf</t>
        </is>
      </c>
      <c r="R186" t="inlineStr"/>
      <c r="S186" t="inlineStr"/>
      <c r="T186" t="inlineStr"/>
      <c r="U186" t="inlineStr"/>
      <c r="V186" t="inlineStr"/>
    </row>
    <row r="187">
      <c r="A187" s="2" t="n">
        <v>46178</v>
      </c>
      <c r="B187" t="n">
        <v>30</v>
      </c>
      <c r="C187" t="inlineStr">
        <is>
          <t>IHLM/189/2025-26/ROADS</t>
        </is>
      </c>
      <c r="D187" s="2" t="n">
        <v>46178</v>
      </c>
      <c r="E187" s="2" t="n">
        <v>46220</v>
      </c>
      <c r="F187" t="inlineStr">
        <is>
          <t>12:00</t>
        </is>
      </c>
      <c r="G187" t="inlineStr">
        <is>
          <t>Request for Bid(Open-Tender)</t>
        </is>
      </c>
      <c r="H187" t="inlineStr">
        <is>
          <t>PANEL OF CONTRACTORS ELECTRICAL ENGINEERING SERVICES FOR A PERIOD OF 02 YEARS</t>
        </is>
      </c>
      <c r="I187" t="inlineStr">
        <is>
          <t>ETENDERS.GOV.ZA</t>
        </is>
      </c>
      <c r="J187" t="inlineStr">
        <is>
          <t>Ingquza Hill Local Municipality</t>
        </is>
      </c>
      <c r="K187" t="inlineStr">
        <is>
          <t>Eastern Cape</t>
        </is>
      </c>
      <c r="L187" t="inlineStr">
        <is>
          <t>No</t>
        </is>
      </c>
      <c r="M187" t="inlineStr">
        <is>
          <t>Services: Professional</t>
        </is>
      </c>
      <c r="N187" t="inlineStr">
        <is>
          <t>No</t>
        </is>
      </c>
      <c r="O187" t="inlineStr">
        <is>
          <t>No</t>
        </is>
      </c>
      <c r="P187" t="inlineStr">
        <is>
          <t>N/A</t>
        </is>
      </c>
      <c r="Q187" s="3" t="inlineStr">
        <is>
          <t>https://www.etenders.gov.za/home/Download/?blobName=21d91e3b-e9d0-4f1b-bae6-51c04c7c2fd3.pdf&amp;downloadedFileName=TENDER%20DOCUMENT%20FOR%20PANEL%20OF%20CONTRACTORS%20ELECTRICAL%20ENGINEERING%20SERVICES%20FOR%20A%20PERIOD%20OF%2002%20YEARS.pdf</t>
        </is>
      </c>
      <c r="R187" t="inlineStr"/>
      <c r="S187" t="inlineStr"/>
      <c r="T187" t="inlineStr"/>
      <c r="U187" t="inlineStr"/>
      <c r="V187" t="inlineStr"/>
    </row>
    <row r="188">
      <c r="A188" s="2" t="n">
        <v>46178</v>
      </c>
      <c r="B188" t="n">
        <v>29</v>
      </c>
      <c r="C188" t="inlineStr">
        <is>
          <t>T30-06-26</t>
        </is>
      </c>
      <c r="D188" s="2" t="n">
        <v>46178</v>
      </c>
      <c r="E188" s="2" t="n">
        <v>46198</v>
      </c>
      <c r="F188" t="inlineStr">
        <is>
          <t>11:00</t>
        </is>
      </c>
      <c r="G188" t="inlineStr">
        <is>
          <t>Request for Bid(Open-Tender)</t>
        </is>
      </c>
      <c r="H188" t="inlineStr">
        <is>
          <t>REQUEST FOR PROPOSAL (RFP) FOR THE APPOINTMENT OF A PANEL OF SERVICE PROVIDERS FOR LAND &amp; BUILDINGS VALUATIONS AND PLANT, EQUIPMENT &amp; MACHINERY VALUATIONS</t>
        </is>
      </c>
      <c r="I188" t="inlineStr">
        <is>
          <t>ETENDERS.GOV.ZA</t>
        </is>
      </c>
      <c r="J188" t="inlineStr">
        <is>
          <t>Industrial Development Corporation of South Africa Limited</t>
        </is>
      </c>
      <c r="K188" t="inlineStr">
        <is>
          <t>National</t>
        </is>
      </c>
      <c r="L188" t="inlineStr">
        <is>
          <t>No</t>
        </is>
      </c>
      <c r="M188" t="inlineStr">
        <is>
          <t>Services: Professional</t>
        </is>
      </c>
      <c r="N188" t="inlineStr">
        <is>
          <t>No</t>
        </is>
      </c>
      <c r="O188" t="inlineStr">
        <is>
          <t>No</t>
        </is>
      </c>
      <c r="P188" t="inlineStr">
        <is>
          <t>N/A</t>
        </is>
      </c>
      <c r="Q188" s="3" t="inlineStr">
        <is>
          <t>https://www.etenders.gov.za/home/Download/?blobName=7041b476-929a-4d6b-83c2-910c15cf1ed9.pdf&amp;downloadedFileName=T30-06-26%20Panel%20of%20Valuers.pdf</t>
        </is>
      </c>
      <c r="R188" t="inlineStr"/>
      <c r="S188" t="inlineStr"/>
      <c r="T188" t="inlineStr"/>
      <c r="U188" t="inlineStr"/>
      <c r="V188" t="inlineStr"/>
    </row>
    <row r="189">
      <c r="A189" s="2" t="n">
        <v>46178</v>
      </c>
      <c r="B189" t="n">
        <v>28</v>
      </c>
      <c r="C189" t="inlineStr">
        <is>
          <t>IHLM/190/2025-26/ROADS</t>
        </is>
      </c>
      <c r="D189" s="2" t="n">
        <v>46178</v>
      </c>
      <c r="E189" s="2" t="n">
        <v>46220</v>
      </c>
      <c r="F189" t="inlineStr">
        <is>
          <t>12:00</t>
        </is>
      </c>
      <c r="G189" t="inlineStr">
        <is>
          <t>Request for Bid(Open-Tender)</t>
        </is>
      </c>
      <c r="H189" t="inlineStr">
        <is>
          <t>PROVISION OF PROFESSIONAL SERVICES FOR ELECTRICAL ENGINEERING SERVICES TO INGQUZA HILL LOCAL MUNICIPALITY FOR A PERIOD 2 (TWO) YEARS.</t>
        </is>
      </c>
      <c r="I189" t="inlineStr">
        <is>
          <t>ETENDERS.GOV.ZA</t>
        </is>
      </c>
      <c r="J189" t="inlineStr">
        <is>
          <t>Ingquza Hill Local Municipality</t>
        </is>
      </c>
      <c r="K189" t="inlineStr">
        <is>
          <t>Eastern Cape</t>
        </is>
      </c>
      <c r="L189" t="inlineStr">
        <is>
          <t>No</t>
        </is>
      </c>
      <c r="M189" t="inlineStr">
        <is>
          <t>Services: Professional</t>
        </is>
      </c>
      <c r="N189" t="inlineStr">
        <is>
          <t>No</t>
        </is>
      </c>
      <c r="O189" t="inlineStr">
        <is>
          <t>No</t>
        </is>
      </c>
      <c r="P189" t="inlineStr">
        <is>
          <t>N/A</t>
        </is>
      </c>
      <c r="Q189" s="3" t="inlineStr">
        <is>
          <t>https://www.etenders.gov.za/home/Download/?blobName=21d1d81b-729b-49d8-913d-3231f3f4527a.pdf&amp;downloadedFileName=TENDER%20DOCUMENT%20FOR%20PROFESSIONAL%20SERVICES%20FOR%20ELECTRICAL%20ENGINEERING%20SERVICES%20TO%20INGQUZA%20HILL%20LOCAL%20MUNICIPALITY%20FOR%20A%20PERIOD%202%20(TWO)%20YEARS..pdf</t>
        </is>
      </c>
      <c r="R189" t="inlineStr"/>
      <c r="S189" t="inlineStr"/>
      <c r="T189" t="inlineStr"/>
      <c r="U189" t="inlineStr"/>
      <c r="V189" t="inlineStr"/>
    </row>
    <row r="190">
      <c r="A190" s="2" t="n">
        <v>46178</v>
      </c>
      <c r="B190" t="n">
        <v>27</v>
      </c>
      <c r="C190" t="inlineStr">
        <is>
          <t>IHLM/204/2025-26/MM's</t>
        </is>
      </c>
      <c r="D190" s="2" t="n">
        <v>46178</v>
      </c>
      <c r="E190" s="2" t="n">
        <v>46185</v>
      </c>
      <c r="F190" t="inlineStr">
        <is>
          <t>12:00</t>
        </is>
      </c>
      <c r="G190" t="inlineStr">
        <is>
          <t>Request for Quotation</t>
        </is>
      </c>
      <c r="H190" t="inlineStr">
        <is>
          <t>CATERING FOR 300 PEOPLE ATTENDING MAYORAL CUP FINAL EVENT</t>
        </is>
      </c>
      <c r="I190" t="inlineStr">
        <is>
          <t>ETENDERS.GOV.ZA</t>
        </is>
      </c>
      <c r="J190" t="inlineStr">
        <is>
          <t>Ingquza Hill Local Municipality</t>
        </is>
      </c>
      <c r="K190" t="inlineStr">
        <is>
          <t>Eastern Cape</t>
        </is>
      </c>
      <c r="L190" t="inlineStr">
        <is>
          <t>No</t>
        </is>
      </c>
      <c r="M190" t="inlineStr">
        <is>
          <t>Supplies: General</t>
        </is>
      </c>
      <c r="N190" t="inlineStr">
        <is>
          <t>No</t>
        </is>
      </c>
      <c r="O190" t="inlineStr">
        <is>
          <t>No</t>
        </is>
      </c>
      <c r="P190" t="inlineStr">
        <is>
          <t>N/A</t>
        </is>
      </c>
      <c r="Q190" s="3" t="inlineStr">
        <is>
          <t>https://www.etenders.gov.za/home/Download/?blobName=db93a7c0-894d-496e-9807-896f0377f3f1.pdf&amp;downloadedFileName=BID%20DOCUMENT%20FOR%20CATERING%20FOR%20300%20PEOPLE%20ATTENDING%20MAYORAL%20CUP%20FINAL%20EVENT.pdf</t>
        </is>
      </c>
      <c r="R190" t="inlineStr"/>
      <c r="S190" t="inlineStr"/>
      <c r="T190" t="inlineStr"/>
      <c r="U190" t="inlineStr"/>
      <c r="V190" t="inlineStr"/>
    </row>
    <row r="191">
      <c r="A191" s="2" t="n">
        <v>46179</v>
      </c>
      <c r="B191" t="n">
        <v>26</v>
      </c>
      <c r="C191" t="inlineStr">
        <is>
          <t>IEC/LG-04/2026</t>
        </is>
      </c>
      <c r="D191" s="2" t="n">
        <v>46179</v>
      </c>
      <c r="E191" s="2" t="n">
        <v>46206</v>
      </c>
      <c r="F191" t="inlineStr">
        <is>
          <t>11:00</t>
        </is>
      </c>
      <c r="G191" t="inlineStr">
        <is>
          <t>Request for Bid(Open-Tender)</t>
        </is>
      </c>
      <c r="H191" t="inlineStr">
        <is>
          <t>Ballot Paper Printing for LGE2026</t>
        </is>
      </c>
      <c r="I191" t="inlineStr">
        <is>
          <t>ETENDERS.GOV.ZA</t>
        </is>
      </c>
      <c r="J191" t="inlineStr">
        <is>
          <t>Electoral Commission (IEC)</t>
        </is>
      </c>
      <c r="K191" t="inlineStr">
        <is>
          <t>National</t>
        </is>
      </c>
      <c r="L191" t="inlineStr">
        <is>
          <t>No</t>
        </is>
      </c>
      <c r="M191" t="inlineStr">
        <is>
          <t>Printing and reproduction of recorded media</t>
        </is>
      </c>
      <c r="N191" t="inlineStr">
        <is>
          <t>Yes</t>
        </is>
      </c>
      <c r="O191" t="inlineStr">
        <is>
          <t>No</t>
        </is>
      </c>
      <c r="P191" t="inlineStr">
        <is>
          <t>Riverside Office Park,Election House, 1303 Heuwel Avenue, Centurion</t>
        </is>
      </c>
      <c r="Q191" s="3" t="inlineStr">
        <is>
          <t>https://www.etenders.gov.za/home/Download/?blobName=e2a7ef88-956f-4969-ac6b-1af7d8b681cc.pdf&amp;downloadedFileName=Tender%20Cover%20Page%20%20LG%2004%20Ballot%20Paper%20Printing.pdf</t>
        </is>
      </c>
      <c r="R191" t="inlineStr"/>
      <c r="S191" t="inlineStr"/>
      <c r="T191" t="inlineStr"/>
      <c r="U191" t="inlineStr"/>
      <c r="V191" t="inlineStr"/>
    </row>
    <row r="192">
      <c r="A192" s="2" t="n">
        <v>46179</v>
      </c>
      <c r="B192" t="n">
        <v>25</v>
      </c>
      <c r="C192" t="inlineStr">
        <is>
          <t>MLM/W/W1/P2/26-27</t>
        </is>
      </c>
      <c r="D192" s="2" t="n">
        <v>46179</v>
      </c>
      <c r="E192" s="2" t="n">
        <v>46211</v>
      </c>
      <c r="F192" t="inlineStr">
        <is>
          <t>12:00</t>
        </is>
      </c>
      <c r="G192" t="inlineStr">
        <is>
          <t>Request for Bid(Open-Tender)</t>
        </is>
      </c>
      <c r="H192" t="inlineStr">
        <is>
          <t>RUIGTESLOOT VILLAGE WATER RETICULATION AND YARD CONNECTIONS PHASE 2</t>
        </is>
      </c>
      <c r="I192" t="inlineStr">
        <is>
          <t>ETENDERS.GOV.ZA</t>
        </is>
      </c>
      <c r="J192" t="inlineStr">
        <is>
          <t>Moretele Local Municipality</t>
        </is>
      </c>
      <c r="K192" t="inlineStr">
        <is>
          <t>North West</t>
        </is>
      </c>
      <c r="L192" t="inlineStr">
        <is>
          <t>No</t>
        </is>
      </c>
      <c r="M192" t="inlineStr">
        <is>
          <t>Other service activities</t>
        </is>
      </c>
      <c r="N192" t="inlineStr">
        <is>
          <t>Yes</t>
        </is>
      </c>
      <c r="O192" t="inlineStr">
        <is>
          <t>Yes</t>
        </is>
      </c>
      <c r="P192" t="inlineStr">
        <is>
          <t>MUNICIPAL HALL</t>
        </is>
      </c>
      <c r="Q192" s="3" t="inlineStr">
        <is>
          <t>https://www.etenders.gov.za/home/Download/?blobName=b5b82685-ef89-4966-844b-8db77ebc754e.pdf&amp;downloadedFileName=WARD%201%20-%20RUGTESLOOT.pdf</t>
        </is>
      </c>
      <c r="R192" t="inlineStr"/>
      <c r="S192" t="inlineStr"/>
      <c r="T192" t="inlineStr"/>
      <c r="U192" t="inlineStr"/>
      <c r="V192" t="inlineStr"/>
    </row>
    <row r="193">
      <c r="A193" s="2" t="n">
        <v>46179</v>
      </c>
      <c r="B193" t="n">
        <v>24</v>
      </c>
      <c r="C193" t="inlineStr">
        <is>
          <t>RE-EWCBID04/2026</t>
        </is>
      </c>
      <c r="D193" s="2" t="n">
        <v>46179</v>
      </c>
      <c r="E193" s="2" t="n">
        <v>46202</v>
      </c>
      <c r="F193" t="inlineStr">
        <is>
          <t>11:00</t>
        </is>
      </c>
      <c r="G193" t="inlineStr">
        <is>
          <t>Request for Bid(Open-Tender)</t>
        </is>
      </c>
      <c r="H193" t="inlineStr">
        <is>
          <t>PROVISION OF STAFF AND STUDENT WELLNESS SERVICES AT EKURHULENI WES TVET COLLEGE FOR A PERIOD OF THIRTY-SIX (36) MONTHS.</t>
        </is>
      </c>
      <c r="I193" t="inlineStr">
        <is>
          <t>ETENDERS.GOV.ZA</t>
        </is>
      </c>
      <c r="J193" t="inlineStr">
        <is>
          <t>Ekurhuleni West TVET College</t>
        </is>
      </c>
      <c r="K193" t="inlineStr">
        <is>
          <t>Gauteng</t>
        </is>
      </c>
      <c r="L193" t="inlineStr">
        <is>
          <t>No</t>
        </is>
      </c>
      <c r="M193" t="inlineStr">
        <is>
          <t>Employment activities</t>
        </is>
      </c>
      <c r="N193" t="inlineStr">
        <is>
          <t>No</t>
        </is>
      </c>
      <c r="O193" t="inlineStr">
        <is>
          <t>No</t>
        </is>
      </c>
      <c r="P193" t="inlineStr">
        <is>
          <t>N/A</t>
        </is>
      </c>
      <c r="Q193" s="3" t="inlineStr">
        <is>
          <t>https://www.etenders.gov.za/home/Download/?blobName=02d767f0-15df-4562-8a78-1c048c5370c2.pdf&amp;downloadedFileName=Advert.pdf</t>
        </is>
      </c>
      <c r="R193" t="inlineStr"/>
      <c r="S193" t="inlineStr"/>
      <c r="T193" t="inlineStr"/>
      <c r="U193" t="inlineStr"/>
      <c r="V193" t="inlineStr"/>
    </row>
    <row r="194">
      <c r="A194" s="2" t="n">
        <v>46179</v>
      </c>
      <c r="B194" t="n">
        <v>23</v>
      </c>
      <c r="C194" t="inlineStr">
        <is>
          <t>SACREMS2026/27</t>
        </is>
      </c>
      <c r="D194" s="2" t="n">
        <v>46179</v>
      </c>
      <c r="E194" s="2" t="n">
        <v>46199</v>
      </c>
      <c r="F194" t="inlineStr">
        <is>
          <t>11:00</t>
        </is>
      </c>
      <c r="G194" t="inlineStr">
        <is>
          <t>Request for Bid(Open-Tender)</t>
        </is>
      </c>
      <c r="H194" t="inlineStr">
        <is>
          <t>APPOINTMENT OF EVENTS MANAGEMENT SERVICE PROVIDERS TO BE ON PANEL OF THE DEPARTMENT OF SPORT, ARTS, CULTURE AND RECREATION FOR A PERIOD OF THIRTY - SIX (36) MONTHS</t>
        </is>
      </c>
      <c r="I194" t="inlineStr">
        <is>
          <t>ETENDERS.GOV.ZA</t>
        </is>
      </c>
      <c r="J194" t="inlineStr">
        <is>
          <t>Free State - Sport Arts Culture &amp; Recreation</t>
        </is>
      </c>
      <c r="K194" t="inlineStr">
        <is>
          <t>Free State</t>
        </is>
      </c>
      <c r="L194" t="inlineStr">
        <is>
          <t>No</t>
        </is>
      </c>
      <c r="M194" t="inlineStr">
        <is>
          <t>Services: Professional</t>
        </is>
      </c>
      <c r="N194" t="inlineStr">
        <is>
          <t>Yes</t>
        </is>
      </c>
      <c r="O194" t="inlineStr">
        <is>
          <t>Yes</t>
        </is>
      </c>
      <c r="P194" t="inlineStr">
        <is>
          <t>Free State Sport Institute (Psychiatric Hospital), Bloemfontein, One person per company or entity</t>
        </is>
      </c>
      <c r="Q194" s="3" t="inlineStr">
        <is>
          <t>https://www.etenders.gov.za/home/Download/?blobName=e21c4054-7381-4d18-bff9-af7389fbfb72.pdf&amp;downloadedFileName=BID%20FOR%20EVENT%20MANAGEMENT%20SERVICES%20FOR%20A%20THREE-YEAR%20(36%20MONTHS)%20DURATION%20SACREMS202627.pdf</t>
        </is>
      </c>
      <c r="R194" t="inlineStr"/>
      <c r="S194" t="inlineStr"/>
      <c r="T194" t="inlineStr"/>
      <c r="U194" t="inlineStr"/>
      <c r="V194" t="inlineStr"/>
    </row>
    <row r="195">
      <c r="A195" s="2" t="n">
        <v>46179</v>
      </c>
      <c r="B195" t="n">
        <v>22</v>
      </c>
      <c r="C195" t="inlineStr">
        <is>
          <t>SCMU3-25/26-0140-FRE</t>
        </is>
      </c>
      <c r="D195" s="2" t="n">
        <v>46179</v>
      </c>
      <c r="E195" s="2" t="n">
        <v>46188</v>
      </c>
      <c r="F195" t="inlineStr">
        <is>
          <t>11:00</t>
        </is>
      </c>
      <c r="G195" t="inlineStr">
        <is>
          <t>Request for Quotation</t>
        </is>
      </c>
      <c r="H195" t="inlineStr">
        <is>
          <t>Supply and Delivery of Patient Green Folders - Details on the RFQ document as advertised/uploaded on CSD and this platform for broader access to suppliers.</t>
        </is>
      </c>
      <c r="I195" t="inlineStr">
        <is>
          <t>ETENDERS.GOV.ZA</t>
        </is>
      </c>
      <c r="J195" t="inlineStr">
        <is>
          <t>Eastern Cape - Health</t>
        </is>
      </c>
      <c r="K195" t="inlineStr">
        <is>
          <t>Eastern Cape</t>
        </is>
      </c>
      <c r="L195" t="inlineStr">
        <is>
          <t>No</t>
        </is>
      </c>
      <c r="M195" t="inlineStr">
        <is>
          <t>Supplies: Stationery/Printing</t>
        </is>
      </c>
      <c r="N195" t="inlineStr">
        <is>
          <t>No</t>
        </is>
      </c>
      <c r="O195" t="inlineStr">
        <is>
          <t>No</t>
        </is>
      </c>
      <c r="P195" t="inlineStr">
        <is>
          <t>N/A</t>
        </is>
      </c>
      <c r="Q195" s="3" t="inlineStr">
        <is>
          <t>https://www.etenders.gov.za/home/Download/?blobName=8493341e-5026-4bcf-9302-bd89d31f4c55.pdf&amp;downloadedFileName=RFQ_Green_Patient_Folders.pdf</t>
        </is>
      </c>
      <c r="R195" t="inlineStr"/>
      <c r="S195" t="inlineStr"/>
      <c r="T195" t="inlineStr"/>
      <c r="U195" t="inlineStr"/>
      <c r="V195" t="inlineStr"/>
    </row>
    <row r="196">
      <c r="A196" s="2" t="n">
        <v>46179</v>
      </c>
      <c r="B196" t="n">
        <v>21</v>
      </c>
      <c r="C196" t="inlineStr">
        <is>
          <t>SCMU3-25/26-0205-FRE</t>
        </is>
      </c>
      <c r="D196" s="2" t="n">
        <v>46179</v>
      </c>
      <c r="E196" s="2" t="n">
        <v>46188</v>
      </c>
      <c r="F196" t="inlineStr">
        <is>
          <t>11:00</t>
        </is>
      </c>
      <c r="G196" t="inlineStr">
        <is>
          <t>Request for Quotation</t>
        </is>
      </c>
      <c r="H196" t="inlineStr">
        <is>
          <t>Repairs/maintenance of flooring to Frere Hospital - refer to the RFQ document attached</t>
        </is>
      </c>
      <c r="I196" t="inlineStr">
        <is>
          <t>ETENDERS.GOV.ZA</t>
        </is>
      </c>
      <c r="J196" t="inlineStr">
        <is>
          <t>Eastern Cape - Health</t>
        </is>
      </c>
      <c r="K196" t="inlineStr">
        <is>
          <t>Eastern Cape</t>
        </is>
      </c>
      <c r="L196" t="inlineStr">
        <is>
          <t>No</t>
        </is>
      </c>
      <c r="M196" t="inlineStr">
        <is>
          <t>Residential care activities</t>
        </is>
      </c>
      <c r="N196" t="inlineStr">
        <is>
          <t>No</t>
        </is>
      </c>
      <c r="O196" t="inlineStr">
        <is>
          <t>No</t>
        </is>
      </c>
      <c r="P196" t="inlineStr">
        <is>
          <t>N/A</t>
        </is>
      </c>
      <c r="Q196" s="3" t="inlineStr">
        <is>
          <t>https://www.etenders.gov.za/home/Download/?blobName=eeae33bc-312f-48ae-bbce-6db1045374fb.pdf&amp;downloadedFileName=RFQ_Flooring.pdf</t>
        </is>
      </c>
      <c r="R196" t="inlineStr"/>
      <c r="S196" t="inlineStr"/>
      <c r="T196" t="inlineStr"/>
      <c r="U196" t="inlineStr"/>
      <c r="V196" t="inlineStr"/>
    </row>
    <row r="197">
      <c r="A197" s="2" t="n">
        <v>46179</v>
      </c>
      <c r="B197" t="n">
        <v>20</v>
      </c>
      <c r="C197" t="inlineStr">
        <is>
          <t>WMM LM 00099 MDP</t>
        </is>
      </c>
      <c r="D197" s="2" t="n">
        <v>46179</v>
      </c>
      <c r="E197" s="2" t="n">
        <v>46209</v>
      </c>
      <c r="F197" t="inlineStr">
        <is>
          <t>12:00</t>
        </is>
      </c>
      <c r="G197" t="inlineStr">
        <is>
          <t>Request for Bid(Open-Tender)</t>
        </is>
      </c>
      <c r="H197" t="inlineStr">
        <is>
          <t>Multi discipline Panel of Consultants for a period of 3 years</t>
        </is>
      </c>
      <c r="I197" t="inlineStr">
        <is>
          <t>ETENDERS.GOV.ZA</t>
        </is>
      </c>
      <c r="J197" t="inlineStr">
        <is>
          <t>Winnie Madikizela-Mandela Local Municipality</t>
        </is>
      </c>
      <c r="K197" t="inlineStr">
        <is>
          <t>Eastern Cape</t>
        </is>
      </c>
      <c r="L197" t="inlineStr">
        <is>
          <t>No</t>
        </is>
      </c>
      <c r="M197" t="inlineStr">
        <is>
          <t>Activities of head offices; management consultancy activities</t>
        </is>
      </c>
      <c r="N197" t="inlineStr">
        <is>
          <t>No</t>
        </is>
      </c>
      <c r="O197" t="inlineStr">
        <is>
          <t>No</t>
        </is>
      </c>
      <c r="P197" t="inlineStr">
        <is>
          <t>N/A</t>
        </is>
      </c>
      <c r="Q197" s="3" t="inlineStr">
        <is>
          <t>https://www.etenders.gov.za/home/Download/?blobName=e13cc066-7db4-4195-a9af-24b4c5185372.pdf&amp;downloadedFileName=Multi%20discipline%20Panel%20of%20Consultants%20Bid%20Document%20Engineering%202026-Final.pdf</t>
        </is>
      </c>
      <c r="R197" t="inlineStr"/>
      <c r="S197" t="inlineStr"/>
      <c r="T197" t="inlineStr"/>
      <c r="U197" t="inlineStr"/>
      <c r="V197" t="inlineStr"/>
    </row>
    <row r="198">
      <c r="A198" s="2" t="n">
        <v>46179</v>
      </c>
      <c r="B198" t="n">
        <v>19</v>
      </c>
      <c r="C198" t="inlineStr">
        <is>
          <t>WMM LM 000104</t>
        </is>
      </c>
      <c r="D198" s="2" t="n">
        <v>46179</v>
      </c>
      <c r="E198" s="2" t="n">
        <v>46212</v>
      </c>
      <c r="F198" t="inlineStr">
        <is>
          <t>11:00</t>
        </is>
      </c>
      <c r="G198" t="inlineStr">
        <is>
          <t>Request for Bid(Open-Tender)</t>
        </is>
      </c>
      <c r="H198" t="inlineStr">
        <is>
          <t>Panel for Upgrading Surfaced Roads, Sidewalks and Stormwater for 18 Months</t>
        </is>
      </c>
      <c r="I198" t="inlineStr">
        <is>
          <t>ETENDERS.GOV.ZA</t>
        </is>
      </c>
      <c r="J198" t="inlineStr">
        <is>
          <t>Winnie Madikizela-Mandela Local Municipality</t>
        </is>
      </c>
      <c r="K198" t="inlineStr">
        <is>
          <t>Eastern Cape</t>
        </is>
      </c>
      <c r="L198" t="inlineStr">
        <is>
          <t>No</t>
        </is>
      </c>
      <c r="M198" t="inlineStr">
        <is>
          <t>Construction</t>
        </is>
      </c>
      <c r="N198" t="inlineStr">
        <is>
          <t>No</t>
        </is>
      </c>
      <c r="O198" t="inlineStr">
        <is>
          <t>No</t>
        </is>
      </c>
      <c r="P198" t="inlineStr">
        <is>
          <t>N/A</t>
        </is>
      </c>
      <c r="Q198" s="3" t="inlineStr">
        <is>
          <t>https://www.etenders.gov.za/home/Download/?blobName=08ce5afc-173d-427b-9bde-fa1378810971.pdf&amp;downloadedFileName=Panel%20for%20%20Surfaced%20RoadsSidewalks%20and%20Stormwater%20in%20the%20CBD%20for%20a%20Period%20of%2018%20Months.pdf</t>
        </is>
      </c>
      <c r="R198" t="inlineStr"/>
      <c r="S198" t="inlineStr"/>
      <c r="T198" t="inlineStr"/>
      <c r="U198" t="inlineStr"/>
      <c r="V198" t="inlineStr"/>
    </row>
    <row r="199">
      <c r="A199" s="2" t="n">
        <v>46179</v>
      </c>
      <c r="B199" t="n">
        <v>18</v>
      </c>
      <c r="C199" t="inlineStr">
        <is>
          <t>SCMU3-25/26-0202-FRE</t>
        </is>
      </c>
      <c r="D199" s="2" t="n">
        <v>46179</v>
      </c>
      <c r="E199" s="2" t="n">
        <v>46188</v>
      </c>
      <c r="F199" t="inlineStr">
        <is>
          <t>11:00</t>
        </is>
      </c>
      <c r="G199" t="inlineStr">
        <is>
          <t>Request for Quotation</t>
        </is>
      </c>
      <c r="H199" t="inlineStr">
        <is>
          <t>Earth Burial Activities - Refer to the attached RFQ Document and respond accordingly</t>
        </is>
      </c>
      <c r="I199" t="inlineStr">
        <is>
          <t>ETENDERS.GOV.ZA</t>
        </is>
      </c>
      <c r="J199" t="inlineStr">
        <is>
          <t>Eastern Cape - Health</t>
        </is>
      </c>
      <c r="K199" t="inlineStr">
        <is>
          <t>Eastern Cape</t>
        </is>
      </c>
      <c r="L199" t="inlineStr">
        <is>
          <t>No</t>
        </is>
      </c>
      <c r="M199" t="inlineStr">
        <is>
          <t>Other service activities</t>
        </is>
      </c>
      <c r="N199" t="inlineStr">
        <is>
          <t>No</t>
        </is>
      </c>
      <c r="O199" t="inlineStr">
        <is>
          <t>No</t>
        </is>
      </c>
      <c r="P199" t="inlineStr">
        <is>
          <t>N/A</t>
        </is>
      </c>
      <c r="Q199" s="3" t="inlineStr">
        <is>
          <t>https://www.etenders.gov.za/home/Download/?blobName=a0d63a03-69f8-425d-b2f4-1094ddeaab52.pdf&amp;downloadedFileName=RFQ_Earth_Burial_Services.pdf</t>
        </is>
      </c>
      <c r="R199" t="inlineStr"/>
      <c r="S199" t="inlineStr"/>
      <c r="T199" t="inlineStr"/>
      <c r="U199" t="inlineStr"/>
      <c r="V199" t="inlineStr"/>
    </row>
    <row r="200">
      <c r="A200" s="2" t="n">
        <v>46179</v>
      </c>
      <c r="B200" t="n">
        <v>17</v>
      </c>
      <c r="C200" t="inlineStr">
        <is>
          <t>SCMU3-25/26-0190-FRE</t>
        </is>
      </c>
      <c r="D200" s="2" t="n">
        <v>46179</v>
      </c>
      <c r="E200" s="2" t="n">
        <v>46188</v>
      </c>
      <c r="F200" t="inlineStr">
        <is>
          <t>11:00</t>
        </is>
      </c>
      <c r="G200" t="inlineStr">
        <is>
          <t>Request for Quotation</t>
        </is>
      </c>
      <c r="H200" t="inlineStr">
        <is>
          <t>Supply and delivery of Cutlery and Crockery as stated in the RFQ Document</t>
        </is>
      </c>
      <c r="I200" t="inlineStr">
        <is>
          <t>ETENDERS.GOV.ZA</t>
        </is>
      </c>
      <c r="J200" t="inlineStr">
        <is>
          <t>Eastern Cape - Health</t>
        </is>
      </c>
      <c r="K200" t="inlineStr">
        <is>
          <t>Eastern Cape</t>
        </is>
      </c>
      <c r="L200" t="inlineStr">
        <is>
          <t>No</t>
        </is>
      </c>
      <c r="M200" t="inlineStr">
        <is>
          <t>Supplies: General</t>
        </is>
      </c>
      <c r="N200" t="inlineStr">
        <is>
          <t>No</t>
        </is>
      </c>
      <c r="O200" t="inlineStr">
        <is>
          <t>No</t>
        </is>
      </c>
      <c r="P200" t="inlineStr">
        <is>
          <t>N/A</t>
        </is>
      </c>
      <c r="Q200" s="3" t="inlineStr">
        <is>
          <t>https://www.etenders.gov.za/home/Download/?blobName=52c4fd8b-649d-40d7-96ca-6e9d27264655.pdf&amp;downloadedFileName=RFQ_CUTLERY_CROCKERY.pdf</t>
        </is>
      </c>
      <c r="R200" t="inlineStr"/>
      <c r="S200" t="inlineStr"/>
      <c r="T200" t="inlineStr"/>
      <c r="U200" t="inlineStr"/>
      <c r="V200" t="inlineStr"/>
    </row>
    <row r="201">
      <c r="A201" s="2" t="n">
        <v>46179</v>
      </c>
      <c r="B201" t="n">
        <v>16</v>
      </c>
      <c r="C201" t="inlineStr">
        <is>
          <t>(RFQ NO. 012-26)</t>
        </is>
      </c>
      <c r="D201" s="2" t="n">
        <v>46179</v>
      </c>
      <c r="E201" s="2" t="n">
        <v>46185</v>
      </c>
      <c r="F201" t="inlineStr">
        <is>
          <t>11:00</t>
        </is>
      </c>
      <c r="G201" t="inlineStr">
        <is>
          <t>Request for Quotation</t>
        </is>
      </c>
      <c r="H201" t="inlineStr">
        <is>
          <t>APPOINTMENT OF SERVICE PROVIDER TO PROVIDE 24 HOURS FRAUD AND CORRUPTION HOTLINE SERVICES TO NATIONAL REGULATOR FOR COMPULSORY SPECIFICATIONS FOR PERIOD OF 36 MONTHS</t>
        </is>
      </c>
      <c r="I201" t="inlineStr">
        <is>
          <t>ETENDERS.GOV.ZA</t>
        </is>
      </c>
      <c r="J201" t="inlineStr">
        <is>
          <t>National Regulator for Compulsory Specifications</t>
        </is>
      </c>
      <c r="K201" t="inlineStr">
        <is>
          <t>Gauteng</t>
        </is>
      </c>
      <c r="L201" t="inlineStr">
        <is>
          <t>No</t>
        </is>
      </c>
      <c r="M201" t="inlineStr">
        <is>
          <t>Services: Professional</t>
        </is>
      </c>
      <c r="N201" t="inlineStr">
        <is>
          <t>No</t>
        </is>
      </c>
      <c r="O201" t="inlineStr">
        <is>
          <t>No</t>
        </is>
      </c>
      <c r="P201" t="inlineStr">
        <is>
          <t>N/A</t>
        </is>
      </c>
      <c r="Q201" s="3" t="inlineStr">
        <is>
          <t>https://www.etenders.gov.za/home/Download/?blobName=d7e8e857-91a3-47d0-a0ad-418da8aa8702.pdf&amp;downloadedFileName=RFQ%20012-26%20-%20Fraud%20hotline.pdf</t>
        </is>
      </c>
      <c r="R201" t="inlineStr"/>
      <c r="S201" t="inlineStr"/>
      <c r="T201" t="inlineStr"/>
      <c r="U201" t="inlineStr"/>
      <c r="V201" t="inlineStr"/>
    </row>
    <row r="202">
      <c r="A202" s="2" t="n">
        <v>46179</v>
      </c>
      <c r="B202" t="n">
        <v>15</v>
      </c>
      <c r="C202" t="inlineStr">
        <is>
          <t>SCMU3-25/26-0192-FRE</t>
        </is>
      </c>
      <c r="D202" s="2" t="n">
        <v>46179</v>
      </c>
      <c r="E202" s="2" t="n">
        <v>46188</v>
      </c>
      <c r="F202" t="inlineStr">
        <is>
          <t>11:00</t>
        </is>
      </c>
      <c r="G202" t="inlineStr">
        <is>
          <t>Request for Quotation</t>
        </is>
      </c>
      <c r="H202" t="inlineStr">
        <is>
          <t>Supply and Delivery of Kitchen Utensils - Details on the RFQ document as advertised/uploaded on CSD and this platform for broader access to suppliers.</t>
        </is>
      </c>
      <c r="I202" t="inlineStr">
        <is>
          <t>ETENDERS.GOV.ZA</t>
        </is>
      </c>
      <c r="J202" t="inlineStr">
        <is>
          <t>Eastern Cape - Health</t>
        </is>
      </c>
      <c r="K202" t="inlineStr">
        <is>
          <t>Eastern Cape</t>
        </is>
      </c>
      <c r="L202" t="inlineStr">
        <is>
          <t>No</t>
        </is>
      </c>
      <c r="M202" t="inlineStr">
        <is>
          <t>Supplies: General</t>
        </is>
      </c>
      <c r="N202" t="inlineStr">
        <is>
          <t>No</t>
        </is>
      </c>
      <c r="O202" t="inlineStr">
        <is>
          <t>No</t>
        </is>
      </c>
      <c r="P202" t="inlineStr">
        <is>
          <t>N/A</t>
        </is>
      </c>
      <c r="Q202" s="3" t="inlineStr">
        <is>
          <t>https://www.etenders.gov.za/home/Download/?blobName=ee640fbe-abc5-4d8a-b03a-76d421b91066.pdf&amp;downloadedFileName=RFQ_KITCHEN_UTENSILS.pdf</t>
        </is>
      </c>
      <c r="R202" t="inlineStr"/>
      <c r="S202" t="inlineStr"/>
      <c r="T202" t="inlineStr"/>
      <c r="U202" t="inlineStr"/>
      <c r="V202" t="inlineStr"/>
    </row>
    <row r="203">
      <c r="A203" s="2" t="n">
        <v>46179</v>
      </c>
      <c r="B203" t="n">
        <v>14</v>
      </c>
      <c r="C203" t="inlineStr">
        <is>
          <t>WMMLM 00071</t>
        </is>
      </c>
      <c r="D203" s="2" t="n">
        <v>46179</v>
      </c>
      <c r="E203" s="2" t="n">
        <v>46195</v>
      </c>
      <c r="F203" t="inlineStr">
        <is>
          <t>12:00</t>
        </is>
      </c>
      <c r="G203" t="inlineStr">
        <is>
          <t>Request for Bid(Open-Tender)</t>
        </is>
      </c>
      <c r="H203" t="inlineStr">
        <is>
          <t>Construction of 05 Ablution Facilities and DLTC Building Refurbishment</t>
        </is>
      </c>
      <c r="I203" t="inlineStr">
        <is>
          <t>ETENDERS.GOV.ZA</t>
        </is>
      </c>
      <c r="J203" t="inlineStr">
        <is>
          <t>Winnie Madikizela-Mandela Local Municipality</t>
        </is>
      </c>
      <c r="K203" t="inlineStr">
        <is>
          <t>Eastern Cape</t>
        </is>
      </c>
      <c r="L203" t="inlineStr">
        <is>
          <t>No</t>
        </is>
      </c>
      <c r="M203" t="inlineStr">
        <is>
          <t>Construction</t>
        </is>
      </c>
      <c r="N203" t="inlineStr">
        <is>
          <t>No</t>
        </is>
      </c>
      <c r="O203" t="inlineStr">
        <is>
          <t>No</t>
        </is>
      </c>
      <c r="P203" t="inlineStr">
        <is>
          <t>N/A</t>
        </is>
      </c>
      <c r="Q203" s="3" t="inlineStr">
        <is>
          <t>https://www.etenders.gov.za/home/Download/?blobName=586c4da1-d049-4b7b-94ce-2c045e9285a3.pdf&amp;downloadedFileName=COMBINED%20BOQ%202%203%20(1).pdf</t>
        </is>
      </c>
      <c r="R203" t="inlineStr"/>
      <c r="S203" t="inlineStr"/>
      <c r="T203" t="inlineStr"/>
      <c r="U203" t="inlineStr"/>
      <c r="V203" t="inlineStr"/>
    </row>
    <row r="204">
      <c r="A204" s="2" t="n">
        <v>46179</v>
      </c>
      <c r="B204" t="n">
        <v>13</v>
      </c>
      <c r="C204" t="inlineStr">
        <is>
          <t>WMM LM000102</t>
        </is>
      </c>
      <c r="D204" s="2" t="n">
        <v>46179</v>
      </c>
      <c r="E204" s="2" t="n">
        <v>46181</v>
      </c>
      <c r="F204" t="inlineStr">
        <is>
          <t>12:00</t>
        </is>
      </c>
      <c r="G204" t="inlineStr">
        <is>
          <t>Request for Bid(Open-Tender)</t>
        </is>
      </c>
      <c r="H204" t="inlineStr">
        <is>
          <t>Panel of Maintenance of Roads for a period of 18 Months</t>
        </is>
      </c>
      <c r="I204" t="inlineStr">
        <is>
          <t>ETENDERS.GOV.ZA</t>
        </is>
      </c>
      <c r="J204" t="inlineStr">
        <is>
          <t>Winnie Madikizela-Mandela Local Municipality</t>
        </is>
      </c>
      <c r="K204" t="inlineStr">
        <is>
          <t>Eastern Cape</t>
        </is>
      </c>
      <c r="L204" t="inlineStr">
        <is>
          <t>No</t>
        </is>
      </c>
      <c r="M204" t="inlineStr">
        <is>
          <t>Construction</t>
        </is>
      </c>
      <c r="N204" t="inlineStr">
        <is>
          <t>No</t>
        </is>
      </c>
      <c r="O204" t="inlineStr">
        <is>
          <t>No</t>
        </is>
      </c>
      <c r="P204" t="inlineStr">
        <is>
          <t>N/A</t>
        </is>
      </c>
      <c r="Q204" s="3" t="inlineStr">
        <is>
          <t>https://www.etenders.gov.za/home/Download/?blobName=cc2920e9-1025-498e-bedf-380e65d80240.pdf&amp;downloadedFileName=18%20months%20contract%20for%20maintanance%202026-Final.pdf</t>
        </is>
      </c>
      <c r="R204" t="inlineStr"/>
      <c r="S204" t="inlineStr"/>
      <c r="T204" t="inlineStr"/>
      <c r="U204" t="inlineStr"/>
      <c r="V204" t="inlineStr"/>
    </row>
    <row r="205">
      <c r="A205" s="2" t="n">
        <v>46179</v>
      </c>
      <c r="B205" t="n">
        <v>12</v>
      </c>
      <c r="C205" t="inlineStr">
        <is>
          <t>DPWFS (RFP) 008/2026</t>
        </is>
      </c>
      <c r="D205" s="2" t="n">
        <v>46179</v>
      </c>
      <c r="E205" s="2" t="n">
        <v>46209</v>
      </c>
      <c r="F205" t="inlineStr">
        <is>
          <t>11:00</t>
        </is>
      </c>
      <c r="G205" t="inlineStr">
        <is>
          <t>Request for Proposal</t>
        </is>
      </c>
      <c r="H205" t="inlineStr">
        <is>
          <t>REQUEST FOR PROPOSAL (RFP) TO INVITE BIDDERS TO SUBMIT PRICED OFFERS FOR THE LEASE 295m² OFFICE ACCOMMODATION WITH 10 COVERED PARKING BAYS ONSITE OR IN CLOSE PROXIMITY OF THE BUILDING, WITHIN TROMPSBURG CBD, KOPANONG LOCAL MUNICIPALITY.</t>
        </is>
      </c>
      <c r="I205" t="inlineStr">
        <is>
          <t>ETENDERS.GOV.ZA</t>
        </is>
      </c>
      <c r="J205" t="inlineStr">
        <is>
          <t>Free State - Public Works</t>
        </is>
      </c>
      <c r="K205" t="inlineStr">
        <is>
          <t>Free State</t>
        </is>
      </c>
      <c r="L205" t="inlineStr">
        <is>
          <t>No</t>
        </is>
      </c>
      <c r="M205" t="inlineStr">
        <is>
          <t>Accommodation</t>
        </is>
      </c>
      <c r="N205" t="inlineStr">
        <is>
          <t>Yes</t>
        </is>
      </c>
      <c r="O205" t="inlineStr">
        <is>
          <t>Yes</t>
        </is>
      </c>
      <c r="P205" t="inlineStr">
        <is>
          <t>MS Teams https://teams.microsoft.com/meet/364709107430706?p=P5rvD1blFS89uK4BXV Meeting ID: 364 70</t>
        </is>
      </c>
      <c r="Q205" s="3" t="inlineStr">
        <is>
          <t>https://www.etenders.gov.za/home/Download/?blobName=06d976b6-cdef-4c76-8a48-a8aab6d7710f.pdf&amp;downloadedFileName=DPWFS%20RFP%20008%202026.pdf</t>
        </is>
      </c>
      <c r="R205" t="inlineStr"/>
      <c r="S205" t="inlineStr"/>
      <c r="T205" t="inlineStr"/>
      <c r="U205" t="inlineStr"/>
      <c r="V205" t="inlineStr"/>
    </row>
    <row r="206">
      <c r="A206" s="2" t="n">
        <v>46179</v>
      </c>
      <c r="B206" t="n">
        <v>11</v>
      </c>
      <c r="C206" t="inlineStr">
        <is>
          <t>DPWFS (RFP) 005/2026</t>
        </is>
      </c>
      <c r="D206" s="2" t="n">
        <v>46179</v>
      </c>
      <c r="E206" s="2" t="n">
        <v>46209</v>
      </c>
      <c r="F206" t="inlineStr">
        <is>
          <t>11:00</t>
        </is>
      </c>
      <c r="G206" t="inlineStr">
        <is>
          <t>Request for Proposal</t>
        </is>
      </c>
      <c r="H206" t="inlineStr">
        <is>
          <t>REQUEST FOR PROPOSAL (RFP) TO INVITE BIDDERS TO SUBMIT PRICED OFFERS FOR THE LEASE OF 381m² OFFICE ACCOMMODATION WITH 17 PARKING BAYS INCLUDING ONE (1) FOR A PARAPLEGIC PARKING ONSITE OR IN CLOSE PROXIMITY OF THE BUILDING, WITHIN TROMPSBURG CBD, KOPANONG LOCAL MUNICIPALITY.</t>
        </is>
      </c>
      <c r="I206" t="inlineStr">
        <is>
          <t>ETENDERS.GOV.ZA</t>
        </is>
      </c>
      <c r="J206" t="inlineStr">
        <is>
          <t>Free State - Public Works</t>
        </is>
      </c>
      <c r="K206" t="inlineStr">
        <is>
          <t>Free State</t>
        </is>
      </c>
      <c r="L206" t="inlineStr">
        <is>
          <t>No</t>
        </is>
      </c>
      <c r="M206" t="inlineStr">
        <is>
          <t>Accommodation</t>
        </is>
      </c>
      <c r="N206" t="inlineStr">
        <is>
          <t>Yes</t>
        </is>
      </c>
      <c r="O206" t="inlineStr">
        <is>
          <t>Yes</t>
        </is>
      </c>
      <c r="P206" t="inlineStr">
        <is>
          <t>MS Teams: https://teams.microsoft.com/meet/371631208775753?p=GZd9uDugzN4sY3wxkQ Meeting ID: 371 63</t>
        </is>
      </c>
      <c r="Q206" s="3" t="inlineStr">
        <is>
          <t>https://www.etenders.gov.za/home/Download/?blobName=02014058-b24d-4ad9-9f38-2903943b0aec.pdf&amp;downloadedFileName=DPWFS%20RFP%20005%202026.pdf</t>
        </is>
      </c>
      <c r="R206" t="inlineStr"/>
      <c r="S206" t="inlineStr"/>
      <c r="T206" t="inlineStr"/>
      <c r="U206" t="inlineStr"/>
      <c r="V206" t="inlineStr"/>
    </row>
    <row r="207">
      <c r="A207" s="2" t="n">
        <v>46179</v>
      </c>
      <c r="B207" t="n">
        <v>10</v>
      </c>
      <c r="C207" t="inlineStr">
        <is>
          <t>DPWFS (RFP) 006/2026</t>
        </is>
      </c>
      <c r="D207" s="2" t="n">
        <v>46179</v>
      </c>
      <c r="E207" s="2" t="n">
        <v>46209</v>
      </c>
      <c r="F207" t="inlineStr">
        <is>
          <t>11:00</t>
        </is>
      </c>
      <c r="G207" t="inlineStr">
        <is>
          <t>Request for Proposal</t>
        </is>
      </c>
      <c r="H207" t="inlineStr">
        <is>
          <t>REQUEST FOR PROPOSAL (RFP) TO INVITE BIDDERS TO SUBMIT PRICED OFFERS FOR THE LEASE OF 94m² OFFICE ACCOMMODATION WITH 7 PARKING BAYS ONSITE INCLUDING ONE (1) FOR A DISABLED PERSON OR IN CLOSE PROXIMITY OF THE BUILDING, WITHIN WARDEN CBD, PHUMELELA LOCAL MUNICIPALITY.</t>
        </is>
      </c>
      <c r="I207" t="inlineStr">
        <is>
          <t>ETENDERS.GOV.ZA</t>
        </is>
      </c>
      <c r="J207" t="inlineStr">
        <is>
          <t>Free State - Public Works</t>
        </is>
      </c>
      <c r="K207" t="inlineStr">
        <is>
          <t>Free State</t>
        </is>
      </c>
      <c r="L207" t="inlineStr">
        <is>
          <t>No</t>
        </is>
      </c>
      <c r="M207" t="inlineStr">
        <is>
          <t>Accommodation</t>
        </is>
      </c>
      <c r="N207" t="inlineStr">
        <is>
          <t>Yes</t>
        </is>
      </c>
      <c r="O207" t="inlineStr">
        <is>
          <t>Yes</t>
        </is>
      </c>
      <c r="P207" t="inlineStr">
        <is>
          <t>MS Teams https://teams.microsoft.com/meet/358262457150833?p=5tk3HFlFoI66Mh8G85 Meeting ID: 358 262</t>
        </is>
      </c>
      <c r="Q207" s="3" t="inlineStr">
        <is>
          <t>https://www.etenders.gov.za/home/Download/?blobName=23e3fe1e-1fa5-4d7b-b9f9-dc01141031b5.pdf&amp;downloadedFileName=DPWFS%20RFP%20006%202026.pdf</t>
        </is>
      </c>
      <c r="R207" t="inlineStr"/>
      <c r="S207" t="inlineStr"/>
      <c r="T207" t="inlineStr"/>
      <c r="U207" t="inlineStr"/>
      <c r="V207" t="inlineStr"/>
    </row>
    <row r="208">
      <c r="A208" s="2" t="n">
        <v>46179</v>
      </c>
      <c r="B208" t="n">
        <v>9</v>
      </c>
      <c r="C208" t="inlineStr">
        <is>
          <t>DPWFS (RFP) 003/2026</t>
        </is>
      </c>
      <c r="D208" s="2" t="n">
        <v>46179</v>
      </c>
      <c r="E208" s="2" t="n">
        <v>46209</v>
      </c>
      <c r="F208" t="inlineStr">
        <is>
          <t>11:00</t>
        </is>
      </c>
      <c r="G208" t="inlineStr">
        <is>
          <t>Request for Proposal</t>
        </is>
      </c>
      <c r="H208" t="inlineStr">
        <is>
          <t>REQUEST FOR PROPOSAL (RFP) TO INVITE BIDDERS TO SUBMIT PRICED OFFERS FOR THE LEASE OF 310m² OF OFFICE ACCOMMODATION WITH 10 PARKING BAYS ONSITE OR IN CLOSE PROXIMITY OF THE BUILDING, WITHIN SENEKAL CBD, SETSOTO LOCAL MUNICIPALITY.</t>
        </is>
      </c>
      <c r="I208" t="inlineStr">
        <is>
          <t>ETENDERS.GOV.ZA</t>
        </is>
      </c>
      <c r="J208" t="inlineStr">
        <is>
          <t>Free State - Public Works</t>
        </is>
      </c>
      <c r="K208" t="inlineStr">
        <is>
          <t>Free State</t>
        </is>
      </c>
      <c r="L208" t="inlineStr">
        <is>
          <t>No</t>
        </is>
      </c>
      <c r="M208" t="inlineStr">
        <is>
          <t>Accommodation</t>
        </is>
      </c>
      <c r="N208" t="inlineStr">
        <is>
          <t>Yes</t>
        </is>
      </c>
      <c r="O208" t="inlineStr">
        <is>
          <t>Yes</t>
        </is>
      </c>
      <c r="P208" t="inlineStr">
        <is>
          <t>Senekal Hospital, Senekal Free State Longitude (East): 27.605574 Latitude (South): -28.327875</t>
        </is>
      </c>
      <c r="Q208" s="3" t="inlineStr">
        <is>
          <t>https://www.etenders.gov.za/home/Download/?blobName=173cebcb-9bce-4601-9757-cc26ea4dcd62.pdf&amp;downloadedFileName=DPWFS%20RFP%20003%202026.pdf</t>
        </is>
      </c>
      <c r="R208" t="inlineStr"/>
      <c r="S208" t="inlineStr"/>
      <c r="T208" t="inlineStr"/>
      <c r="U208" t="inlineStr"/>
      <c r="V208" t="inlineStr"/>
    </row>
    <row r="209">
      <c r="A209" s="2" t="n">
        <v>46179</v>
      </c>
      <c r="B209" t="n">
        <v>8</v>
      </c>
      <c r="C209" t="inlineStr">
        <is>
          <t>DPWFS (RFP) 004/2026</t>
        </is>
      </c>
      <c r="D209" s="2" t="n">
        <v>46179</v>
      </c>
      <c r="E209" s="2" t="n">
        <v>46209</v>
      </c>
      <c r="F209" t="inlineStr">
        <is>
          <t>11:00</t>
        </is>
      </c>
      <c r="G209" t="inlineStr">
        <is>
          <t>Request for Proposal</t>
        </is>
      </c>
      <c r="H209" t="inlineStr">
        <is>
          <t>REQUEST FOR PROPOSAL (RFP) TO INVITE BIDDERS TO SUBMIT PRICED OFFERS FOR THE LEASE OF 81m² OFFICE ACCOMMODATION WITH 7 PARKING BAYS, INCLUDING ONE (1) FOR A DISABLED PERSON ONSITE OR IN CLOSE PROXIMITY TO THE BUILDING WITHIN SENEKAL CBD, SETSOTO LOCAL MUNICIPALITY.</t>
        </is>
      </c>
      <c r="I209" t="inlineStr">
        <is>
          <t>ETENDERS.GOV.ZA</t>
        </is>
      </c>
      <c r="J209" t="inlineStr">
        <is>
          <t>Free State - Public Works</t>
        </is>
      </c>
      <c r="K209" t="inlineStr">
        <is>
          <t>Free State</t>
        </is>
      </c>
      <c r="L209" t="inlineStr">
        <is>
          <t>No</t>
        </is>
      </c>
      <c r="M209" t="inlineStr">
        <is>
          <t>Accommodation</t>
        </is>
      </c>
      <c r="N209" t="inlineStr">
        <is>
          <t>Yes</t>
        </is>
      </c>
      <c r="O209" t="inlineStr">
        <is>
          <t>Yes</t>
        </is>
      </c>
      <c r="P209" t="inlineStr">
        <is>
          <t>SENEKAL HOSPITAL, SENEKAL FREE STATE</t>
        </is>
      </c>
      <c r="Q209" s="3" t="inlineStr">
        <is>
          <t>https://www.etenders.gov.za/home/Download/?blobName=d0914be2-7f6c-4705-805f-79336b12805f.pdf&amp;downloadedFileName=DPWFS%20RFP%20004%202026.pdf</t>
        </is>
      </c>
      <c r="R209" t="inlineStr"/>
      <c r="S209" t="inlineStr"/>
      <c r="T209" t="inlineStr"/>
      <c r="U209" t="inlineStr"/>
      <c r="V209" t="inlineStr"/>
    </row>
    <row r="210">
      <c r="A210" s="2" t="n">
        <v>46179</v>
      </c>
      <c r="B210" t="n">
        <v>7</v>
      </c>
      <c r="C210" t="inlineStr">
        <is>
          <t>DPWFS (RFP) 001/2026</t>
        </is>
      </c>
      <c r="D210" s="2" t="n">
        <v>46179</v>
      </c>
      <c r="E210" s="2" t="n">
        <v>46209</v>
      </c>
      <c r="F210" t="inlineStr">
        <is>
          <t>11:00</t>
        </is>
      </c>
      <c r="G210" t="inlineStr">
        <is>
          <t>Request for Proposal</t>
        </is>
      </c>
      <c r="H210" t="inlineStr">
        <is>
          <t>REQUEST FOR PROPOSAL (RFP) TO INVITE BIDDERS TO SUBMIT PRICED OFFERS FOR THE LEASE OF 7674m² OF OFFICE ACCOMMODATION WITH 120 COVERED PARKING BAYS ONSITE OR IN CLOSE PROXIMITY TO THE BUILDING, THE BUILDING MUST BE WITHIN BLOEMFONTEIN CBD, MANGAUNG METRO MUNICIPALITY.</t>
        </is>
      </c>
      <c r="I210" t="inlineStr">
        <is>
          <t>ETENDERS.GOV.ZA</t>
        </is>
      </c>
      <c r="J210" t="inlineStr">
        <is>
          <t>Free State - Public Works</t>
        </is>
      </c>
      <c r="K210" t="inlineStr">
        <is>
          <t>Free State</t>
        </is>
      </c>
      <c r="L210" t="inlineStr">
        <is>
          <t>No</t>
        </is>
      </c>
      <c r="M210" t="inlineStr">
        <is>
          <t>Accommodation</t>
        </is>
      </c>
      <c r="N210" t="inlineStr">
        <is>
          <t>Yes</t>
        </is>
      </c>
      <c r="O210" t="inlineStr">
        <is>
          <t>Yes</t>
        </is>
      </c>
      <c r="P210" t="inlineStr">
        <is>
          <t>18 Hartley, Hamilton (Public Works and Infrastructure: Property Management Offices),</t>
        </is>
      </c>
      <c r="Q210" s="3" t="inlineStr">
        <is>
          <t>https://www.etenders.gov.za/home/Download/?blobName=6c4f998b-17e4-48be-b3c6-678ecd583496.pdf&amp;downloadedFileName=DPWFS%20RFP%20001%202026.pdf</t>
        </is>
      </c>
      <c r="R210" t="inlineStr"/>
      <c r="S210" t="inlineStr"/>
      <c r="T210" t="inlineStr"/>
      <c r="U210" t="inlineStr"/>
      <c r="V210" t="inlineStr"/>
    </row>
    <row r="211">
      <c r="A211" s="2" t="n">
        <v>46179</v>
      </c>
      <c r="B211" t="n">
        <v>6</v>
      </c>
      <c r="C211" t="inlineStr">
        <is>
          <t>DPWFS RFP 002/2026</t>
        </is>
      </c>
      <c r="D211" s="2" t="n">
        <v>46179</v>
      </c>
      <c r="E211" s="2" t="n">
        <v>46209</v>
      </c>
      <c r="F211" t="inlineStr">
        <is>
          <t>11:00</t>
        </is>
      </c>
      <c r="G211" t="inlineStr">
        <is>
          <t>Request for Proposal</t>
        </is>
      </c>
      <c r="H211" t="inlineStr">
        <is>
          <t>REQUEST FOR PROPOSAL (RFP) TO INVITE BIDDERS TO SUBMIT PRICED OFFERS FOR THE LEASE OF 9881m² OFFICE ACCOMMODATION WITH 230 PARKING BAYS ONSITE OR IN CLOSE PROXIMITY TO THE BUILDING, WITHIN BLOEMFONTEIN CBD, MANGAUNG METRO MUNICIPALITY.</t>
        </is>
      </c>
      <c r="I211" t="inlineStr">
        <is>
          <t>ETENDERS.GOV.ZA</t>
        </is>
      </c>
      <c r="J211" t="inlineStr">
        <is>
          <t>Free State - Public Works</t>
        </is>
      </c>
      <c r="K211" t="inlineStr">
        <is>
          <t>Free State</t>
        </is>
      </c>
      <c r="L211" t="inlineStr">
        <is>
          <t>No</t>
        </is>
      </c>
      <c r="M211" t="inlineStr">
        <is>
          <t>Accommodation</t>
        </is>
      </c>
      <c r="N211" t="inlineStr">
        <is>
          <t>Yes</t>
        </is>
      </c>
      <c r="O211" t="inlineStr">
        <is>
          <t>Yes</t>
        </is>
      </c>
      <c r="P211" t="inlineStr">
        <is>
          <t>Hamilton Offices, 18 Hartley Street, Hamilton, Bloemfontein</t>
        </is>
      </c>
      <c r="Q211" s="3" t="inlineStr">
        <is>
          <t>https://www.etenders.gov.za/home/Download/?blobName=934f57ea-b681-4903-bb39-c0a65a86af98.pdf&amp;downloadedFileName=DPWFS%20RFP%20002%202026.pdf</t>
        </is>
      </c>
      <c r="R211" t="inlineStr"/>
      <c r="S211" t="inlineStr"/>
      <c r="T211" t="inlineStr"/>
      <c r="U211" t="inlineStr"/>
      <c r="V211" t="inlineStr"/>
    </row>
    <row r="212">
      <c r="A212" s="2" t="n">
        <v>46179</v>
      </c>
      <c r="B212" t="n">
        <v>5</v>
      </c>
      <c r="C212" t="inlineStr">
        <is>
          <t>WMM LM 000103</t>
        </is>
      </c>
      <c r="D212" s="2" t="n">
        <v>46179</v>
      </c>
      <c r="E212" s="2" t="n">
        <v>46210</v>
      </c>
      <c r="F212" t="inlineStr">
        <is>
          <t>12:00</t>
        </is>
      </c>
      <c r="G212" t="inlineStr">
        <is>
          <t>Request for Bid(Open-Tender)</t>
        </is>
      </c>
      <c r="H212" t="inlineStr">
        <is>
          <t>Panel of Service Providers for the Construction of Gravel Roads, Bridges and all Storm Related Works for a Period of 18 Months</t>
        </is>
      </c>
      <c r="I212" t="inlineStr">
        <is>
          <t>ETENDERS.GOV.ZA</t>
        </is>
      </c>
      <c r="J212" t="inlineStr">
        <is>
          <t>Winnie Madikizela-Mandela Local Municipality</t>
        </is>
      </c>
      <c r="K212" t="inlineStr">
        <is>
          <t>Eastern Cape</t>
        </is>
      </c>
      <c r="L212" t="inlineStr">
        <is>
          <t>No</t>
        </is>
      </c>
      <c r="M212" t="inlineStr">
        <is>
          <t>Construction</t>
        </is>
      </c>
      <c r="N212" t="inlineStr">
        <is>
          <t>No</t>
        </is>
      </c>
      <c r="O212" t="inlineStr">
        <is>
          <t>No</t>
        </is>
      </c>
      <c r="P212" t="inlineStr">
        <is>
          <t>N/A</t>
        </is>
      </c>
      <c r="Q212" s="3" t="inlineStr">
        <is>
          <t>https://www.etenders.gov.za/home/Download/?blobName=ecabd944-8b1e-4948-878b-5e6a5773923b.pdf&amp;downloadedFileName=Panel%20of%20Gravel%20Roads,%20Bridges%20and%20All%20stormwater%20Related%20Works%20for%2018%20Months.pdf</t>
        </is>
      </c>
      <c r="R212" t="inlineStr"/>
      <c r="S212" t="inlineStr"/>
      <c r="T212" t="inlineStr"/>
      <c r="U212" t="inlineStr"/>
      <c r="V212" t="inlineStr"/>
    </row>
    <row r="213">
      <c r="A213" s="2" t="n">
        <v>46179</v>
      </c>
      <c r="B213" t="n">
        <v>4</v>
      </c>
      <c r="C213" t="inlineStr">
        <is>
          <t>DPWFS (RFP) 007/2026</t>
        </is>
      </c>
      <c r="D213" s="2" t="n">
        <v>46179</v>
      </c>
      <c r="E213" s="2" t="n">
        <v>46209</v>
      </c>
      <c r="F213" t="inlineStr">
        <is>
          <t>11:00</t>
        </is>
      </c>
      <c r="G213" t="inlineStr">
        <is>
          <t>Request for Proposal</t>
        </is>
      </c>
      <c r="H213" t="inlineStr">
        <is>
          <t>REQUEST FOR PROPOSAL (RFP) TO INVITE BIDDERS TO SUBMIT PRICED OFFERS FOR THE LEASE OF 322m² OFFICE ACCOMMODATION WITH 17 COVERED PARKING BAYS ONSITE OR IN CLOSE PROXIMITY OF THE BUILDING, WITHIN SASOLBURG CBD, METSIMAHOLO LOCAL MUNICIPALITY.</t>
        </is>
      </c>
      <c r="I213" t="inlineStr">
        <is>
          <t>ETENDERS.GOV.ZA</t>
        </is>
      </c>
      <c r="J213" t="inlineStr">
        <is>
          <t>Free State - Public Works</t>
        </is>
      </c>
      <c r="K213" t="inlineStr">
        <is>
          <t>Free State</t>
        </is>
      </c>
      <c r="L213" t="inlineStr">
        <is>
          <t>No</t>
        </is>
      </c>
      <c r="M213" t="inlineStr">
        <is>
          <t>Accommodation</t>
        </is>
      </c>
      <c r="N213" t="inlineStr">
        <is>
          <t>Yes</t>
        </is>
      </c>
      <c r="O213" t="inlineStr">
        <is>
          <t>Yes</t>
        </is>
      </c>
      <c r="P213" t="inlineStr">
        <is>
          <t>Department of Human Settlements Offices, Mora Building, Fichardt Street, Sasolburg,</t>
        </is>
      </c>
      <c r="Q213" s="3" t="inlineStr">
        <is>
          <t>https://www.etenders.gov.za/home/Download/?blobName=6a8ea87f-19a2-4f27-8d8b-7d589131233d.pdf&amp;downloadedFileName=DPWFS%20RFP%20007%202026.pdf</t>
        </is>
      </c>
      <c r="R213" t="inlineStr"/>
      <c r="S213" t="inlineStr"/>
      <c r="T213" t="inlineStr"/>
      <c r="U213" t="inlineStr"/>
      <c r="V213" t="inlineStr"/>
    </row>
    <row r="214">
      <c r="A214" s="2" t="n">
        <v>46180</v>
      </c>
      <c r="B214" t="n">
        <v>3</v>
      </c>
      <c r="C214" t="inlineStr">
        <is>
          <t>WMM OOO100 MMB</t>
        </is>
      </c>
      <c r="D214" s="2" t="n">
        <v>46180</v>
      </c>
      <c r="E214" s="2" t="n">
        <v>46195</v>
      </c>
      <c r="F214" t="inlineStr">
        <is>
          <t>12:00</t>
        </is>
      </c>
      <c r="G214" t="inlineStr">
        <is>
          <t>Request for Bid(Open-Tender)</t>
        </is>
      </c>
      <c r="H214" t="inlineStr">
        <is>
          <t>Maintenance of Municipal Main Building</t>
        </is>
      </c>
      <c r="I214" t="inlineStr">
        <is>
          <t>ETENDERS.GOV.ZA</t>
        </is>
      </c>
      <c r="J214" t="inlineStr">
        <is>
          <t>Winnie Madikizela-Mandela Local Municipality</t>
        </is>
      </c>
      <c r="K214" t="inlineStr">
        <is>
          <t>Eastern Cape</t>
        </is>
      </c>
      <c r="L214" t="inlineStr">
        <is>
          <t>No</t>
        </is>
      </c>
      <c r="M214" t="inlineStr">
        <is>
          <t>Construction of buildings</t>
        </is>
      </c>
      <c r="N214" t="inlineStr">
        <is>
          <t>No</t>
        </is>
      </c>
      <c r="O214" t="inlineStr">
        <is>
          <t>No</t>
        </is>
      </c>
      <c r="P214" t="inlineStr">
        <is>
          <t>N/A</t>
        </is>
      </c>
      <c r="Q214" s="3" t="inlineStr">
        <is>
          <t>https://www.etenders.gov.za/home/Download/?blobName=b58a5d16-2179-48b7-aa0e-1fc15fd2ed10.pdf&amp;downloadedFileName=TENDER%20DOCUMENT%20-%20MAINTENANCE%20OF%20MUNICIPAL%20BUILDING%2005%20JUNE%202026.pdf</t>
        </is>
      </c>
      <c r="R214" t="inlineStr"/>
      <c r="S214" t="inlineStr"/>
      <c r="T214" t="inlineStr"/>
      <c r="U214" t="inlineStr"/>
      <c r="V214" t="inlineStr"/>
    </row>
    <row r="215">
      <c r="A215" s="2" t="n">
        <v>46180</v>
      </c>
      <c r="B215" t="n">
        <v>2</v>
      </c>
      <c r="C215" t="inlineStr">
        <is>
          <t>MRTT26-05/2</t>
        </is>
      </c>
      <c r="D215" s="2" t="n">
        <v>46180</v>
      </c>
      <c r="E215" s="2" t="n">
        <v>46209</v>
      </c>
      <c r="F215" t="inlineStr">
        <is>
          <t>11:00</t>
        </is>
      </c>
      <c r="G215" t="inlineStr">
        <is>
          <t>Request for Bid(Open-Tender)</t>
        </is>
      </c>
      <c r="H215" t="inlineStr">
        <is>
          <t>Supply and delivery of Building and Civil Construction for a period of 3 years on an "as and when required basis"</t>
        </is>
      </c>
      <c r="I215" t="inlineStr">
        <is>
          <t>ETENDERS.GOV.ZA</t>
        </is>
      </c>
      <c r="J215" t="inlineStr">
        <is>
          <t>Mpumalanga - Mpumalanga Regional Training Trust (MRTT)</t>
        </is>
      </c>
      <c r="K215" t="inlineStr">
        <is>
          <t>Mpumalanga</t>
        </is>
      </c>
      <c r="L215" t="inlineStr">
        <is>
          <t>No</t>
        </is>
      </c>
      <c r="M215" t="inlineStr">
        <is>
          <t>Construction of buildings</t>
        </is>
      </c>
      <c r="N215" t="inlineStr">
        <is>
          <t>No</t>
        </is>
      </c>
      <c r="O215" t="inlineStr">
        <is>
          <t>No</t>
        </is>
      </c>
      <c r="P215" t="inlineStr">
        <is>
          <t>N/A</t>
        </is>
      </c>
      <c r="Q215" s="3" t="inlineStr">
        <is>
          <t>https://www.etenders.gov.za/home/Download/?blobName=cec66fa1-3aaa-4aa1-bf78-edf8ea450a11.pdf&amp;downloadedFileName=Advertisement%20of%20Bid%202026%20Final.pdf</t>
        </is>
      </c>
      <c r="R215" t="inlineStr"/>
      <c r="S215" t="inlineStr"/>
      <c r="T215" t="inlineStr"/>
      <c r="U215" t="inlineStr"/>
      <c r="V215" t="inlineStr"/>
    </row>
    <row r="216">
      <c r="A216" s="2" t="n">
        <v>46180</v>
      </c>
      <c r="B216" t="n">
        <v>1</v>
      </c>
      <c r="C216" t="inlineStr">
        <is>
          <t>MRTT26-06/2</t>
        </is>
      </c>
      <c r="D216" s="2" t="n">
        <v>46180</v>
      </c>
      <c r="E216" s="2" t="n">
        <v>46209</v>
      </c>
      <c r="F216" t="inlineStr">
        <is>
          <t>11:00</t>
        </is>
      </c>
      <c r="G216" t="inlineStr">
        <is>
          <t>Request for Bid(Open-Tender)</t>
        </is>
      </c>
      <c r="H216" t="inlineStr">
        <is>
          <t>Supply and delivery of Welding and Boiler making material for the period of 3 years (36 months) on an "as and when required basis"</t>
        </is>
      </c>
      <c r="I216" t="inlineStr">
        <is>
          <t>ETENDERS.GOV.ZA</t>
        </is>
      </c>
      <c r="J216" t="inlineStr">
        <is>
          <t>Mpumalanga - Mpumalanga Regional Training Trust (MRTT)</t>
        </is>
      </c>
      <c r="K216" t="inlineStr">
        <is>
          <t>Mpumalanga</t>
        </is>
      </c>
      <c r="L216" t="inlineStr">
        <is>
          <t>No</t>
        </is>
      </c>
      <c r="M216" t="inlineStr">
        <is>
          <t>Other service activities</t>
        </is>
      </c>
      <c r="N216" t="inlineStr">
        <is>
          <t>No</t>
        </is>
      </c>
      <c r="O216" t="inlineStr">
        <is>
          <t>No</t>
        </is>
      </c>
      <c r="P216" t="inlineStr">
        <is>
          <t>N/A</t>
        </is>
      </c>
      <c r="Q216" s="3" t="inlineStr">
        <is>
          <t>https://www.etenders.gov.za/home/Download/?blobName=b0af7ba6-3ace-42b4-968f-637f3f507675.pdf&amp;downloadedFileName=Advertisement%20of%20Bid%202026%20Final.pdf</t>
        </is>
      </c>
      <c r="R216" t="inlineStr"/>
      <c r="S216" t="inlineStr"/>
      <c r="T216" t="inlineStr"/>
      <c r="U216" t="inlineStr"/>
      <c r="V216" t="inlineStr"/>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 xmlns:r="http://schemas.openxmlformats.org/officeDocument/2006/relationships" ref="Q84" r:id="rId83"/>
    <hyperlink xmlns:r="http://schemas.openxmlformats.org/officeDocument/2006/relationships" ref="Q85" r:id="rId84"/>
    <hyperlink xmlns:r="http://schemas.openxmlformats.org/officeDocument/2006/relationships" ref="Q86" r:id="rId85"/>
    <hyperlink xmlns:r="http://schemas.openxmlformats.org/officeDocument/2006/relationships" ref="Q87" r:id="rId86"/>
    <hyperlink xmlns:r="http://schemas.openxmlformats.org/officeDocument/2006/relationships" ref="Q88" r:id="rId87"/>
    <hyperlink xmlns:r="http://schemas.openxmlformats.org/officeDocument/2006/relationships" ref="Q89" r:id="rId88"/>
    <hyperlink xmlns:r="http://schemas.openxmlformats.org/officeDocument/2006/relationships" ref="Q90" r:id="rId89"/>
    <hyperlink xmlns:r="http://schemas.openxmlformats.org/officeDocument/2006/relationships" ref="Q91" r:id="rId90"/>
    <hyperlink xmlns:r="http://schemas.openxmlformats.org/officeDocument/2006/relationships" ref="Q92" r:id="rId91"/>
    <hyperlink xmlns:r="http://schemas.openxmlformats.org/officeDocument/2006/relationships" ref="Q93" r:id="rId92"/>
    <hyperlink xmlns:r="http://schemas.openxmlformats.org/officeDocument/2006/relationships" ref="Q94" r:id="rId93"/>
    <hyperlink xmlns:r="http://schemas.openxmlformats.org/officeDocument/2006/relationships" ref="Q95" r:id="rId94"/>
    <hyperlink xmlns:r="http://schemas.openxmlformats.org/officeDocument/2006/relationships" ref="Q96" r:id="rId95"/>
    <hyperlink xmlns:r="http://schemas.openxmlformats.org/officeDocument/2006/relationships" ref="Q97" r:id="rId96"/>
    <hyperlink xmlns:r="http://schemas.openxmlformats.org/officeDocument/2006/relationships" ref="Q98" r:id="rId97"/>
    <hyperlink xmlns:r="http://schemas.openxmlformats.org/officeDocument/2006/relationships" ref="Q99" r:id="rId98"/>
    <hyperlink xmlns:r="http://schemas.openxmlformats.org/officeDocument/2006/relationships" ref="Q100" r:id="rId99"/>
    <hyperlink xmlns:r="http://schemas.openxmlformats.org/officeDocument/2006/relationships" ref="Q101" r:id="rId100"/>
    <hyperlink xmlns:r="http://schemas.openxmlformats.org/officeDocument/2006/relationships" ref="Q102" r:id="rId101"/>
    <hyperlink xmlns:r="http://schemas.openxmlformats.org/officeDocument/2006/relationships" ref="Q103" r:id="rId102"/>
    <hyperlink xmlns:r="http://schemas.openxmlformats.org/officeDocument/2006/relationships" ref="Q104" r:id="rId103"/>
    <hyperlink xmlns:r="http://schemas.openxmlformats.org/officeDocument/2006/relationships" ref="Q105" r:id="rId104"/>
    <hyperlink xmlns:r="http://schemas.openxmlformats.org/officeDocument/2006/relationships" ref="Q106" r:id="rId105"/>
    <hyperlink xmlns:r="http://schemas.openxmlformats.org/officeDocument/2006/relationships" ref="Q107" r:id="rId106"/>
    <hyperlink xmlns:r="http://schemas.openxmlformats.org/officeDocument/2006/relationships" ref="Q108" r:id="rId107"/>
    <hyperlink xmlns:r="http://schemas.openxmlformats.org/officeDocument/2006/relationships" ref="Q109" r:id="rId108"/>
    <hyperlink xmlns:r="http://schemas.openxmlformats.org/officeDocument/2006/relationships" ref="Q110" r:id="rId109"/>
    <hyperlink xmlns:r="http://schemas.openxmlformats.org/officeDocument/2006/relationships" ref="Q111" r:id="rId110"/>
    <hyperlink xmlns:r="http://schemas.openxmlformats.org/officeDocument/2006/relationships" ref="Q112" r:id="rId111"/>
    <hyperlink xmlns:r="http://schemas.openxmlformats.org/officeDocument/2006/relationships" ref="Q113" r:id="rId112"/>
    <hyperlink xmlns:r="http://schemas.openxmlformats.org/officeDocument/2006/relationships" ref="Q114" r:id="rId113"/>
    <hyperlink xmlns:r="http://schemas.openxmlformats.org/officeDocument/2006/relationships" ref="Q115" r:id="rId114"/>
    <hyperlink xmlns:r="http://schemas.openxmlformats.org/officeDocument/2006/relationships" ref="Q116" r:id="rId115"/>
    <hyperlink xmlns:r="http://schemas.openxmlformats.org/officeDocument/2006/relationships" ref="Q117" r:id="rId116"/>
    <hyperlink xmlns:r="http://schemas.openxmlformats.org/officeDocument/2006/relationships" ref="Q118" r:id="rId117"/>
    <hyperlink xmlns:r="http://schemas.openxmlformats.org/officeDocument/2006/relationships" ref="Q119" r:id="rId118"/>
    <hyperlink xmlns:r="http://schemas.openxmlformats.org/officeDocument/2006/relationships" ref="Q120" r:id="rId119"/>
    <hyperlink xmlns:r="http://schemas.openxmlformats.org/officeDocument/2006/relationships" ref="Q121" r:id="rId120"/>
    <hyperlink xmlns:r="http://schemas.openxmlformats.org/officeDocument/2006/relationships" ref="Q122" r:id="rId121"/>
    <hyperlink xmlns:r="http://schemas.openxmlformats.org/officeDocument/2006/relationships" ref="Q123" r:id="rId122"/>
    <hyperlink xmlns:r="http://schemas.openxmlformats.org/officeDocument/2006/relationships" ref="Q124" r:id="rId123"/>
    <hyperlink xmlns:r="http://schemas.openxmlformats.org/officeDocument/2006/relationships" ref="Q125" r:id="rId124"/>
    <hyperlink xmlns:r="http://schemas.openxmlformats.org/officeDocument/2006/relationships" ref="Q126" r:id="rId125"/>
    <hyperlink xmlns:r="http://schemas.openxmlformats.org/officeDocument/2006/relationships" ref="Q127" r:id="rId126"/>
    <hyperlink xmlns:r="http://schemas.openxmlformats.org/officeDocument/2006/relationships" ref="Q128" r:id="rId127"/>
    <hyperlink xmlns:r="http://schemas.openxmlformats.org/officeDocument/2006/relationships" ref="Q129" r:id="rId128"/>
    <hyperlink xmlns:r="http://schemas.openxmlformats.org/officeDocument/2006/relationships" ref="Q130" r:id="rId129"/>
    <hyperlink xmlns:r="http://schemas.openxmlformats.org/officeDocument/2006/relationships" ref="Q131" r:id="rId130"/>
    <hyperlink xmlns:r="http://schemas.openxmlformats.org/officeDocument/2006/relationships" ref="Q132" r:id="rId131"/>
    <hyperlink xmlns:r="http://schemas.openxmlformats.org/officeDocument/2006/relationships" ref="Q133" r:id="rId132"/>
    <hyperlink xmlns:r="http://schemas.openxmlformats.org/officeDocument/2006/relationships" ref="Q134" r:id="rId133"/>
    <hyperlink xmlns:r="http://schemas.openxmlformats.org/officeDocument/2006/relationships" ref="Q135" r:id="rId134"/>
    <hyperlink xmlns:r="http://schemas.openxmlformats.org/officeDocument/2006/relationships" ref="Q136" r:id="rId135"/>
    <hyperlink xmlns:r="http://schemas.openxmlformats.org/officeDocument/2006/relationships" ref="Q137" r:id="rId136"/>
    <hyperlink xmlns:r="http://schemas.openxmlformats.org/officeDocument/2006/relationships" ref="Q138" r:id="rId137"/>
    <hyperlink xmlns:r="http://schemas.openxmlformats.org/officeDocument/2006/relationships" ref="Q139" r:id="rId138"/>
    <hyperlink xmlns:r="http://schemas.openxmlformats.org/officeDocument/2006/relationships" ref="Q140" r:id="rId139"/>
    <hyperlink xmlns:r="http://schemas.openxmlformats.org/officeDocument/2006/relationships" ref="Q141" r:id="rId140"/>
    <hyperlink xmlns:r="http://schemas.openxmlformats.org/officeDocument/2006/relationships" ref="Q142" r:id="rId141"/>
    <hyperlink xmlns:r="http://schemas.openxmlformats.org/officeDocument/2006/relationships" ref="Q143" r:id="rId142"/>
    <hyperlink xmlns:r="http://schemas.openxmlformats.org/officeDocument/2006/relationships" ref="Q144" r:id="rId143"/>
    <hyperlink xmlns:r="http://schemas.openxmlformats.org/officeDocument/2006/relationships" ref="Q145" r:id="rId144"/>
    <hyperlink xmlns:r="http://schemas.openxmlformats.org/officeDocument/2006/relationships" ref="Q146" r:id="rId145"/>
    <hyperlink xmlns:r="http://schemas.openxmlformats.org/officeDocument/2006/relationships" ref="Q147" r:id="rId146"/>
    <hyperlink xmlns:r="http://schemas.openxmlformats.org/officeDocument/2006/relationships" ref="Q148" r:id="rId147"/>
    <hyperlink xmlns:r="http://schemas.openxmlformats.org/officeDocument/2006/relationships" ref="Q149" r:id="rId148"/>
    <hyperlink xmlns:r="http://schemas.openxmlformats.org/officeDocument/2006/relationships" ref="Q150" r:id="rId149"/>
    <hyperlink xmlns:r="http://schemas.openxmlformats.org/officeDocument/2006/relationships" ref="Q151" r:id="rId150"/>
    <hyperlink xmlns:r="http://schemas.openxmlformats.org/officeDocument/2006/relationships" ref="Q152" r:id="rId151"/>
    <hyperlink xmlns:r="http://schemas.openxmlformats.org/officeDocument/2006/relationships" ref="Q153" r:id="rId152"/>
    <hyperlink xmlns:r="http://schemas.openxmlformats.org/officeDocument/2006/relationships" ref="Q154" r:id="rId153"/>
    <hyperlink xmlns:r="http://schemas.openxmlformats.org/officeDocument/2006/relationships" ref="Q155" r:id="rId154"/>
    <hyperlink xmlns:r="http://schemas.openxmlformats.org/officeDocument/2006/relationships" ref="Q156" r:id="rId155"/>
    <hyperlink xmlns:r="http://schemas.openxmlformats.org/officeDocument/2006/relationships" ref="Q157" r:id="rId156"/>
    <hyperlink xmlns:r="http://schemas.openxmlformats.org/officeDocument/2006/relationships" ref="Q158" r:id="rId157"/>
    <hyperlink xmlns:r="http://schemas.openxmlformats.org/officeDocument/2006/relationships" ref="Q159" r:id="rId158"/>
    <hyperlink xmlns:r="http://schemas.openxmlformats.org/officeDocument/2006/relationships" ref="Q160" r:id="rId159"/>
    <hyperlink xmlns:r="http://schemas.openxmlformats.org/officeDocument/2006/relationships" ref="Q161" r:id="rId160"/>
    <hyperlink xmlns:r="http://schemas.openxmlformats.org/officeDocument/2006/relationships" ref="Q162" r:id="rId161"/>
    <hyperlink xmlns:r="http://schemas.openxmlformats.org/officeDocument/2006/relationships" ref="Q163" r:id="rId162"/>
    <hyperlink xmlns:r="http://schemas.openxmlformats.org/officeDocument/2006/relationships" ref="Q164" r:id="rId163"/>
    <hyperlink xmlns:r="http://schemas.openxmlformats.org/officeDocument/2006/relationships" ref="Q165" r:id="rId164"/>
    <hyperlink xmlns:r="http://schemas.openxmlformats.org/officeDocument/2006/relationships" ref="Q166" r:id="rId165"/>
    <hyperlink xmlns:r="http://schemas.openxmlformats.org/officeDocument/2006/relationships" ref="Q167" r:id="rId166"/>
    <hyperlink xmlns:r="http://schemas.openxmlformats.org/officeDocument/2006/relationships" ref="Q168" r:id="rId167"/>
    <hyperlink xmlns:r="http://schemas.openxmlformats.org/officeDocument/2006/relationships" ref="Q169" r:id="rId168"/>
    <hyperlink xmlns:r="http://schemas.openxmlformats.org/officeDocument/2006/relationships" ref="Q170" r:id="rId169"/>
    <hyperlink xmlns:r="http://schemas.openxmlformats.org/officeDocument/2006/relationships" ref="Q171" r:id="rId170"/>
    <hyperlink xmlns:r="http://schemas.openxmlformats.org/officeDocument/2006/relationships" ref="Q172" r:id="rId171"/>
    <hyperlink xmlns:r="http://schemas.openxmlformats.org/officeDocument/2006/relationships" ref="Q173" r:id="rId172"/>
    <hyperlink xmlns:r="http://schemas.openxmlformats.org/officeDocument/2006/relationships" ref="Q174" r:id="rId173"/>
    <hyperlink xmlns:r="http://schemas.openxmlformats.org/officeDocument/2006/relationships" ref="Q175" r:id="rId174"/>
    <hyperlink xmlns:r="http://schemas.openxmlformats.org/officeDocument/2006/relationships" ref="Q176" r:id="rId175"/>
    <hyperlink xmlns:r="http://schemas.openxmlformats.org/officeDocument/2006/relationships" ref="Q177" r:id="rId176"/>
    <hyperlink xmlns:r="http://schemas.openxmlformats.org/officeDocument/2006/relationships" ref="Q178" r:id="rId177"/>
    <hyperlink xmlns:r="http://schemas.openxmlformats.org/officeDocument/2006/relationships" ref="Q179" r:id="rId178"/>
    <hyperlink xmlns:r="http://schemas.openxmlformats.org/officeDocument/2006/relationships" ref="Q180" r:id="rId179"/>
    <hyperlink xmlns:r="http://schemas.openxmlformats.org/officeDocument/2006/relationships" ref="Q181" r:id="rId180"/>
    <hyperlink xmlns:r="http://schemas.openxmlformats.org/officeDocument/2006/relationships" ref="Q182" r:id="rId181"/>
    <hyperlink xmlns:r="http://schemas.openxmlformats.org/officeDocument/2006/relationships" ref="Q183" r:id="rId182"/>
    <hyperlink xmlns:r="http://schemas.openxmlformats.org/officeDocument/2006/relationships" ref="Q184" r:id="rId183"/>
    <hyperlink xmlns:r="http://schemas.openxmlformats.org/officeDocument/2006/relationships" ref="Q185" r:id="rId184"/>
    <hyperlink xmlns:r="http://schemas.openxmlformats.org/officeDocument/2006/relationships" ref="Q186" r:id="rId185"/>
    <hyperlink xmlns:r="http://schemas.openxmlformats.org/officeDocument/2006/relationships" ref="Q187" r:id="rId186"/>
    <hyperlink xmlns:r="http://schemas.openxmlformats.org/officeDocument/2006/relationships" ref="Q188" r:id="rId187"/>
    <hyperlink xmlns:r="http://schemas.openxmlformats.org/officeDocument/2006/relationships" ref="Q189" r:id="rId188"/>
    <hyperlink xmlns:r="http://schemas.openxmlformats.org/officeDocument/2006/relationships" ref="Q190" r:id="rId189"/>
    <hyperlink xmlns:r="http://schemas.openxmlformats.org/officeDocument/2006/relationships" ref="Q191" r:id="rId190"/>
    <hyperlink xmlns:r="http://schemas.openxmlformats.org/officeDocument/2006/relationships" ref="Q192" r:id="rId191"/>
    <hyperlink xmlns:r="http://schemas.openxmlformats.org/officeDocument/2006/relationships" ref="Q193" r:id="rId192"/>
    <hyperlink xmlns:r="http://schemas.openxmlformats.org/officeDocument/2006/relationships" ref="Q194" r:id="rId193"/>
    <hyperlink xmlns:r="http://schemas.openxmlformats.org/officeDocument/2006/relationships" ref="Q195" r:id="rId194"/>
    <hyperlink xmlns:r="http://schemas.openxmlformats.org/officeDocument/2006/relationships" ref="Q196" r:id="rId195"/>
    <hyperlink xmlns:r="http://schemas.openxmlformats.org/officeDocument/2006/relationships" ref="Q197" r:id="rId196"/>
    <hyperlink xmlns:r="http://schemas.openxmlformats.org/officeDocument/2006/relationships" ref="Q198" r:id="rId197"/>
    <hyperlink xmlns:r="http://schemas.openxmlformats.org/officeDocument/2006/relationships" ref="Q199" r:id="rId198"/>
    <hyperlink xmlns:r="http://schemas.openxmlformats.org/officeDocument/2006/relationships" ref="Q200" r:id="rId199"/>
    <hyperlink xmlns:r="http://schemas.openxmlformats.org/officeDocument/2006/relationships" ref="Q201" r:id="rId200"/>
    <hyperlink xmlns:r="http://schemas.openxmlformats.org/officeDocument/2006/relationships" ref="Q202" r:id="rId201"/>
    <hyperlink xmlns:r="http://schemas.openxmlformats.org/officeDocument/2006/relationships" ref="Q203" r:id="rId202"/>
    <hyperlink xmlns:r="http://schemas.openxmlformats.org/officeDocument/2006/relationships" ref="Q204" r:id="rId203"/>
    <hyperlink xmlns:r="http://schemas.openxmlformats.org/officeDocument/2006/relationships" ref="Q205" r:id="rId204"/>
    <hyperlink xmlns:r="http://schemas.openxmlformats.org/officeDocument/2006/relationships" ref="Q206" r:id="rId205"/>
    <hyperlink xmlns:r="http://schemas.openxmlformats.org/officeDocument/2006/relationships" ref="Q207" r:id="rId206"/>
    <hyperlink xmlns:r="http://schemas.openxmlformats.org/officeDocument/2006/relationships" ref="Q208" r:id="rId207"/>
    <hyperlink xmlns:r="http://schemas.openxmlformats.org/officeDocument/2006/relationships" ref="Q209" r:id="rId208"/>
    <hyperlink xmlns:r="http://schemas.openxmlformats.org/officeDocument/2006/relationships" ref="Q210" r:id="rId209"/>
    <hyperlink xmlns:r="http://schemas.openxmlformats.org/officeDocument/2006/relationships" ref="Q211" r:id="rId210"/>
    <hyperlink xmlns:r="http://schemas.openxmlformats.org/officeDocument/2006/relationships" ref="Q212" r:id="rId211"/>
    <hyperlink xmlns:r="http://schemas.openxmlformats.org/officeDocument/2006/relationships" ref="Q213" r:id="rId212"/>
    <hyperlink xmlns:r="http://schemas.openxmlformats.org/officeDocument/2006/relationships" ref="Q214" r:id="rId213"/>
    <hyperlink xmlns:r="http://schemas.openxmlformats.org/officeDocument/2006/relationships" ref="Q215" r:id="rId214"/>
    <hyperlink xmlns:r="http://schemas.openxmlformats.org/officeDocument/2006/relationships" ref="Q216" r:id="rId2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s="1" t="inlineStr">
        <is>
          <t>Source</t>
        </is>
      </c>
      <c r="B1" s="1" t="inlineStr">
        <is>
          <t>Number of New Tenders</t>
        </is>
      </c>
      <c r="C1" s="1" t="inlineStr">
        <is>
          <t>ICT Tenders</t>
        </is>
      </c>
      <c r="D1" s="1" t="inlineStr">
        <is>
          <t>RFQs</t>
        </is>
      </c>
    </row>
    <row r="2">
      <c r="A2" t="inlineStr">
        <is>
          <t>Report Date</t>
        </is>
      </c>
      <c r="B2" t="inlineStr">
        <is>
          <t>(M) 07/06/2026</t>
        </is>
      </c>
    </row>
    <row r="3">
      <c r="A3" t="inlineStr">
        <is>
          <t>eTenders (All)</t>
        </is>
      </c>
      <c r="B3">
        <f>COUNTA('Tender Data'!J:J)-1</f>
        <v/>
      </c>
      <c r="C3">
        <f>COUNTIF('Tender Data'!M:M,"Information service activities")+COUNTIF('Tender Data'!M:M,"Information and communication")</f>
        <v/>
      </c>
      <c r="D3">
        <f>COUNTIF('Tender Data'!G:G,"Request for Quotation")</f>
        <v/>
      </c>
    </row>
    <row r="4">
      <c r="A4" t="inlineStr">
        <is>
          <t>Eskom</t>
        </is>
      </c>
      <c r="B4">
        <f>COUNTIF('Tender Data'!J:J,"ESKOM")</f>
        <v/>
      </c>
      <c r="C4">
        <f>COUNTIFS('Tender Data'!M:M,"Information service activities",'Tender Data'!J:J,"ESKOM")+COUNTIFS('Tender Data'!M:M,"Information and communication",'Tender Data'!J:J,"ESKOM")</f>
        <v/>
      </c>
      <c r="D4">
        <f>COUNTIFS('Tender Data'!J:J,"ESKOM",'Tender Data'!G:G,"Request for Quotation")</f>
        <v/>
      </c>
    </row>
    <row r="5">
      <c r="A5" t="inlineStr">
        <is>
          <t>SITA</t>
        </is>
      </c>
      <c r="B5">
        <f>COUNTIF('Tender Data'!J:J,"State Information Technology Agency")</f>
        <v/>
      </c>
      <c r="C5">
        <f>COUNTIFS('Tender Data'!M:M,"Information service activities",'Tender Data'!J:J,"State Information Technology Agency")+COUNTIFS('Tender Data'!M:M,"Information and communication",'Tender Data'!J:J,"State Information Technology Agency")</f>
        <v/>
      </c>
      <c r="D5">
        <f>COUNTIFS('Tender Data'!J:J,"State Information Technology Agency",'Tender Data'!G:G,"Request for Quotation")</f>
        <v/>
      </c>
    </row>
    <row r="6">
      <c r="A6" t="inlineStr">
        <is>
          <t>Transnet</t>
        </is>
      </c>
      <c r="B6">
        <f>COUNTIF('Tender Data'!J:J,"Transnet*")</f>
        <v/>
      </c>
      <c r="C6">
        <f>COUNTIFS('Tender Data'!M:M,"Information service activities",'Tender Data'!J:J,"Transnet*")+COUNTIFS('Tender Data'!M:M,"Information and communication",'Tender Data'!J:J,"Transnet*")</f>
        <v/>
      </c>
      <c r="D6">
        <f>COUNTIFS('Tender Data'!J:J,"Transnet*",'Tender Data'!G:G,"Request for Quotation")</f>
        <v/>
      </c>
    </row>
    <row r="7">
      <c r="A7" t="inlineStr">
        <is>
          <t>JPC</t>
        </is>
      </c>
      <c r="B7">
        <f>COUNTIF('Tender Data'!J:J,"*Joburg Property*")</f>
        <v/>
      </c>
      <c r="C7">
        <f>COUNTIFS('Tender Data'!M:M,"Information service activities",'Tender Data'!J:J,"*Joburg Property*")+COUNTIFS('Tender Data'!M:M,"Information and communication",'Tender Data'!J:J,"*Joburg Property*")</f>
        <v/>
      </c>
      <c r="D7">
        <f>COUNTIFS('Tender Data'!J:J,"*Joburg Property*",'Tender Data'!G:G,"Request for Quotation")</f>
        <v/>
      </c>
    </row>
    <row r="8">
      <c r="A8" t="inlineStr">
        <is>
          <t>Matatiele LM</t>
        </is>
      </c>
      <c r="B8">
        <f>COUNTIF('Tender Data'!J:J,"Matatiele Local Municipality")</f>
        <v/>
      </c>
      <c r="C8">
        <f>COUNTIFS('Tender Data'!M:M,"Information service activities",'Tender Data'!J:J,"Matatiele Local Municipality")+COUNTIFS('Tender Data'!M:M,"Information and communication",'Tender Data'!J:J,"Matatiele Local Municipality")</f>
        <v/>
      </c>
      <c r="D8">
        <f>COUNTIFS('Tender Data'!J:J,"Matatiele Local Municipality",'Tender Data'!G:G,"Request for Quotation")</f>
        <v/>
      </c>
    </row>
    <row r="9">
      <c r="A9" t="inlineStr">
        <is>
          <t>Ntabankulu LM</t>
        </is>
      </c>
      <c r="B9">
        <f>COUNTIF('Tender Data'!J:J,"Ntabankulu Local Municipality")</f>
        <v/>
      </c>
      <c r="C9">
        <f>COUNTIFS('Tender Data'!M:M,"Information service activities",'Tender Data'!J:J,"Ntabankulu Local Municipality")+COUNTIFS('Tender Data'!M:M,"Information and communication",'Tender Data'!J:J,"Ntabankulu Local Municipality")</f>
        <v/>
      </c>
      <c r="D9">
        <f>COUNTIFS('Tender Data'!J:J,"Ntabankulu Local Municipality",'Tender Data'!G:G,"Request for Quotation")</f>
        <v/>
      </c>
    </row>
    <row r="10">
      <c r="A10" t="inlineStr">
        <is>
          <t>Umzimvubu LM</t>
        </is>
      </c>
      <c r="B10">
        <f>COUNTIF('Tender Data'!J:J,"Umzimvubu Local Municipality")</f>
        <v/>
      </c>
      <c r="C10">
        <f>COUNTIFS('Tender Data'!M:M,"Information service activities",'Tender Data'!J:J,"Umzimvubu Local Municipality")+COUNTIFS('Tender Data'!M:M,"Information and communication",'Tender Data'!J:J,"Umzimvubu Local Municipality")</f>
        <v/>
      </c>
      <c r="D10">
        <f>COUNTIFS('Tender Data'!J:J,"Umzimvubu Local Municipality",'Tender Data'!G:G,"Request for Quotation")</f>
        <v/>
      </c>
    </row>
    <row r="11">
      <c r="A11" t="inlineStr">
        <is>
          <t>Winnie Mandela LM</t>
        </is>
      </c>
      <c r="B11">
        <f>COUNTIF('Tender Data'!J:J,"Winnie Madikizela*")</f>
        <v/>
      </c>
      <c r="C11">
        <f>COUNTIFS('Tender Data'!M:M,"Information service activities",'Tender Data'!J:J,"Winnie Madikizela*")+COUNTIFS('Tender Data'!M:M,"Information and communication",'Tender Data'!J:J,"Winnie Madikizela*")</f>
        <v/>
      </c>
      <c r="D11">
        <f>COUNTIFS('Tender Data'!J:J,"Winnie Madikizela*",'Tender Data'!G:G,"Request for Quotation")</f>
        <v/>
      </c>
    </row>
    <row r="12">
      <c r="A12" t="inlineStr">
        <is>
          <t>Mnquma LM</t>
        </is>
      </c>
      <c r="B12">
        <f>COUNTIF('Tender Data'!J:J,"Mnquma Local Municipality")</f>
        <v/>
      </c>
      <c r="C12">
        <f>COUNTIFS('Tender Data'!M:M,"Information service activities",'Tender Data'!J:J,"Mnquma Local Municipality")+COUNTIFS('Tender Data'!M:M,"Information and communication",'Tender Data'!J:J,"Mnquma Local Municipality")</f>
        <v/>
      </c>
      <c r="D12">
        <f>COUNTIFS('Tender Data'!J:J,"Mnquma Local Municipality",'Tender Data'!G:G,"Request for Quotation")</f>
        <v/>
      </c>
    </row>
    <row r="13">
      <c r="A13" t="inlineStr">
        <is>
          <t>Great Kei LM</t>
        </is>
      </c>
      <c r="B13">
        <f>COUNTIF('Tender Data'!J:J,"Great Kei Local Municipality")</f>
        <v/>
      </c>
      <c r="C13">
        <f>COUNTIFS('Tender Data'!M:M,"Information service activities",'Tender Data'!J:J,"Great Kei Local Municipality")+COUNTIFS('Tender Data'!M:M,"Information and communication",'Tender Data'!J:J,"Great Kei Local Municipality")</f>
        <v/>
      </c>
      <c r="D13">
        <f>COUNTIFS('Tender Data'!J:J,"Great Kei Local Municipality",'Tender Data'!G:G,"Request for Quotation")</f>
        <v/>
      </c>
    </row>
    <row r="14">
      <c r="A14" t="inlineStr">
        <is>
          <t>Amahlathi LM</t>
        </is>
      </c>
      <c r="B14">
        <f>COUNTIF('Tender Data'!J:J,"Amahlathi Local Municipality")</f>
        <v/>
      </c>
      <c r="C14">
        <f>COUNTIFS('Tender Data'!M:M,"Information service activities",'Tender Data'!J:J,"Amahlathi Local Municipality")+COUNTIFS('Tender Data'!M:M,"Information and communication",'Tender Data'!J:J,"Amahlathi Local Municipality")</f>
        <v/>
      </c>
      <c r="D14">
        <f>COUNTIFS('Tender Data'!J:J,"Amahlathi Local Municipality",'Tender Data'!G:G,"Request for Quotation")</f>
        <v/>
      </c>
    </row>
    <row r="15">
      <c r="A15" t="inlineStr">
        <is>
          <t>Raymond Mhlaba LM</t>
        </is>
      </c>
      <c r="B15">
        <f>COUNTIF('Tender Data'!J:J,"Raymond Mhlaba Local Municipality")</f>
        <v/>
      </c>
      <c r="C15">
        <f>COUNTIFS('Tender Data'!M:M,"Information service activities",'Tender Data'!J:J,"Raymond Mhlaba Local Municipality")+COUNTIFS('Tender Data'!M:M,"Information and communication",'Tender Data'!J:J,"Raymond Mhlaba Local Municipality")</f>
        <v/>
      </c>
      <c r="D15">
        <f>COUNTIFS('Tender Data'!J:J,"Raymond Mhlaba Local Municipality",'Tender Data'!G:G,"Request for Quotation")</f>
        <v/>
      </c>
    </row>
    <row r="16">
      <c r="A16" t="inlineStr">
        <is>
          <t>JOSHCO</t>
        </is>
      </c>
      <c r="B16">
        <f>COUNTIF('Tender Data'!J:J,"*Johannesburg Social Housing*")</f>
        <v/>
      </c>
      <c r="C16">
        <f>COUNTIFS('Tender Data'!M:M,"Information service activities",'Tender Data'!J:J,"*Johannesburg Social Housing*")+COUNTIFS('Tender Data'!M:M,"Information and communication",'Tender Data'!J:J,"*Johannesburg Social Housing*")</f>
        <v/>
      </c>
      <c r="D16">
        <f>COUNTIFS('Tender Data'!J:J,"*Johannesburg Social Housing*",'Tender Data'!G:G,"Request for Quotation")</f>
        <v/>
      </c>
    </row>
    <row r="17">
      <c r="A17" t="inlineStr">
        <is>
          <t>GPL</t>
        </is>
      </c>
      <c r="B17">
        <f>COUNTIF('Tender Data'!J:J,"Gauteng Provincial Legislature")</f>
        <v/>
      </c>
      <c r="C17">
        <f>COUNTIFS('Tender Data'!M:M,"Information service activities",'Tender Data'!J:J,"Gauteng Provincial Legislature")+COUNTIFS('Tender Data'!M:M,"Information and communication",'Tender Data'!J:J,"Gauteng Provincial Legislature")</f>
        <v/>
      </c>
      <c r="D17">
        <f>COUNTIFS('Tender Data'!J:J,"Gauteng Provincial Legislature",'Tender Data'!G:G,"Request for Quotation")</f>
        <v/>
      </c>
    </row>
    <row r="18">
      <c r="A18" t="inlineStr">
        <is>
          <t>RAF</t>
        </is>
      </c>
      <c r="B18">
        <f>COUNTIF('Tender Data'!J:J,"Road Accident Fund")</f>
        <v/>
      </c>
      <c r="C18">
        <f>COUNTIFS('Tender Data'!M:M,"Information service activities",'Tender Data'!J:J,"Road Accident Fund")+COUNTIFS('Tender Data'!M:M,"Information and communication",'Tender Data'!J:J,"Road Accident Fund")</f>
        <v/>
      </c>
      <c r="D18">
        <f>COUNTIFS('Tender Data'!J:J,"Road Accident Fund",'Tender Data'!G:G,"Request for Quotation")</f>
        <v/>
      </c>
    </row>
    <row r="19">
      <c r="A19" t="inlineStr">
        <is>
          <t>MM Trading Company</t>
        </is>
      </c>
      <c r="B19">
        <f>COUNTIF('Tender Data'!J:J,"*Metropolitan Trading*")</f>
        <v/>
      </c>
      <c r="C19">
        <f>COUNTIFS('Tender Data'!M:M,"Information service activities",'Tender Data'!J:J,"*Metropolitan Trading*")+COUNTIFS('Tender Data'!M:M,"Information and communication",'Tender Data'!J:J,"*Metropolitan Trading*")</f>
        <v/>
      </c>
      <c r="D19">
        <f>COUNTIFS('Tender Data'!J:J,"*Metropolitan Trading*",'Tender Data'!G:G,"Request for Quotation")</f>
        <v/>
      </c>
    </row>
    <row r="20">
      <c r="A20" t="inlineStr">
        <is>
          <t>Nelson Mandela Bay MM</t>
        </is>
      </c>
      <c r="B20">
        <f>COUNTIF('Tender Data'!J:J,"*Nelson Mandela Bay*")</f>
        <v/>
      </c>
      <c r="C20">
        <f>COUNTIFS('Tender Data'!M:M,"Information service activities",'Tender Data'!J:J,"*Nelson Mandela Bay*")+COUNTIFS('Tender Data'!M:M,"Information and communication",'Tender Data'!J:J,"*Nelson Mandela Bay*")</f>
        <v/>
      </c>
      <c r="D20">
        <f>COUNTIFS('Tender Data'!J:J,"*Nelson Mandela Bay*",'Tender Data'!G:G,"Request for Quotation")</f>
        <v/>
      </c>
    </row>
    <row r="21">
      <c r="A21" t="inlineStr">
        <is>
          <t>Buffalo City MM</t>
        </is>
      </c>
      <c r="B21">
        <f>COUNTIF('Tender Data'!J:J,"*Buffalo City*")</f>
        <v/>
      </c>
      <c r="C21">
        <f>COUNTIFS('Tender Data'!M:M,"Information service activities",'Tender Data'!J:J,"*Buffalo City*")+COUNTIFS('Tender Data'!M:M,"Information and communication",'Tender Data'!J:J,"*Buffalo City*")</f>
        <v/>
      </c>
      <c r="D21">
        <f>COUNTIFS('Tender Data'!J:J,"*Buffalo City*",'Tender Data'!G:G,"Request for Quotation")</f>
        <v/>
      </c>
    </row>
    <row r="22">
      <c r="A22" t="inlineStr">
        <is>
          <t>EC DPW</t>
        </is>
      </c>
      <c r="B22">
        <f>COUNTIF('Tender Data'!J:J,"*Eastern Cape*Public Works*")</f>
        <v/>
      </c>
      <c r="C22">
        <f>COUNTIFS('Tender Data'!M:M,"Information service activities",'Tender Data'!J:J,"*Eastern Cape*Public Works*")+COUNTIFS('Tender Data'!M:M,"Information and communication",'Tender Data'!J:J,"*Eastern Cape*Public Works*")</f>
        <v/>
      </c>
      <c r="D22">
        <f>COUNTIFS('Tender Data'!J:J,"*Eastern Cape*Public Works*",'Tender Data'!G:G,"Request for Quotation")</f>
        <v/>
      </c>
    </row>
    <row r="23">
      <c r="A23" t="inlineStr">
        <is>
          <t>DEL</t>
        </is>
      </c>
      <c r="B23">
        <f>COUNTIF('Tender Data'!J:J,"*Labour*")</f>
        <v/>
      </c>
      <c r="C23">
        <f>COUNTIFS('Tender Data'!M:M,"Information service activities",'Tender Data'!J:J,"*Labour*")+COUNTIFS('Tender Data'!M:M,"Information and communication",'Tender Data'!J:J,"*Labour*")</f>
        <v/>
      </c>
      <c r="D23">
        <f>COUNTIFS('Tender Data'!J:J,"*Labour*",'Tender Data'!G:G,"Request for Quotation")</f>
        <v/>
      </c>
    </row>
    <row r="24">
      <c r="A24" t="inlineStr">
        <is>
          <t>SIU</t>
        </is>
      </c>
      <c r="B24">
        <f>COUNTIF('Tender Data'!J:J,"Special Investigation Unit*")</f>
        <v/>
      </c>
      <c r="C24">
        <f>COUNTIFS('Tender Data'!M:M,"Information service activities",'Tender Data'!J:J,"Special Investigation Unit*")+COUNTIFS('Tender Data'!M:M,"Information and communication",'Tender Data'!J:J,"Special Investigation Unit*")</f>
        <v/>
      </c>
      <c r="D24">
        <f>COUNTIFS('Tender Data'!J:J,"Special Investigation Unit*",'Tender Data'!G:G,"Request for Quotation")</f>
        <v/>
      </c>
    </row>
    <row r="25">
      <c r="A25" t="inlineStr">
        <is>
          <t>GDoH</t>
        </is>
      </c>
      <c r="B25">
        <f>COUNTIF('Tender Data'!J:J,"*Gauteng*Health*")</f>
        <v/>
      </c>
      <c r="C25">
        <f>COUNTIFS('Tender Data'!M:M,"Information service activities",'Tender Data'!J:J,"*Gauteng*Health*")+COUNTIFS('Tender Data'!M:M,"Information and communication",'Tender Data'!J:J,"*Gauteng*Health*")</f>
        <v/>
      </c>
      <c r="D25">
        <f>COUNTIFS('Tender Data'!J:J,"*Gauteng*Health*",'Tender Data'!G:G,"Request for Quotation")</f>
        <v/>
      </c>
    </row>
    <row r="26">
      <c r="A26" t="inlineStr">
        <is>
          <t>DIRCO</t>
        </is>
      </c>
      <c r="B26">
        <f>COUNTIF('Tender Data'!J:J,"*International Relation*")</f>
        <v/>
      </c>
      <c r="C26">
        <f>COUNTIFS('Tender Data'!M:M,"Information service activities",'Tender Data'!J:J,"*International Relation*")+COUNTIFS('Tender Data'!M:M,"Information and communication",'Tender Data'!J:J,"*International Relation*")</f>
        <v/>
      </c>
      <c r="D26">
        <f>COUNTIFS('Tender Data'!J:J,"*International Relation*",'Tender Data'!G:G,"Request for Quotation")</f>
        <v/>
      </c>
    </row>
    <row r="27">
      <c r="A27" t="inlineStr">
        <is>
          <t>DOJ</t>
        </is>
      </c>
      <c r="B27">
        <f>COUNTIF('Tender Data'!J:J,"*Justice*Constitutional*")</f>
        <v/>
      </c>
      <c r="C27">
        <f>COUNTIFS('Tender Data'!M:M,"Information service activities",'Tender Data'!J:J,"*Justice*Constitutional*")+COUNTIFS('Tender Data'!M:M,"Information and communication",'Tender Data'!J:J,"*Justice*Constitutional*")</f>
        <v/>
      </c>
      <c r="D27">
        <f>COUNTIFS('Tender Data'!J:J,"*Justice*Constitutional*",'Tender Data'!G:G,"Request for Quotation")</f>
        <v/>
      </c>
    </row>
    <row r="28">
      <c r="A28" t="inlineStr">
        <is>
          <t>CP JHB</t>
        </is>
      </c>
      <c r="B28">
        <f>COUNTIF('Tender Data'!J:J,"City Power*Johannesburg*")</f>
        <v/>
      </c>
      <c r="C28">
        <f>COUNTIFS('Tender Data'!M:M,"Information service activities",'Tender Data'!J:J,"City Power*Johannesburg*")+COUNTIFS('Tender Data'!M:M,"Information and communication",'Tender Data'!J:J,"City Power*Johannesburg*")</f>
        <v/>
      </c>
      <c r="D28">
        <f>COUNTIFS('Tender Data'!J:J,"City Power*Johannesburg*",'Tender Data'!G:G,"Request for Quotation")</f>
        <v/>
      </c>
    </row>
    <row r="29">
      <c r="A29" t="inlineStr">
        <is>
          <t>W JHB</t>
        </is>
      </c>
      <c r="B29">
        <f>COUNTIF('Tender Data'!J:J,"*Johannesburg Water*")</f>
        <v/>
      </c>
      <c r="C29">
        <f>COUNTIFS('Tender Data'!M:M,"Information service activities",'Tender Data'!J:J,"*Johannesburg Water*")+COUNTIFS('Tender Data'!M:M,"Information and communication",'Tender Data'!J:J,"*Johannesburg Water*")</f>
        <v/>
      </c>
      <c r="D29">
        <f>COUNTIFS('Tender Data'!J:J,"*Johannesburg Water*",'Tender Data'!G:G,"Request for Quotation")</f>
        <v/>
      </c>
    </row>
    <row r="30">
      <c r="B30">
        <f>SUM(B4:B29)</f>
        <v/>
      </c>
      <c r="C30">
        <f>SUM(C4:C29)</f>
        <v/>
      </c>
      <c r="D30">
        <f>SUM(D4:D29)</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2026-06-08T07:23:44Z</dcterms:created>
  <dcterms:modified xmlns:dcterms="http://purl.org/dc/terms/" xmlns:xsi="http://www.w3.org/2001/XMLSchema-instance" xsi:type="dcterms:W3CDTF">2026-06-08T07:23:44Z</dcterms:modified>
</cp:coreProperties>
</file>