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skom" sheetId="1" state="visible" r:id="rId3"/>
    <sheet name="Transnet" sheetId="2" state="visible" r:id="rId4"/>
    <sheet name="Umzimvubu LM" sheetId="3" state="visible" r:id="rId5"/>
    <sheet name="Winnie Mandela LM" sheetId="4" state="visible" r:id="rId6"/>
    <sheet name="RAF" sheetId="5" state="visible" r:id="rId7"/>
    <sheet name="Nelson Mandela Bay MM" sheetId="6" state="visible" r:id="rId8"/>
    <sheet name="EC DPW" sheetId="7" state="visible" r:id="rId9"/>
    <sheet name="DEL" sheetId="8" state="visible" r:id="rId10"/>
    <sheet name="W JHB"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<sst xmlns="http://schemas.openxmlformats.org/spreadsheetml/2006/main" count="1158" uniqueCount="411">
  <si>
    <t xml:space="preserve">Amidel (Pty) Ltd — Tender Analysis: Eskom   |   Report Date: 11 Jun 2026</t>
  </si>
  <si>
    <t xml:space="preserve">#</t>
  </si>
  <si>
    <t xml:space="preserve">Tender ID</t>
  </si>
  <si>
    <t xml:space="preserve">Department</t>
  </si>
  <si>
    <t xml:space="preserve">Description</t>
  </si>
  <si>
    <t xml:space="preserve">Province</t>
  </si>
  <si>
    <t xml:space="preserve">Category</t>
  </si>
  <si>
    <t xml:space="preserve">Publication Date</t>
  </si>
  <si>
    <t xml:space="preserve">Closing Date</t>
  </si>
  <si>
    <t xml:space="preserve">Briefing Date</t>
  </si>
  <si>
    <t xml:space="preserve">Compulsory</t>
  </si>
  <si>
    <t xml:space="preserve">Briefing Venue</t>
  </si>
  <si>
    <t xml:space="preserve">Should we Submit?</t>
  </si>
  <si>
    <t xml:space="preserve">Explanation</t>
  </si>
  <si>
    <t xml:space="preserve">E0926TGSERI</t>
  </si>
  <si>
    <t xml:space="preserve">ESKOM</t>
  </si>
  <si>
    <t xml:space="preserve">SUPPLY OF SEALING STRIP RAW MATERIAL</t>
  </si>
  <si>
    <t xml:space="preserve">National</t>
  </si>
  <si>
    <t xml:space="preserve">Supplies: General</t>
  </si>
  <si>
    <t xml:space="preserve">10 Jun 2026</t>
  </si>
  <si>
    <t xml:space="preserve">30 Jun 2026 10:00</t>
  </si>
  <si>
    <t xml:space="preserve">19 Jun 2026</t>
  </si>
  <si>
    <t xml:space="preserve">No</t>
  </si>
  <si>
    <t xml:space="preserve">TEAMS LINK ATTACHED ON ITT</t>
  </si>
  <si>
    <t xml:space="preserve">NO</t>
  </si>
  <si>
    <t xml:space="preserve">Supply of sealing strip raw material — industrial manufacturing supplies, out of scope. Do not submit.</t>
  </si>
  <si>
    <t xml:space="preserve">E1526TGSERI</t>
  </si>
  <si>
    <t xml:space="preserve">PROVISION OF PERIODICAL TURBINE AND OIL AUXILIARY ANALYSIS AT VARIOUS TGS MANTENANCE SITES, FOR A PERIOD OF 5 YEARS ON AN AS AND WHEN REQUIRED BASIS</t>
  </si>
  <si>
    <t xml:space="preserve">Architectural and engineering activities; technical testing and analysis</t>
  </si>
  <si>
    <t xml:space="preserve">Periodical turbine and oil auxiliary analysis — heavy mechanical/laboratory testing, out of scope. Do not submit.</t>
  </si>
  <si>
    <t xml:space="preserve">E1626TGSERI</t>
  </si>
  <si>
    <t xml:space="preserve">THE SUPPLY AND MANUFACTURING OF JIG PLATE,COUPLING AND ACCESSORIES FOR A PERIOD OF THREE (3) YEARS</t>
  </si>
  <si>
    <t xml:space="preserve">Manufacture of fabricated metal products, except machinery and equipment</t>
  </si>
  <si>
    <t xml:space="preserve">—</t>
  </si>
  <si>
    <t xml:space="preserve">Manufacturing of jig plates, couplings and accessories — fabricated metal manufacturing, out of scope. Do not submit.</t>
  </si>
  <si>
    <t xml:space="preserve">E3030DXEAL</t>
  </si>
  <si>
    <t xml:space="preserve">ASBESTOS REMOVAL, DISPOSAL AND REPLACEMENT AT VARIOUS ESKOM PROPERTIES WITHIN GAUTENG ON AN “AS AND WHEN” REQUIRED BASIS FOR PERIOD OF THREE (3) YEARS</t>
  </si>
  <si>
    <t xml:space="preserve">Gauteng</t>
  </si>
  <si>
    <t xml:space="preserve">Services: General</t>
  </si>
  <si>
    <t xml:space="preserve">09 Jun 2026</t>
  </si>
  <si>
    <t xml:space="preserve">06 Jul 2026 10:00</t>
  </si>
  <si>
    <t xml:space="preserve">17 Jun 2026</t>
  </si>
  <si>
    <t xml:space="preserve">MS Team</t>
  </si>
  <si>
    <t xml:space="preserve">Asbestos removal, disposal and replacement — hazardous-materials/civils work, out of scope. Do not submit.</t>
  </si>
  <si>
    <t xml:space="preserve">OLT2128192</t>
  </si>
  <si>
    <t xml:space="preserve">OFFER TO PURCHASE FOR THE PURCHASE, REMOVE, CUTTING AND LOADING OF ELECTROSTATIC FERROUS SCRAP MATERIAL AT LETHABO POWER STATION FOR CONTRACT DURATION OF 6 MONTHS</t>
  </si>
  <si>
    <t xml:space="preserve">Disposals: General</t>
  </si>
  <si>
    <t xml:space="preserve">15 Jun 2026 10:00</t>
  </si>
  <si>
    <t xml:space="preserve">Offer to purchase scrap ferrous material — scrap metal disposal, out of scope. Do not submit.</t>
  </si>
  <si>
    <t xml:space="preserve">E1209GXMPCAMC</t>
  </si>
  <si>
    <t xml:space="preserve">Cancellation of E1209GXMPCAM Turbine Welding and Maintenance Service Contract on an as and when Required Basis for a Period of 60 months at Camden Power Station</t>
  </si>
  <si>
    <t xml:space="preserve">Mpumalanga</t>
  </si>
  <si>
    <t xml:space="preserve">17 Jun 2026 10:00</t>
  </si>
  <si>
    <t xml:space="preserve">Cancellation notice for turbine welding contract — no action required. Do not submit.</t>
  </si>
  <si>
    <t xml:space="preserve">E3023GXMPKEN</t>
  </si>
  <si>
    <t xml:space="preserve">SUPPLY AND DELIVERY OF WELLAND &amp; TUXHORN CONTROL VALVES AND 22 kV COMPRESSOR (SVD 600/250-350) SPARES ON " AS AND WHEN REQUIRED BASIS"</t>
  </si>
  <si>
    <t xml:space="preserve">19 Jun 2026 10:00</t>
  </si>
  <si>
    <t xml:space="preserve">Yes</t>
  </si>
  <si>
    <t xml:space="preserve">Supply of control valves and compressor spares — mechanical OEM spares, out of scope. Do not submit.</t>
  </si>
  <si>
    <t xml:space="preserve">E3049GXMPKUS</t>
  </si>
  <si>
    <t xml:space="preserve">Purchase and removal of scrap ferrous metal (Steel, Sub-Grade, CT's, VT's, Steel Cages, Porcelain, Rubber, Recloser/Breakers, Insulators, Isolators and linehardware) at Kusile Power Station on “as and when” required basis for a contract period of 24 months</t>
  </si>
  <si>
    <t xml:space="preserve">25 Jun 2026 10:00</t>
  </si>
  <si>
    <t xml:space="preserve">Purchase and removal of scrap ferrous metal at Kusile — scrap disposal, out of scope. Do not submit.</t>
  </si>
  <si>
    <t xml:space="preserve">E3019DXMWP</t>
  </si>
  <si>
    <t xml:space="preserve">The supply, delivery, offload, transport or carry and pack in store of stationery for a period of 36 months</t>
  </si>
  <si>
    <t xml:space="preserve">Supplies: Stationery/Printing</t>
  </si>
  <si>
    <t xml:space="preserve">30 Jun 2026 11:00</t>
  </si>
  <si>
    <t xml:space="preserve">MS Teams</t>
  </si>
  <si>
    <t xml:space="preserve">Supply and delivery of stationery — general supplies, out of scope. Do not submit.</t>
  </si>
  <si>
    <t xml:space="preserve">E3041GXMPKEN</t>
  </si>
  <si>
    <t xml:space="preserve">Maintenance services of the coal analysers (NITA IV System) for a period of 5 years at Kendal Power</t>
  </si>
  <si>
    <t xml:space="preserve">Manufacture of machinery and equipment n.e.c.</t>
  </si>
  <si>
    <t xml:space="preserve">Maintenance of NITA IV coal analysers — specialist OEM instrumentation, out of scope. Do not submit.</t>
  </si>
  <si>
    <t xml:space="preserve">MWP2248NTCSA-Raward</t>
  </si>
  <si>
    <t xml:space="preserve">Notification of award for design, supply and delivery of capacitor cans on an “as and when” required basis for Transmission over a five (5) year period.</t>
  </si>
  <si>
    <t xml:space="preserve">Supplies: Electrical Equipment</t>
  </si>
  <si>
    <t xml:space="preserve">Notification of award (capacitor cans) — informational notice only, no bid open. Do not submit.</t>
  </si>
  <si>
    <t xml:space="preserve">E2774NTCSATXbidders</t>
  </si>
  <si>
    <t xml:space="preserve">Publication of bidders tender for the design, manufacture, testing and supply of Substation Stranded Conductor Clamps and Substation Hardware, on an as and when required basis.</t>
  </si>
  <si>
    <t xml:space="preserve">Other manufacturing</t>
  </si>
  <si>
    <t xml:space="preserve">Publication of bidders list (conductor clamps) — informational notice only. Do not submit.</t>
  </si>
  <si>
    <t xml:space="preserve">E3022GXMPTUT</t>
  </si>
  <si>
    <t xml:space="preserve">The Provision of Aerial security Surveillance and armed response team for Tutuka Power Station National Key Point and Outside areas for a period of 36 months</t>
  </si>
  <si>
    <t xml:space="preserve">Security and investigation activities</t>
  </si>
  <si>
    <t xml:space="preserve">30 Jun 2026</t>
  </si>
  <si>
    <t xml:space="preserve">https://teams.microsoft.com/meet/392308520800461?p=gZS2fZyfcuQpQlGqoo</t>
  </si>
  <si>
    <t xml:space="preserve">YES</t>
  </si>
  <si>
    <t xml:space="preserve">Aerial security surveillance and armed response at Tutuka NKP for 36 months — direct fit with Amidel Security Services (armed response, surveillance technology); National Key Point experience is a strong differentiator. Non-compulsory briefing 30 Jun via Teams. Submit.</t>
  </si>
  <si>
    <t xml:space="preserve">E2949GXMPARN</t>
  </si>
  <si>
    <t xml:space="preserve">Arnot AGC and Generator Plant RTU Upgrade for the period of 18 months</t>
  </si>
  <si>
    <t xml:space="preserve">Other service activities</t>
  </si>
  <si>
    <t xml:space="preserve">msteams</t>
  </si>
  <si>
    <t xml:space="preserve">Debatable</t>
  </si>
  <si>
    <t xml:space="preserve">Arnot AGC and Generator Plant RTU upgrade — SCADA/RTU OT scope, viable only with a power-control OEM partner (e.g. Schneider, Siemens, GE). Escalate to Dror.</t>
  </si>
  <si>
    <t xml:space="preserve">E3037NTCSAMWP</t>
  </si>
  <si>
    <t xml:space="preserve">The scope of work (SOW) is limited to the design, manufacture, testing, supply, delivery (Inclusive of training and spares), installation and commissioning of the Online vibration monitoring system on oil filled HV Reactors</t>
  </si>
  <si>
    <t xml:space="preserve">Manufacture of electrical equipment</t>
  </si>
  <si>
    <t xml:space="preserve">Online vibration monitoring system on oil-filled HV reactors — condition-monitoring OT scope incl. design, install and commissioning; viable only with a vibration-monitoring OEM partner (e.g. Bently Nevada, SKF). Escalate to Dror.</t>
  </si>
  <si>
    <t xml:space="preserve">ERI/2025/BMS/09 regret letter</t>
  </si>
  <si>
    <t xml:space="preserve">Regret letter for Provision of Maintenance Services of the Conveyor Belt Systems at Duvha Power Station for a Period of Thirty-six (36) months for Eskom Rotek Industries.</t>
  </si>
  <si>
    <t xml:space="preserve">Regret letter for conveyor belt maintenance — informational notice only. Do not submit.</t>
  </si>
  <si>
    <t xml:space="preserve">E3040DXGOU</t>
  </si>
  <si>
    <t xml:space="preserve">Design, Supply, Install and Refurbish Solar Photovoltaic and Battery Energy Storage System in Gauteng Cluster - Microgrid Storage Containers on an as and when required basis for the period of 5 years.</t>
  </si>
  <si>
    <t xml:space="preserve">Services: Electrical</t>
  </si>
  <si>
    <t xml:space="preserve">03 Jul 2026 11:00</t>
  </si>
  <si>
    <t xml:space="preserve">Microsoft Teams</t>
  </si>
  <si>
    <t xml:space="preserve">Design, supply, install and refurbish solar PV and BESS microgrid containers — renewable-energy EPC/electrical works, out of scope. Compulsory briefing applies but tender is not viable. Do not submit.</t>
  </si>
  <si>
    <t xml:space="preserve">E2892GXMPKUSR</t>
  </si>
  <si>
    <t xml:space="preserve">Provision of physical security services at the Kusile Power Station for period of 24 Months. Reissue</t>
  </si>
  <si>
    <t xml:space="preserve">03 Jul 2026 10:00</t>
  </si>
  <si>
    <t xml:space="preserve">Physical security services at Kusile Power Station for 24 months (reissue) — direct fit with Amidel Security Services guarding division; power-station NKP-grade contract. Submit.</t>
  </si>
  <si>
    <t xml:space="preserve">E3034DXGOU</t>
  </si>
  <si>
    <t xml:space="preserve">Provision of service provider of MV &amp; LV Line Construction Training in the Gemma Cluster (Northwest &amp; Northern Cape) Distribution for 3 years</t>
  </si>
  <si>
    <t xml:space="preserve">North West</t>
  </si>
  <si>
    <t xml:space="preserve">Education</t>
  </si>
  <si>
    <t xml:space="preserve">22 Jun 2026</t>
  </si>
  <si>
    <t xml:space="preserve">MS TEAMS</t>
  </si>
  <si>
    <t xml:space="preserve">MV &amp; LV line construction training provider — powerline technical training, out of scope. Do not submit.</t>
  </si>
  <si>
    <t xml:space="preserve">E2633CXMWPRR</t>
  </si>
  <si>
    <t xml:space="preserve">Tender Cancellation E2633CXMWPRR - Provision of Tax Health Assessment Review at Eskom Holdings SOC Ltd and National Transmission Company South Africa (NTCSA) for the Period of Twelve (12) Months.</t>
  </si>
  <si>
    <t xml:space="preserve">Financial and insurance activities</t>
  </si>
  <si>
    <t xml:space="preserve">10 Jul 2026 10:00</t>
  </si>
  <si>
    <t xml:space="preserve">Cancellation notice for tax health assessment tender — no action required. Do not submit.</t>
  </si>
  <si>
    <t xml:space="preserve">E2446GXLPMATR</t>
  </si>
  <si>
    <t xml:space="preserve">Re issue of Service and calibration of laboratory and online instruments for period of 5 years</t>
  </si>
  <si>
    <t xml:space="preserve">Limpopo</t>
  </si>
  <si>
    <t xml:space="preserve">Manufacture of chemicals and chemical products</t>
  </si>
  <si>
    <t xml:space="preserve">13 Jul 2026 10:00</t>
  </si>
  <si>
    <t xml:space="preserve">Service and calibration of laboratory and online instruments — specialist lab instrumentation, out of scope despite compulsory briefing. Do not submit.</t>
  </si>
  <si>
    <t xml:space="preserve">E3029NTCSASG</t>
  </si>
  <si>
    <t xml:space="preserve">SUPPLY AND DELIVERY OF STATIONERY ON AN "AS AND WHEN" REQUIRED BASIS AT SIMMERPAN AND APOLLO &amp;CENTRALISED SERVICES FOR A PERIOD OF 60 MONTHS.</t>
  </si>
  <si>
    <t xml:space="preserve">16 Jul 2026 10:00</t>
  </si>
  <si>
    <t xml:space="preserve">25 Jun 2026</t>
  </si>
  <si>
    <t xml:space="preserve">https://teams.microsoft.com/meet/364634350519423?p=aU16WoRp5WYoLG5w76</t>
  </si>
  <si>
    <t xml:space="preserve">E2991GXMPLET</t>
  </si>
  <si>
    <t xml:space="preserve">SUPPLY AND DELIVERY OF JOINTS ON AN AS AND WHEN REQUIRED BASIS FOR A PERIOD OF 5 YEARS AT LETHABO POWER STATION</t>
  </si>
  <si>
    <t xml:space="preserve">Free State</t>
  </si>
  <si>
    <t xml:space="preserve">17 Jul 2026 10:00</t>
  </si>
  <si>
    <t xml:space="preserve">MS teams link:Meeting ID: 314 121 167 220 847 Passcode: Mv32Th3U</t>
  </si>
  <si>
    <t xml:space="preserve">Supply and delivery of joints at Lethabo — electrical/mechanical consumables, out of scope. Do not submit.</t>
  </si>
  <si>
    <t xml:space="preserve">E3035NTCSASG</t>
  </si>
  <si>
    <t xml:space="preserve">SUPPLY AND DELIVERY OF SEAL KIT FOR BBC DC AIR BLAST CIRCUIT BREAKERS FOR NTCSA APOLLO &amp; CS (ONCE OFF PURCHASE)</t>
  </si>
  <si>
    <t xml:space="preserve">23 Jul 2026 10:00</t>
  </si>
  <si>
    <t xml:space="preserve">02 Jul 2026</t>
  </si>
  <si>
    <t xml:space="preserve">https://teams.microsoft.com/meet/363347556815839?p=gOSyKB5bBCnTbzu0xC</t>
  </si>
  <si>
    <t xml:space="preserve">Seal kits for BBC DC air blast circuit breakers — HV switchgear OEM spares, out of scope. Do not submit.</t>
  </si>
  <si>
    <t xml:space="preserve">E2147GCMWPCANCEL</t>
  </si>
  <si>
    <t xml:space="preserve">Cancellation of tender number E2147GCMWP for the appointment of a Specialist Quality Control Inspectorate (QCI) Service Provider for a Period of Six (06) years</t>
  </si>
  <si>
    <t xml:space="preserve">31 Jul 2026 11:00</t>
  </si>
  <si>
    <t xml:space="preserve">Cancellation notice (Quality Control Inspectorate) — no action required. Do not submit.</t>
  </si>
  <si>
    <t xml:space="preserve">E2006GCMWPCANCEL</t>
  </si>
  <si>
    <t xml:space="preserve">Cancellation of the tender E2006GCMWP for Safety and Health Services Provider for the Group Capital Division</t>
  </si>
  <si>
    <t xml:space="preserve">Services: Professional</t>
  </si>
  <si>
    <t xml:space="preserve">31 Jul 2026 10:00</t>
  </si>
  <si>
    <t xml:space="preserve">Cancellation notice (Safety and Health Services) — no action required. Do not submit.</t>
  </si>
  <si>
    <t xml:space="preserve">E2005GCMWPCANCEL</t>
  </si>
  <si>
    <t xml:space="preserve">Cancellation the tender E2005GCMWP for the Provision for the Appointment of a Specialist Quality Assurance and Quality Control (QA/QC) Service Provider for Group Capital Division (GCD) for a period of 04 (four) years</t>
  </si>
  <si>
    <t xml:space="preserve">Cancellation notice (QA/QC Service Provider) — no action required. Do not submit.</t>
  </si>
  <si>
    <t xml:space="preserve">E2778DXGOUBidderslist</t>
  </si>
  <si>
    <t xml:space="preserve">E2778DXGOUBidders List - Installation of Smart Meters to reduce the number of customers affected by Load reduction for a period of 1 (one) year on an “as and when” required basis.</t>
  </si>
  <si>
    <t xml:space="preserve">Electricity, gas, steam and air conditioning</t>
  </si>
  <si>
    <t xml:space="preserve">31 Dec 2026 10:00</t>
  </si>
  <si>
    <t xml:space="preserve">Bidders list publication for smart meter installation — informational notice only, no bid open. Do not submit.</t>
  </si>
  <si>
    <t xml:space="preserve">Amidel (Pty) Ltd — Tender Analysis: Transnet   |   Report Date: 11 Jun 2026</t>
  </si>
  <si>
    <t xml:space="preserve">TPT/2026/06/0612/6847/RFQ</t>
  </si>
  <si>
    <t xml:space="preserve">Transnet SOC Ltd</t>
  </si>
  <si>
    <t xml:space="preserve">dust suppression cannon spray truck for 2 months</t>
  </si>
  <si>
    <t xml:space="preserve">KwaZulu-Natal</t>
  </si>
  <si>
    <t xml:space="preserve">12 Jun 2026 15:00</t>
  </si>
  <si>
    <t xml:space="preserve">Dust suppression cannon spray truck hire — plant hire, out of scope. Do not submit.</t>
  </si>
  <si>
    <t xml:space="preserve">TE/2026/06/2081/6579/RFQ</t>
  </si>
  <si>
    <t xml:space="preserve">FOR THE APPOINTMENT OF A SERVICE PROVIDER TO SUPPLY AND INSTALL REFRIGERATED AIR DRYER AND AIR HOIST AS AND WHEN REQUIRED FOR A PERIOD OF 5 MONTHS.</t>
  </si>
  <si>
    <t xml:space="preserve">16 Jun 2026 16:00</t>
  </si>
  <si>
    <t xml:space="preserve">Transnet Engineering 311 Solomon Mahlangu Drive</t>
  </si>
  <si>
    <t xml:space="preserve">Supply and install refrigerated air dryer and air hoist — mechanical equipment, out of scope. Do not submit.</t>
  </si>
  <si>
    <t xml:space="preserve">TE/2026/06/2108/6661/RFQ</t>
  </si>
  <si>
    <t xml:space="preserve">FOR THE PROVISION OF SERVICE FOR THE REFURBISHMENT OF CHEMICAL TANKS (BATH) IN PLATING SHOP MANUFACTURING BUSINESS AT COACHES PLANT IN KOEDOESPOORT FOR A ONCE OFF PERIOD.</t>
  </si>
  <si>
    <t xml:space="preserve">19 Jun 2026 16:00</t>
  </si>
  <si>
    <t xml:space="preserve">Coaches boardroom (opposite PEMM) Transnet Engineering 160 Lynette St. and Koedoespoort Rd</t>
  </si>
  <si>
    <t xml:space="preserve">Refurbishment of chemical tanks in plating shop — industrial chemicals/mechanical, out of scope. Do not submit.</t>
  </si>
  <si>
    <t xml:space="preserve">TE/2026/06/2166/6804/RFQ</t>
  </si>
  <si>
    <t xml:space="preserve">FOR THE PROVISION OF HIRING SERVICES FOR A THREE-WHEELER WELDING MACHINE, BUSINESS GERMISTON ON AN AS-AND-WHEN-REQUIRED BASIS FOR A PERIOD OF TWELVE (12) MONTHS, AT TRANSNET ENGINEERING.</t>
  </si>
  <si>
    <t xml:space="preserve">26 Jun 2026 15:00</t>
  </si>
  <si>
    <t xml:space="preserve">03 Keswick Road, Germiston</t>
  </si>
  <si>
    <t xml:space="preserve">Hire of three-wheeler welding machine — plant hire, out of scope. Do not submit.</t>
  </si>
  <si>
    <t xml:space="preserve">TE/2026/05/1915/6143/RFQ</t>
  </si>
  <si>
    <t xml:space="preserve">SUPPLY, OVERHAUL, TESTING, CALIBRATION AND COMMISSIONING OF ALPHA IMAGE 3D CO-ORDINATE MEASURING MACHINE ALPHA IMAGE FOR METROLOGY BUSINESS</t>
  </si>
  <si>
    <t xml:space="preserve">08 Jun 2026</t>
  </si>
  <si>
    <t xml:space="preserve">30 Jun 2026 12:00</t>
  </si>
  <si>
    <t xml:space="preserve">https://teams.microsoft.com/meet/330053538745480?p=XS7iWWlIILm5FGonUK</t>
  </si>
  <si>
    <t xml:space="preserve">Overhaul and calibration of 3D coordinate measuring machine — specialist metrology, out of scope. Do not submit.</t>
  </si>
  <si>
    <t xml:space="preserve">TE/2026/06/2129/6722/RFQ</t>
  </si>
  <si>
    <t xml:space="preserve">SUPPLY,DELIVERY,INSTALLATION,INCLUDING PLUMBING WORK OF 30 HYDROBOILS FOR DURBAN MAIN CENTRE TRANSNET ENGINEERING FOR THE PERIOD OF SIX (6) MONTHS</t>
  </si>
  <si>
    <t xml:space="preserve">Construction</t>
  </si>
  <si>
    <t xml:space="preserve">30 Jun 2026 13:00</t>
  </si>
  <si>
    <t xml:space="preserve">18 Jun 2026</t>
  </si>
  <si>
    <t xml:space="preserve">Supply and install 30 hydroboils incl. plumbing — plumbing/construction, out of scope. Do not submit.</t>
  </si>
  <si>
    <t xml:space="preserve">-PPA-107304-tpt/2026/06/0604/6746/rfq</t>
  </si>
  <si>
    <t xml:space="preserve">FOR THE PROVISION OF SERVICING AND DISPOSAL OF SEWAGE IN SEPTIC TANK TRANSNET SOC LIMITED [REG.NO 1990/000900/30] OPERATING AS TRANSNET PORT TERMINALS (HEREINAFTER TO AS “TPT”) AT THE PORT OF RICHARDS BAY TERMINAL</t>
  </si>
  <si>
    <t xml:space="preserve">Sewerage</t>
  </si>
  <si>
    <t xml:space="preserve">11 Jun 2026 16:00</t>
  </si>
  <si>
    <t xml:space="preserve">Servicing and disposal of sewage in septic tanks — sanitation services, out of scope. Closes today (11 Jun 16:00) but not viable. Do not submit.</t>
  </si>
  <si>
    <t xml:space="preserve">TPT/2026/06/0554/6344/RFI</t>
  </si>
  <si>
    <t xml:space="preserve">RFI REQUEST TO LEASE, SUPPLY, INSTALLATION AND MAINTENANCE OF AN AUTOMATED VEHICLE INSPECTION BOOTH FOR A PERIOD OF 60 MONTHS CAR TERMINAL OPERATIONS IN VARIOUS AREAS AT FOR TRANSNET PORT TERMINALS, OPERATING DIVISION OF TRANSNET</t>
  </si>
  <si>
    <t xml:space="preserve">Manufacture of motor vehicles, trailers and semi-trailers</t>
  </si>
  <si>
    <t xml:space="preserve">22 Jun 2026 14:00</t>
  </si>
  <si>
    <t xml:space="preserve">MHA Building, Quayside Road, South Beach, Port of Durban on the 12 June 2026, at 12:00 noon</t>
  </si>
  <si>
    <t xml:space="preserve">RFI for lease, supply, install and maintain an automated vehicle inspection booth (60 months) — machine-vision/automation scope adjacent to Amidel AI capability, viable only with an inspection-systems OEM partner. RFI = low-cost intelligence opportunity; compulsory briefing 12 Jun 12:00, MHA Building, Port of Durban. Escalate to Dror.</t>
  </si>
  <si>
    <t xml:space="preserve">PPA - 122409</t>
  </si>
  <si>
    <t xml:space="preserve">supply and installation of gallery lights, electrical works, and conveyor electrical works for Transnet soc LTD (reg. n0 1990/000900/30) operating as Transnet port terminals (hereinafter referred to as “TPT”) for Port of Richards Bay — Port Rail Terminal (PRT) CHROME SHUTDOWN, as once off.</t>
  </si>
  <si>
    <t xml:space="preserve">25 Jun 2026 12:00</t>
  </si>
  <si>
    <t xml:space="preserve">Transnet Port Terminal (Habour) Mhlathuze Building in Port of Richards Bay</t>
  </si>
  <si>
    <t xml:space="preserve">Supply and install gallery lights and conveyor electrical works — electrical installation, out of scope. Do not submit.</t>
  </si>
  <si>
    <t xml:space="preserve">REQUEST FOR MAINTAINING, SERVICE AND REFILLING OF</t>
  </si>
  <si>
    <t xml:space="preserve">REQUEST FOR MAINTAINING, SERVICE AND REFILLING OF FIRE EQUIPMENT AT THE BLOEMFONTEIN</t>
  </si>
  <si>
    <t xml:space="preserve">Repair and installation of machinery and equipment</t>
  </si>
  <si>
    <t xml:space="preserve">03 Jul 2026 16:00</t>
  </si>
  <si>
    <t xml:space="preserve">23 Jun 2026</t>
  </si>
  <si>
    <t xml:space="preserve">Transnet Engineering Bloemfontein</t>
  </si>
  <si>
    <t xml:space="preserve">Maintenance, service and refilling of fire equipment at Bloemfontein — fire-services scope, viable only with a SAQCC-Fire registered partner. Compulsory briefing 23 Jun at Transnet Engineering Bloemfontein. Escalate to Dror.</t>
  </si>
  <si>
    <t xml:space="preserve">TNPA/2026/02/0309/2080/RFQ</t>
  </si>
  <si>
    <t xml:space="preserve">FOR THE PROVISION FOR MAINTENANCE, SERVICE AND AD HOC REPAIRS OF 2 X LIERBERT-HIROSS M34UA DOWN BLOW CLOSE CONTROL TYPE AND THEIR ASSOCIATED EQUIPMENT FOR A PERIOD OF 36 MONTHS FOR TRANSNET NATIONAL PORTS AUTHORITY- PORT OF RICHARDS BAY</t>
  </si>
  <si>
    <t xml:space="preserve">Employee Care Center</t>
  </si>
  <si>
    <t xml:space="preserve">Maintenance and repair of Liebert-Hiross close control HVAC units — specialist HVAC, out of scope. Do not submit.</t>
  </si>
  <si>
    <t xml:space="preserve">Amidel (Pty) Ltd — Tender Analysis: Umzimvubu LM   |   Report Date: 11 Jun 2026</t>
  </si>
  <si>
    <t xml:space="preserve">UMZ/2026-27/INFRA/MIG/012</t>
  </si>
  <si>
    <t xml:space="preserve">Umzimvubu Local Municipality</t>
  </si>
  <si>
    <t xml:space="preserve">INSTALLATION OF 50 SOLAR STREETLIGHTS IN EMAXESIBENI</t>
  </si>
  <si>
    <t xml:space="preserve">Eastern Cape</t>
  </si>
  <si>
    <t xml:space="preserve">24 Jun 2026 12:00</t>
  </si>
  <si>
    <t xml:space="preserve">EMAXESIBENI OFFICES UMZIMVUBU LOCAL MUNICIPALITY</t>
  </si>
  <si>
    <t xml:space="preserve">Installation of 50 solar streetlights — electrical/civils installation, out of scope. Do not submit.</t>
  </si>
  <si>
    <t xml:space="preserve">UMZ/2026-27/INFRA/CAP/006</t>
  </si>
  <si>
    <t xml:space="preserve">MGUNGUNDLOVU ACCESS ROAD MAINTENANCE</t>
  </si>
  <si>
    <t xml:space="preserve">KwaBhaca new offices</t>
  </si>
  <si>
    <t xml:space="preserve">Access road maintenance — civil construction, out of scope. Do not submit.</t>
  </si>
  <si>
    <t xml:space="preserve">UMZ/2026-27/INFRA/CAP/007</t>
  </si>
  <si>
    <t xml:space="preserve">MPUNGUTYANA TO BHALETYENI ACCESS ROAD MAINTENANCE</t>
  </si>
  <si>
    <t xml:space="preserve">UMZ/2026-27/INFRA/CAP/009</t>
  </si>
  <si>
    <t xml:space="preserve">ADVERT FOR BAPHATHE ACCESS ROAD MAINTENANCE</t>
  </si>
  <si>
    <t xml:space="preserve">29 Jun 2026 12:00</t>
  </si>
  <si>
    <t xml:space="preserve">UMZ/2026-27/INFRA/CAP/010</t>
  </si>
  <si>
    <t xml:space="preserve">ADVERT FOR EHLANE-EXTENSION OF ROAD AND HLANE ACCESS ROAD MAINTAINANCE</t>
  </si>
  <si>
    <t xml:space="preserve">Access road extension and maintenance — civil construction, out of scope. Do not submit.</t>
  </si>
  <si>
    <t xml:space="preserve">UMZ/2026-27/INFRA/CAP/011</t>
  </si>
  <si>
    <t xml:space="preserve">ADVERT FOR CONSTRUCTION OF BADIBANISE ACCESS ROAD</t>
  </si>
  <si>
    <t xml:space="preserve">Construction of access road — civil construction, out of scope. Do not submit.</t>
  </si>
  <si>
    <t xml:space="preserve">UMZ/2026-27/INFRA/CAP/014</t>
  </si>
  <si>
    <t xml:space="preserve">ADVERT FOR BHAKALENI TO SEKILENI VIA SHINTA TO BOSS ACCESS ROAD MAINTANANCE</t>
  </si>
  <si>
    <t xml:space="preserve">UMZ/2026-27/INFRA/CAP/019</t>
  </si>
  <si>
    <t xml:space="preserve">ADVERT FOR SHAYAMOYA TO HLEHLE VIA KOMKHULU EZIXHOBO TO SIQHINGENI PRIMARY ACCESS ROAD MAINTENANCE</t>
  </si>
  <si>
    <t xml:space="preserve">UMZ/2026-27/INFRA/CAP/016</t>
  </si>
  <si>
    <t xml:space="preserve">ADVERT FOR MHLANGANISWENI ACCESS ROAD MAINTENANCE</t>
  </si>
  <si>
    <t xml:space="preserve">01 Jul 2026 12:00</t>
  </si>
  <si>
    <t xml:space="preserve">UMZ-2026-27/INFRA/CAP/015</t>
  </si>
  <si>
    <t xml:space="preserve">ADVERT FOR DANGWANA /ZINGCUKA ACCESS ROAD MAINTANANCE</t>
  </si>
  <si>
    <t xml:space="preserve">UMZ/2026-27/INFRA/CAP/008</t>
  </si>
  <si>
    <t xml:space="preserve">ADVERT FOR NIYONA ACCESS ROAD MAINTENANCE</t>
  </si>
  <si>
    <t xml:space="preserve">02 Jul 2026 12:00</t>
  </si>
  <si>
    <t xml:space="preserve">UMZ/2026-27/INFRA/CAP/017</t>
  </si>
  <si>
    <t xml:space="preserve">MATYAMHLOPHE VIA HUBA DESKSPAN ACCESS ROAD MAINTENANCE</t>
  </si>
  <si>
    <t xml:space="preserve">Amidel (Pty) Ltd — Tender Analysis: Winnie Mandela LM   |   Report Date: 11 Jun 2026</t>
  </si>
  <si>
    <t xml:space="preserve">WWM-LM 19/02/26/01 PPE</t>
  </si>
  <si>
    <t xml:space="preserve">Winnie Madikizela-Mandela Local Municipality</t>
  </si>
  <si>
    <t xml:space="preserve">Supply and Delivery of PPE: Environmental Services for 24 Months</t>
  </si>
  <si>
    <t xml:space="preserve">22 Jun 2026 12:00</t>
  </si>
  <si>
    <t xml:space="preserve">Supply and delivery of PPE for environmental services — PPE supplies, out of scope. Do not submit.</t>
  </si>
  <si>
    <t xml:space="preserve">Amidel (Pty) Ltd — Tender Analysis: RAF   |   Report Date: 11 Jun 2026</t>
  </si>
  <si>
    <t xml:space="preserve">PR10116170</t>
  </si>
  <si>
    <t xml:space="preserve">Road Accident Fund</t>
  </si>
  <si>
    <t xml:space="preserve">The Road Accident Fund (RAF) wishes to appoint a diligent, professional and efficient service provider to provide Regulation 21 refresher exercises for handgun, self-loading rifle and Shooting Range facility for Security Personnels for a period of twelve (12) months.</t>
  </si>
  <si>
    <t xml:space="preserve">15 Jun 2026 11:00</t>
  </si>
  <si>
    <t xml:space="preserve">MAYBE</t>
  </si>
  <si>
    <t xml:space="preserve">Regulation 21 firearm refresher training (handgun, self-loading rifle) plus shooting range facility for RAF security personnel for 12 months — security-adjacent fit, but requires SAPS/PFTC-accredited firearm training provider status and an accessible shooting range. Verify accreditation (or accredited training partner) before the 15 Jun 11:00 deadline. Escalate to Dror.</t>
  </si>
  <si>
    <t xml:space="preserve">PR10116561</t>
  </si>
  <si>
    <t xml:space="preserve">The Road Accident Fund (RAF) wishes to appoint a suitable service provider to provide Office Space for Rental for RAF Polokwane CEC Office for a period of six (6) months starting from 01 September 2026</t>
  </si>
  <si>
    <t xml:space="preserve">Rental and leasing activities</t>
  </si>
  <si>
    <t xml:space="preserve">15 Jun 2026 14:00</t>
  </si>
  <si>
    <t xml:space="preserve">Office space rental for RAF Polokwane — property rental, out of scope. Do not submit.</t>
  </si>
  <si>
    <t xml:space="preserve">PR10116560</t>
  </si>
  <si>
    <t xml:space="preserve">The Road Accident Fund (RAF) wishes to appoint a suitable service provider to provide Office Space for Rental for RAF Nelspruit CEC Office for a period of six (6) months starting from 01 September 2026.</t>
  </si>
  <si>
    <t xml:space="preserve">15 Jun 2026 15:00</t>
  </si>
  <si>
    <t xml:space="preserve">Office space rental for RAF Nelspruit — property rental, out of scope. Do not submit.</t>
  </si>
  <si>
    <t xml:space="preserve">Amidel (Pty) Ltd — Tender Analysis: Nelson Mandela Bay MM   |   Report Date: 11 Jun 2026</t>
  </si>
  <si>
    <t xml:space="preserve">SCM/1220/G/2024-2025</t>
  </si>
  <si>
    <t xml:space="preserve">Nelson Mandela Bay Municipality</t>
  </si>
  <si>
    <t xml:space="preserve">SUPPLY, DELIVERY AND TRANSPORT OF CHEMICALS AND GASSES FOR THE TREATMENT OF WATER, WASTEWATER AND SWIMMING POOLS</t>
  </si>
  <si>
    <t xml:space="preserve">06 Aug 2026 11:00</t>
  </si>
  <si>
    <t xml:space="preserve">Supply of water treatment chemicals and gases — industrial chemicals, out of scope. Do not submit.</t>
  </si>
  <si>
    <t xml:space="preserve">SCM/1358/S/2025-2026</t>
  </si>
  <si>
    <t xml:space="preserve">Conducting of Social Facilitation services on Informal Settlements Upgrading Partnership Grant (ISUPG) projects</t>
  </si>
  <si>
    <t xml:space="preserve">Social facilitation services for informal settlement upgrading — community facilitation, out of scope. Do not submit.</t>
  </si>
  <si>
    <t xml:space="preserve">Amidel (Pty) Ltd — Tender Analysis: EC DPW   |   Report Date: 11 Jun 2026</t>
  </si>
  <si>
    <t xml:space="preserve">SCMU5-26/27-0008</t>
  </si>
  <si>
    <t xml:space="preserve">Eastern Cape - Roads and Public Works</t>
  </si>
  <si>
    <t xml:space="preserve">PROVISION OF PROFESSIONAL CIVIL/STRUCTURAL ENGINEERING SERVICES FOR CONSTRUCTION OF MOLTENO CLINIC</t>
  </si>
  <si>
    <t xml:space="preserve">Civil engineering</t>
  </si>
  <si>
    <t xml:space="preserve">07 Jul 2026 11:00</t>
  </si>
  <si>
    <t xml:space="preserve">Professional civil/structural engineering for Molteno Clinic — civil engineering, out of scope. Do not submit.</t>
  </si>
  <si>
    <t xml:space="preserve">SCMU5-26/27-0019</t>
  </si>
  <si>
    <t xml:space="preserve">PROVISION OF PROFESSIONAL CIVIL AND STRUCTURAL ENGINEERING SERVICES FOR THE CONSTRUCTION OF XHORA MOUTH CLINIC</t>
  </si>
  <si>
    <t xml:space="preserve">Professional civil/structural engineering for Xhora Mouth Clinic — civil engineering, out of scope. Do not submit.</t>
  </si>
  <si>
    <t xml:space="preserve">SCMU5-26/27-0009</t>
  </si>
  <si>
    <t xml:space="preserve">TERM CONTRACT FOR MANAGEMENT AND ADMINISTERING PAYMENT OF MONTHLY STIPEND FOR EPWP PARTICIPANTS FOR A PERIOD OF 3 YEARS</t>
  </si>
  <si>
    <t xml:space="preserve">Financial service activities, except insurance and pension funding</t>
  </si>
  <si>
    <t xml:space="preserve">VIRTUAL MS TEAMS MEETING NON-COMPULSORY</t>
  </si>
  <si>
    <t xml:space="preserve">Management and administration of EPWP stipend payments — payroll/financial administration, out of scope. Do not submit.</t>
  </si>
  <si>
    <t xml:space="preserve">SCMU5-26/27-0018</t>
  </si>
  <si>
    <t xml:space="preserve">PROVISION OF PROFESSIONAL QUANTITY SURVEYING SERVICES FOR THE CONSTRUCTION OF XHORA MOUTH CLINIC</t>
  </si>
  <si>
    <t xml:space="preserve">09 Jul 2026 11:00</t>
  </si>
  <si>
    <t xml:space="preserve">Professional quantity surveying for Xhora Mouth Clinic — QS services, out of scope. Do not submit.</t>
  </si>
  <si>
    <t xml:space="preserve">SCMU5-26/27-0026 AMR INF</t>
  </si>
  <si>
    <t xml:space="preserve">PROVISION OF PROFESSIONAL CIVIL AND STRUCTURAL ENGINEERING SERVICES FOR THE CONSTRUCTION OF A CONSERVANCY TANK AT NGQAMAKHWE SERVICE OFFICE</t>
  </si>
  <si>
    <t xml:space="preserve">Civil/structural engineering for conservancy tank — civil engineering, out of scope. Do not submit.</t>
  </si>
  <si>
    <t xml:space="preserve">SCMU5-26/27-0026</t>
  </si>
  <si>
    <t xml:space="preserve">NDOFELA CLINIC PHASE 2: UPGRADE AND ADDITIONS TO THE CLINIC</t>
  </si>
  <si>
    <t xml:space="preserve">Ndofela Clinic in Sterkspruit</t>
  </si>
  <si>
    <t xml:space="preserve">Ndofela Clinic Phase 2 upgrade and additions — building construction, out of scope. Do not submit.</t>
  </si>
  <si>
    <t xml:space="preserve">SCMU5-26/27-0025</t>
  </si>
  <si>
    <t xml:space="preserve">REPAIRS, RENOVATIONS &amp; REHABILITATION (RRR) OF GREY HOSPITAL</t>
  </si>
  <si>
    <t xml:space="preserve">14 Jul 2026 11:00</t>
  </si>
  <si>
    <t xml:space="preserve">24 Jun 2026</t>
  </si>
  <si>
    <t xml:space="preserve">Grey Hospital main entrance</t>
  </si>
  <si>
    <t xml:space="preserve">Repairs, renovations and rehabilitation of Grey Hospital — building construction, out of scope. Do not submit.</t>
  </si>
  <si>
    <t xml:space="preserve">SCMU5-26/27-0021</t>
  </si>
  <si>
    <t xml:space="preserve">REPAIRS AND RENOVATIONS AT BHISHO HOSPITAL</t>
  </si>
  <si>
    <t xml:space="preserve">Bisho Hospital main entrance</t>
  </si>
  <si>
    <t xml:space="preserve">Repairs and renovations at Bhisho Hospital — building construction, out of scope. Do not submit.</t>
  </si>
  <si>
    <t xml:space="preserve">Amidel (Pty) Ltd — Tender Analysis: DEL   |   Report Date: 11 Jun 2026</t>
  </si>
  <si>
    <t xml:space="preserve">UIF3/26/27</t>
  </si>
  <si>
    <t xml:space="preserve">Labour</t>
  </si>
  <si>
    <t xml:space="preserve">REQUEST FOR PROPOSALS FOR THE APPOINTMENT OF A SERVICE PROVIDER TO PROVIDE DAY TO DAY CLEANING AND PEST CONTROL SERVICES AT 94 WF NKOMO BUILDING FOR THE UNEMPLOYMENT INSURANCE FUND FOR A PERIOD OF THIRTY (36) MONTHS.</t>
  </si>
  <si>
    <t xml:space="preserve">Services: Functional (Including Cleaning and Security Services)</t>
  </si>
  <si>
    <t xml:space="preserve">02 Jul 2026 11:00</t>
  </si>
  <si>
    <t xml:space="preserve">https://teams.microsoft.com/meet/344583086821364?p=9NjHTL4qcA5bwyUcej</t>
  </si>
  <si>
    <t xml:space="preserve">Day-to-day cleaning and pest control at 94 WF Nkomo Building — cleaning services, out of scope. Do not submit.</t>
  </si>
  <si>
    <t xml:space="preserve">Amidel (Pty) Ltd — Tender Analysis: W JHB   |   Report Date: 11 Jun 2026</t>
  </si>
  <si>
    <t xml:space="preserve">RFQJW0065SM2026</t>
  </si>
  <si>
    <t xml:space="preserve">Johannesburg Water</t>
  </si>
  <si>
    <t xml:space="preserve">Supply of Executive Leadership Coaching Services to Executive Management</t>
  </si>
  <si>
    <t xml:space="preserve">15 Jun 2026 16:00</t>
  </si>
  <si>
    <t xml:space="preserve">Executive leadership coaching services — HR/coaching, out of scope. Do not submit.</t>
  </si>
  <si>
    <t xml:space="preserve">RFQJW39ZZ26</t>
  </si>
  <si>
    <t xml:space="preserve">SUPPLY, DELIVER AND OFFLOAD SECURITY GUARD HOUSES AT NORTHERN WASTEWATER TREATMENT WORKS</t>
  </si>
  <si>
    <t xml:space="preserve">Supply and offload of security guard houses — prefabricated structures supply, not security services. Do not submit.</t>
  </si>
  <si>
    <t xml:space="preserve">RFQJW38ZZ26</t>
  </si>
  <si>
    <t xml:space="preserve">SUPPLY AND DELIVERY OF U622 BELT PRESS-FILTER BELTS</t>
  </si>
  <si>
    <t xml:space="preserve">Supply of belt press filter belts — mechanical consumables, out of scope. Do not submit.</t>
  </si>
  <si>
    <t xml:space="preserve">RFQJW063KM26</t>
  </si>
  <si>
    <t xml:space="preserve">SUPPLY AND DELIVER MODICON PREMIUM AND QUANTUM PLC MODULES</t>
  </si>
  <si>
    <t xml:space="preserve">Supply of Modicon Premium and Quantum PLC modules — Schneider Electric industrial automation hardware; viable only via a Schneider distribution/OEM channel partner. Closes 15 Jun 16:00 — tight turnaround. Escalate to Dror.</t>
  </si>
  <si>
    <t xml:space="preserve">RFQJW103TN26</t>
  </si>
  <si>
    <t xml:space="preserve">RFQJW103TN26 - CHIEF AUDIT EXECUTIVE POSITION</t>
  </si>
  <si>
    <t xml:space="preserve">Chief Audit Executive recruitment — recruitment services, out of scope. Do not submit.</t>
  </si>
  <si>
    <t xml:space="preserve">RFQJW104TN26</t>
  </si>
  <si>
    <t xml:space="preserve">RFQJW104TN26 - EXECUTIVE MANAGER: STAKEHOLDER RELATIONS &amp; COMMS</t>
  </si>
  <si>
    <t xml:space="preserve">Executive Manager recruitment — recruitment services, out of scope. Do not submit.</t>
  </si>
  <si>
    <t xml:space="preserve">RFQJW054TN26 (RE-ADVERT)</t>
  </si>
  <si>
    <t xml:space="preserve">RFQJW054TN26 - Cyanide Standard Solution 1000mg/L</t>
  </si>
  <si>
    <t xml:space="preserve">Cyanide standard solution supply — laboratory chemicals, out of scope. Do not submit.</t>
  </si>
  <si>
    <t xml:space="preserve">RFQJW0067SM2026</t>
  </si>
  <si>
    <t xml:space="preserve">Supply, Delivery and Installation of Hydroboils and Urns</t>
  </si>
  <si>
    <t xml:space="preserve">15 Jun 2026 12:00</t>
  </si>
  <si>
    <t xml:space="preserve">Supply and install hydroboils and urns — appliances/plumbing, out of scope. Do not submit.</t>
  </si>
  <si>
    <t xml:space="preserve">6000080542</t>
  </si>
  <si>
    <t xml:space="preserve">Supply and Deliver Barriacde Droppers as per attached RFQ.</t>
  </si>
  <si>
    <t xml:space="preserve">16 Jun 2026 12:00</t>
  </si>
  <si>
    <t xml:space="preserve">Supply of barricade droppers — general hardware supplies, out of scope. Do not submit.</t>
  </si>
  <si>
    <t xml:space="preserve">RFQJW0069SM2026</t>
  </si>
  <si>
    <t xml:space="preserve">PROVISION OF A TECHNICAL ACCOUNTING AND AUDIT SUPPORT RESOURCE</t>
  </si>
  <si>
    <t xml:space="preserve">17 Jun 2026 16:00</t>
  </si>
  <si>
    <t xml:space="preserve">Technical accounting and audit support resource — financial services, out of scope. Do not submit.</t>
  </si>
  <si>
    <t xml:space="preserve">RFQJW067KM26</t>
  </si>
  <si>
    <t xml:space="preserve">SUPPLY AND DELIVER 2500 KRAFT PRINTED FILES</t>
  </si>
  <si>
    <t xml:space="preserve">Supply of 2,500 kraft printed files — stationery, out of scope. Do not submit.</t>
  </si>
  <si>
    <t xml:space="preserve">RFQJW105TN26</t>
  </si>
  <si>
    <t xml:space="preserve">RFQJW105TN26 - PANEL FOR RECRUITMENT SERVICES FOR A PERIOD OF SIX MONTHS</t>
  </si>
  <si>
    <t xml:space="preserve">Panel for recruitment services — recruitment, out of scope. Do not submit.</t>
  </si>
  <si>
    <t xml:space="preserve">RFQJW41SN26</t>
  </si>
  <si>
    <t xml:space="preserve">DEEP CLEANING OF ABLUTION FACILITIES: URINALS, TOILETS, SINKS AND SHOWERS</t>
  </si>
  <si>
    <t xml:space="preserve">17 Jun 2026 12:00</t>
  </si>
  <si>
    <t xml:space="preserve">Deep cleaning of ablution facilities — cleaning services, out of scope. Do not submit.</t>
  </si>
  <si>
    <t xml:space="preserve">RFQJW66SC26</t>
  </si>
  <si>
    <t xml:space="preserve">RFQJW66SC26 - Supply and Delivery of Asbestos Handling PPE</t>
  </si>
  <si>
    <t xml:space="preserve">Supplies: Clothing/Textiles/Footwear</t>
  </si>
  <si>
    <t xml:space="preserve">18 Jun 2026 16:00</t>
  </si>
  <si>
    <t xml:space="preserve">Supply of asbestos handling PPE — PPE supplies, out of scope. Do not submit.</t>
  </si>
  <si>
    <t xml:space="preserve">RFQJW064KM26</t>
  </si>
  <si>
    <t xml:space="preserve">SUPPLY, INSTALL AND INSTALL POWER CABLE AND LED STREET LIGHTS</t>
  </si>
  <si>
    <t xml:space="preserve">23 Jun 2026 16:00</t>
  </si>
  <si>
    <t xml:space="preserve">Olifantsvlei</t>
  </si>
  <si>
    <t xml:space="preserve">Supply and install power cable and LED street lights — electrical installation, out of scope. Do not submit.</t>
  </si>
  <si>
    <t xml:space="preserve">RFQJW065KM26</t>
  </si>
  <si>
    <t xml:space="preserve">SUPPLY AND INSTALL POWER AND LIGHTS AT UNIT 2 SECURITY TOWER</t>
  </si>
  <si>
    <t xml:space="preserve">Supply and install power and lights at security tower — electrical installation (not security systems), out of scope. Do not submit.</t>
  </si>
  <si>
    <t xml:space="preserve">RFQJW41ZZ26</t>
  </si>
  <si>
    <t xml:space="preserve">ELECTRIC FENCE SERVICE AND REPAIRS</t>
  </si>
  <si>
    <t xml:space="preserve">24 Jun 2026 16:00</t>
  </si>
  <si>
    <t xml:space="preserve">CYDNA LABORATORY – 75 Fourth Street, Houghton Johannesburg</t>
  </si>
  <si>
    <t xml:space="preserve">Electric fence service and repairs at Cydna Laboratory — physical security infrastructure aligned to Amidel security systems, but legally requires a registered Electric Fence System Installer (SANS 10222-3 / EFC certificate). Verify registration or certified sub-contractor before the 24 Jun deadline; compulsory briefing 17 Jun at Cydna Laboratory, Houghton. Escalate to Dror.</t>
  </si>
  <si>
    <t xml:space="preserve">RFQJW066KM26</t>
  </si>
  <si>
    <t xml:space="preserve">Supply and deliver of scrapper blades, Skirting rubber, pulleys, idling rollers and installation of Conveyer Belt (equipment).</t>
  </si>
  <si>
    <t xml:space="preserve">Supply of conveyor scraper blades, rubber and rollers — mechanical consumables, out of scope. Do not submit.</t>
  </si>
  <si>
    <t xml:space="preserve">RFQJW37ZZ26</t>
  </si>
  <si>
    <t xml:space="preserve">SUPPLY, DELIVERY AND REPLACEMENT OF WASH WATER PIPES</t>
  </si>
  <si>
    <t xml:space="preserve">25 Jun 2026 16:00</t>
  </si>
  <si>
    <t xml:space="preserve">55 Riverside road/Clinic road, Muldersdrieft</t>
  </si>
  <si>
    <t xml:space="preserve">Supply and replacement of wash water pipes — plumbing, out of scope. Do not submit.</t>
  </si>
  <si>
    <t xml:space="preserve">RFQJW42ZZ26</t>
  </si>
  <si>
    <t xml:space="preserve">GAS LINE PRESSURE TESTING SERVICES</t>
  </si>
  <si>
    <t xml:space="preserve">Gas line pressure testing services — specialist testing/NDT-type scope, out of scope. Do not submit.</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</si>
</sst>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b val="true"/>
      <sz val="9"/>
      <color rgb="FFFFFFFF"/>
      <name val="Arial"/>
      <family val="0"/>
      <charset val="1"/>
    </font>
    <font>
      <sz val="9"/>
      <name val="Arial"/>
      <family val="0"/>
      <charset val="1"/>
    </font>
    <font>
      <b val="true"/>
      <sz val="9"/>
      <color rgb="FF9C3700"/>
      <name val="Arial"/>
      <family val="0"/>
      <charset val="1"/>
    </font>
    <font>
      <b val="true"/>
      <sz val="9"/>
      <color rgb="FF276221"/>
      <name val="Arial"/>
      <family val="0"/>
      <charset val="1"/>
    </font>
    <font>
      <b val="true"/>
      <sz val="9"/>
      <color rgb="FF1F3864"/>
      <name val="Arial"/>
      <family val="0"/>
      <charset val="1"/>
    </font>
    <font>
      <b val="true"/>
      <sz val="9"/>
      <color rgb="FF9C6500"/>
      <name val="Arial"/>
      <family val="0"/>
      <charset val="1"/>
    </font>
  </fonts>
  <fills count="9">
    <fill>
      <patternFill patternType="none"/>
    </fill>
    <fill>
      <patternFill patternType="gray125"/>
    </fill>
    <fill>
      <patternFill patternType="solid">
        <fgColor rgb="FF1F3864"/>
        <bgColor rgb="FF333333"/>
      </patternFill>
    </fill>
    <fill>
      <patternFill patternType="solid">
        <fgColor rgb="FF305496"/>
        <bgColor rgb="FF1F3864"/>
      </patternFill>
    </fill>
    <fill>
      <patternFill patternType="solid">
        <fgColor rgb="FFFCE4D6"/>
        <bgColor rgb="FFFFEB9C"/>
      </patternFill>
    </fill>
    <fill>
      <patternFill patternType="solid">
        <fgColor rgb="FFD9E1F2"/>
        <bgColor rgb="FFD6DCE4"/>
      </patternFill>
    </fill>
    <fill>
      <patternFill patternType="solid">
        <fgColor rgb="FFC6EFCE"/>
        <bgColor rgb="FFD6DCE4"/>
      </patternFill>
    </fill>
    <fill>
      <patternFill patternType="solid">
        <fgColor rgb="FFD6DCE4"/>
        <bgColor rgb="FFD9E1F2"/>
      </patternFill>
    </fill>
    <fill>
      <patternFill patternType="solid">
        <fgColor rgb="FFFFEB9C"/>
        <bgColor rgb="FFFCE4D6"/>
      </patternFill>
    </fill>
  </fills>
  <borders count="2">
    <border diagonalUp="false" diagonalDown="false">
      <left/>
      <right/>
      <top/>
      <bottom/>
      <diagonal/>
    </border>
    <border diagonalUp="false" diagonalDown="false">
      <left style="thin">
        <color rgb="FFB4C6E7"/>
      </left>
      <right style="thin">
        <color rgb="FFB4C6E7"/>
      </right>
      <top style="thin">
        <color rgb="FFB4C6E7"/>
      </top>
      <bottom style="thin">
        <color rgb="FFB4C6E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7" fillId="4" borderId="1" xfId="0" applyFont="true" applyBorder="true" applyAlignment="true" applyProtection="false">
      <alignment horizontal="center" vertical="top" textRotation="0" wrapText="true" indent="0" shrinkToFit="false"/>
      <protection locked="true" hidden="false"/>
    </xf>
    <xf numFmtId="164" fontId="6" fillId="5" borderId="1" xfId="0" applyFont="true" applyBorder="true" applyAlignment="true" applyProtection="false">
      <alignment horizontal="center" vertical="top" textRotation="0" wrapText="true" indent="0" shrinkToFit="false"/>
      <protection locked="true" hidden="false"/>
    </xf>
    <xf numFmtId="164" fontId="6" fillId="5" borderId="1" xfId="0" applyFont="true" applyBorder="true" applyAlignment="true" applyProtection="false">
      <alignment horizontal="left" vertical="top" textRotation="0" wrapText="true" indent="0" shrinkToFit="false"/>
      <protection locked="true" hidden="false"/>
    </xf>
    <xf numFmtId="164" fontId="8" fillId="6" borderId="1" xfId="0" applyFont="true" applyBorder="true" applyAlignment="true" applyProtection="false">
      <alignment horizontal="center" vertical="top" textRotation="0" wrapText="true" indent="0" shrinkToFit="false"/>
      <protection locked="true" hidden="false"/>
    </xf>
    <xf numFmtId="164" fontId="9" fillId="7" borderId="1" xfId="0" applyFont="true" applyBorder="true" applyAlignment="true" applyProtection="false">
      <alignment horizontal="left" vertical="center" textRotation="0" wrapText="false" indent="0" shrinkToFit="false"/>
      <protection locked="true" hidden="false"/>
    </xf>
    <xf numFmtId="164" fontId="10" fillId="8"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276221"/>
      <rgbColor rgb="FF000080"/>
      <rgbColor rgb="FF9C6500"/>
      <rgbColor rgb="FF800080"/>
      <rgbColor rgb="FF008080"/>
      <rgbColor rgb="FFB4C6E7"/>
      <rgbColor rgb="FF808080"/>
      <rgbColor rgb="FF9999FF"/>
      <rgbColor rgb="FF993366"/>
      <rgbColor rgb="FFFCE4D6"/>
      <rgbColor rgb="FFD9E1F2"/>
      <rgbColor rgb="FF660066"/>
      <rgbColor rgb="FFFF8080"/>
      <rgbColor rgb="FF0066CC"/>
      <rgbColor rgb="FFD6DCE4"/>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C3700"/>
      <rgbColor rgb="FF993366"/>
      <rgbColor rgb="FF30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3" min="2" style="0" width="22"/>
    <col collapsed="false" customWidth="true" hidden="false" outlineLevel="0" max="4" min="4" style="0" width="48"/>
    <col collapsed="false" customWidth="true" hidden="false" outlineLevel="0" max="5" min="5" style="0" width="13"/>
    <col collapsed="false" customWidth="true" hidden="false" outlineLevel="0" max="6" min="6" style="0" width="24"/>
    <col collapsed="false" customWidth="true" hidden="false" outlineLevel="0" max="7" min="7" style="0" width="13"/>
    <col collapsed="false" customWidth="true" hidden="false" outlineLevel="0" max="8" min="8" style="0" width="17"/>
    <col collapsed="false" customWidth="true" hidden="false" outlineLevel="0" max="9" min="9" style="0" width="13"/>
    <col collapsed="false" customWidth="true" hidden="false" outlineLevel="0" max="10" min="10" style="0" width="11"/>
    <col collapsed="false" customWidth="true" hidden="false" outlineLevel="0" max="11" min="11" style="0" width="30"/>
    <col collapsed="false" customWidth="true" hidden="false" outlineLevel="0" max="12" min="12" style="0" width="14"/>
    <col collapsed="false" customWidth="true" hidden="false" outlineLevel="0" max="13" min="13" style="0" width="55"/>
  </cols>
  <sheetData>
    <row r="1" customFormat="false" ht="24" hidden="false" customHeight="true" outlineLevel="0" collapsed="false">
      <c r="A1" s="1" t="s">
        <v>0</v>
      </c>
      <c r="B1" s="1"/>
      <c r="C1" s="1"/>
      <c r="D1" s="1"/>
      <c r="E1" s="1"/>
      <c r="F1" s="1"/>
      <c r="G1" s="1"/>
      <c r="H1" s="1"/>
      <c r="I1" s="1"/>
      <c r="J1" s="1"/>
      <c r="K1" s="1"/>
      <c r="L1" s="1"/>
      <c r="M1" s="1"/>
    </row>
    <row r="2" customFormat="false" ht="27.75" hidden="false" customHeight="true" outlineLevel="0" collapsed="false">
      <c r="A2" s="2" t="s">
        <v>1</v>
      </c>
      <c r="B2" s="2" t="s">
        <v>2</v>
      </c>
      <c r="C2" s="2" t="s">
        <v>3</v>
      </c>
      <c r="D2" s="2" t="s">
        <v>4</v>
      </c>
      <c r="E2" s="2" t="s">
        <v>5</v>
      </c>
      <c r="F2" s="2" t="s">
        <v>6</v>
      </c>
      <c r="G2" s="2" t="s">
        <v>7</v>
      </c>
      <c r="H2" s="2" t="s">
        <v>8</v>
      </c>
      <c r="I2" s="2" t="s">
        <v>9</v>
      </c>
      <c r="J2" s="2" t="s">
        <v>10</v>
      </c>
      <c r="K2" s="2" t="s">
        <v>11</v>
      </c>
      <c r="L2" s="2" t="s">
        <v>12</v>
      </c>
      <c r="M2" s="2" t="s">
        <v>13</v>
      </c>
    </row>
    <row r="3" customFormat="false" ht="22.35" hidden="false" customHeight="false" outlineLevel="0" collapsed="false">
      <c r="A3" s="3" t="n">
        <v>1</v>
      </c>
      <c r="B3" s="4" t="s">
        <v>14</v>
      </c>
      <c r="C3" s="4" t="s">
        <v>15</v>
      </c>
      <c r="D3" s="4" t="s">
        <v>16</v>
      </c>
      <c r="E3" s="4" t="s">
        <v>17</v>
      </c>
      <c r="F3" s="4" t="s">
        <v>18</v>
      </c>
      <c r="G3" s="3" t="s">
        <v>19</v>
      </c>
      <c r="H3" s="3" t="s">
        <v>20</v>
      </c>
      <c r="I3" s="3" t="s">
        <v>21</v>
      </c>
      <c r="J3" s="3" t="s">
        <v>22</v>
      </c>
      <c r="K3" s="4" t="s">
        <v>23</v>
      </c>
      <c r="L3" s="5" t="s">
        <v>24</v>
      </c>
      <c r="M3" s="4" t="s">
        <v>25</v>
      </c>
    </row>
    <row r="4" customFormat="false" ht="43.25" hidden="false" customHeight="false" outlineLevel="0" collapsed="false">
      <c r="A4" s="6" t="n">
        <v>2</v>
      </c>
      <c r="B4" s="7" t="s">
        <v>26</v>
      </c>
      <c r="C4" s="7" t="s">
        <v>15</v>
      </c>
      <c r="D4" s="7" t="s">
        <v>27</v>
      </c>
      <c r="E4" s="7" t="s">
        <v>17</v>
      </c>
      <c r="F4" s="7" t="s">
        <v>28</v>
      </c>
      <c r="G4" s="6" t="s">
        <v>19</v>
      </c>
      <c r="H4" s="6" t="s">
        <v>20</v>
      </c>
      <c r="I4" s="6" t="s">
        <v>21</v>
      </c>
      <c r="J4" s="6" t="s">
        <v>22</v>
      </c>
      <c r="K4" s="7" t="s">
        <v>23</v>
      </c>
      <c r="L4" s="5" t="s">
        <v>24</v>
      </c>
      <c r="M4" s="7" t="s">
        <v>29</v>
      </c>
    </row>
    <row r="5" customFormat="false" ht="32.8" hidden="false" customHeight="false" outlineLevel="0" collapsed="false">
      <c r="A5" s="3" t="n">
        <v>3</v>
      </c>
      <c r="B5" s="4" t="s">
        <v>30</v>
      </c>
      <c r="C5" s="4" t="s">
        <v>15</v>
      </c>
      <c r="D5" s="4" t="s">
        <v>31</v>
      </c>
      <c r="E5" s="4" t="s">
        <v>17</v>
      </c>
      <c r="F5" s="4" t="s">
        <v>32</v>
      </c>
      <c r="G5" s="3" t="s">
        <v>19</v>
      </c>
      <c r="H5" s="3" t="s">
        <v>20</v>
      </c>
      <c r="I5" s="3" t="s">
        <v>33</v>
      </c>
      <c r="J5" s="3" t="s">
        <v>22</v>
      </c>
      <c r="K5" s="4" t="s">
        <v>23</v>
      </c>
      <c r="L5" s="5" t="s">
        <v>24</v>
      </c>
      <c r="M5" s="4" t="s">
        <v>34</v>
      </c>
    </row>
    <row r="6" customFormat="false" ht="43.25" hidden="false" customHeight="false" outlineLevel="0" collapsed="false">
      <c r="A6" s="6" t="n">
        <v>4</v>
      </c>
      <c r="B6" s="7" t="s">
        <v>35</v>
      </c>
      <c r="C6" s="7" t="s">
        <v>15</v>
      </c>
      <c r="D6" s="7" t="s">
        <v>36</v>
      </c>
      <c r="E6" s="7" t="s">
        <v>37</v>
      </c>
      <c r="F6" s="7" t="s">
        <v>38</v>
      </c>
      <c r="G6" s="6" t="s">
        <v>39</v>
      </c>
      <c r="H6" s="6" t="s">
        <v>40</v>
      </c>
      <c r="I6" s="6" t="s">
        <v>41</v>
      </c>
      <c r="J6" s="6" t="s">
        <v>22</v>
      </c>
      <c r="K6" s="7" t="s">
        <v>42</v>
      </c>
      <c r="L6" s="5" t="s">
        <v>24</v>
      </c>
      <c r="M6" s="7" t="s">
        <v>43</v>
      </c>
    </row>
    <row r="7" customFormat="false" ht="43.25" hidden="false" customHeight="false" outlineLevel="0" collapsed="false">
      <c r="A7" s="3" t="n">
        <v>5</v>
      </c>
      <c r="B7" s="4" t="s">
        <v>44</v>
      </c>
      <c r="C7" s="4" t="s">
        <v>15</v>
      </c>
      <c r="D7" s="4" t="s">
        <v>45</v>
      </c>
      <c r="E7" s="4" t="s">
        <v>37</v>
      </c>
      <c r="F7" s="4" t="s">
        <v>46</v>
      </c>
      <c r="G7" s="3" t="s">
        <v>39</v>
      </c>
      <c r="H7" s="3" t="s">
        <v>47</v>
      </c>
      <c r="I7" s="3" t="s">
        <v>33</v>
      </c>
      <c r="J7" s="3" t="s">
        <v>33</v>
      </c>
      <c r="K7" s="4" t="s">
        <v>33</v>
      </c>
      <c r="L7" s="5" t="s">
        <v>24</v>
      </c>
      <c r="M7" s="4" t="s">
        <v>48</v>
      </c>
    </row>
    <row r="8" customFormat="false" ht="32.8" hidden="false" customHeight="false" outlineLevel="0" collapsed="false">
      <c r="A8" s="6" t="n">
        <v>6</v>
      </c>
      <c r="B8" s="7" t="s">
        <v>49</v>
      </c>
      <c r="C8" s="7" t="s">
        <v>15</v>
      </c>
      <c r="D8" s="7" t="s">
        <v>50</v>
      </c>
      <c r="E8" s="7" t="s">
        <v>51</v>
      </c>
      <c r="F8" s="7" t="s">
        <v>38</v>
      </c>
      <c r="G8" s="6" t="s">
        <v>19</v>
      </c>
      <c r="H8" s="6" t="s">
        <v>52</v>
      </c>
      <c r="I8" s="6" t="s">
        <v>33</v>
      </c>
      <c r="J8" s="6" t="s">
        <v>33</v>
      </c>
      <c r="K8" s="7" t="s">
        <v>33</v>
      </c>
      <c r="L8" s="5" t="s">
        <v>24</v>
      </c>
      <c r="M8" s="7" t="s">
        <v>53</v>
      </c>
    </row>
    <row r="9" customFormat="false" ht="43.25" hidden="false" customHeight="false" outlineLevel="0" collapsed="false">
      <c r="A9" s="3" t="n">
        <v>7</v>
      </c>
      <c r="B9" s="4" t="s">
        <v>54</v>
      </c>
      <c r="C9" s="4" t="s">
        <v>15</v>
      </c>
      <c r="D9" s="4" t="s">
        <v>55</v>
      </c>
      <c r="E9" s="4" t="s">
        <v>51</v>
      </c>
      <c r="F9" s="4" t="s">
        <v>18</v>
      </c>
      <c r="G9" s="3" t="s">
        <v>19</v>
      </c>
      <c r="H9" s="3" t="s">
        <v>56</v>
      </c>
      <c r="I9" s="3" t="s">
        <v>33</v>
      </c>
      <c r="J9" s="3" t="s">
        <v>57</v>
      </c>
      <c r="K9" s="4" t="s">
        <v>33</v>
      </c>
      <c r="L9" s="5" t="s">
        <v>24</v>
      </c>
      <c r="M9" s="4" t="s">
        <v>58</v>
      </c>
    </row>
    <row r="10" customFormat="false" ht="53.7" hidden="false" customHeight="false" outlineLevel="0" collapsed="false">
      <c r="A10" s="6" t="n">
        <v>8</v>
      </c>
      <c r="B10" s="7" t="s">
        <v>59</v>
      </c>
      <c r="C10" s="7" t="s">
        <v>15</v>
      </c>
      <c r="D10" s="7" t="s">
        <v>60</v>
      </c>
      <c r="E10" s="7" t="s">
        <v>51</v>
      </c>
      <c r="F10" s="7" t="s">
        <v>46</v>
      </c>
      <c r="G10" s="6" t="s">
        <v>19</v>
      </c>
      <c r="H10" s="6" t="s">
        <v>61</v>
      </c>
      <c r="I10" s="6" t="s">
        <v>33</v>
      </c>
      <c r="J10" s="6" t="s">
        <v>57</v>
      </c>
      <c r="K10" s="7" t="s">
        <v>33</v>
      </c>
      <c r="L10" s="5" t="s">
        <v>24</v>
      </c>
      <c r="M10" s="7" t="s">
        <v>62</v>
      </c>
    </row>
    <row r="11" customFormat="false" ht="22.35" hidden="false" customHeight="false" outlineLevel="0" collapsed="false">
      <c r="A11" s="3" t="n">
        <v>9</v>
      </c>
      <c r="B11" s="4" t="s">
        <v>63</v>
      </c>
      <c r="C11" s="4" t="s">
        <v>15</v>
      </c>
      <c r="D11" s="4" t="s">
        <v>64</v>
      </c>
      <c r="E11" s="4" t="s">
        <v>37</v>
      </c>
      <c r="F11" s="4" t="s">
        <v>65</v>
      </c>
      <c r="G11" s="3" t="s">
        <v>39</v>
      </c>
      <c r="H11" s="3" t="s">
        <v>66</v>
      </c>
      <c r="I11" s="3" t="s">
        <v>33</v>
      </c>
      <c r="J11" s="3" t="s">
        <v>22</v>
      </c>
      <c r="K11" s="4" t="s">
        <v>67</v>
      </c>
      <c r="L11" s="5" t="s">
        <v>24</v>
      </c>
      <c r="M11" s="4" t="s">
        <v>68</v>
      </c>
    </row>
    <row r="12" customFormat="false" ht="22.35" hidden="false" customHeight="false" outlineLevel="0" collapsed="false">
      <c r="A12" s="6" t="n">
        <v>10</v>
      </c>
      <c r="B12" s="7" t="s">
        <v>69</v>
      </c>
      <c r="C12" s="7" t="s">
        <v>15</v>
      </c>
      <c r="D12" s="7" t="s">
        <v>70</v>
      </c>
      <c r="E12" s="7" t="s">
        <v>51</v>
      </c>
      <c r="F12" s="7" t="s">
        <v>71</v>
      </c>
      <c r="G12" s="6" t="s">
        <v>39</v>
      </c>
      <c r="H12" s="6" t="s">
        <v>20</v>
      </c>
      <c r="I12" s="6" t="s">
        <v>33</v>
      </c>
      <c r="J12" s="6" t="s">
        <v>33</v>
      </c>
      <c r="K12" s="7" t="s">
        <v>33</v>
      </c>
      <c r="L12" s="5" t="s">
        <v>24</v>
      </c>
      <c r="M12" s="7" t="s">
        <v>72</v>
      </c>
    </row>
    <row r="13" customFormat="false" ht="32.8" hidden="false" customHeight="false" outlineLevel="0" collapsed="false">
      <c r="A13" s="3" t="n">
        <v>11</v>
      </c>
      <c r="B13" s="4" t="s">
        <v>73</v>
      </c>
      <c r="C13" s="4" t="s">
        <v>15</v>
      </c>
      <c r="D13" s="4" t="s">
        <v>74</v>
      </c>
      <c r="E13" s="4" t="s">
        <v>17</v>
      </c>
      <c r="F13" s="4" t="s">
        <v>75</v>
      </c>
      <c r="G13" s="3" t="s">
        <v>39</v>
      </c>
      <c r="H13" s="3" t="s">
        <v>20</v>
      </c>
      <c r="I13" s="3" t="s">
        <v>33</v>
      </c>
      <c r="J13" s="3" t="s">
        <v>33</v>
      </c>
      <c r="K13" s="4" t="s">
        <v>33</v>
      </c>
      <c r="L13" s="5" t="s">
        <v>24</v>
      </c>
      <c r="M13" s="4" t="s">
        <v>76</v>
      </c>
    </row>
    <row r="14" customFormat="false" ht="32.8" hidden="false" customHeight="false" outlineLevel="0" collapsed="false">
      <c r="A14" s="6" t="n">
        <v>12</v>
      </c>
      <c r="B14" s="7" t="s">
        <v>77</v>
      </c>
      <c r="C14" s="7" t="s">
        <v>15</v>
      </c>
      <c r="D14" s="7" t="s">
        <v>78</v>
      </c>
      <c r="E14" s="7" t="s">
        <v>37</v>
      </c>
      <c r="F14" s="7" t="s">
        <v>79</v>
      </c>
      <c r="G14" s="6" t="s">
        <v>39</v>
      </c>
      <c r="H14" s="6" t="s">
        <v>20</v>
      </c>
      <c r="I14" s="6" t="s">
        <v>33</v>
      </c>
      <c r="J14" s="6" t="s">
        <v>33</v>
      </c>
      <c r="K14" s="7" t="s">
        <v>33</v>
      </c>
      <c r="L14" s="5" t="s">
        <v>24</v>
      </c>
      <c r="M14" s="7" t="s">
        <v>80</v>
      </c>
    </row>
    <row r="15" customFormat="false" ht="43.25" hidden="false" customHeight="false" outlineLevel="0" collapsed="false">
      <c r="A15" s="3" t="n">
        <v>13</v>
      </c>
      <c r="B15" s="4" t="s">
        <v>81</v>
      </c>
      <c r="C15" s="4" t="s">
        <v>15</v>
      </c>
      <c r="D15" s="4" t="s">
        <v>82</v>
      </c>
      <c r="E15" s="4" t="s">
        <v>51</v>
      </c>
      <c r="F15" s="4" t="s">
        <v>83</v>
      </c>
      <c r="G15" s="3" t="s">
        <v>39</v>
      </c>
      <c r="H15" s="3" t="s">
        <v>20</v>
      </c>
      <c r="I15" s="3" t="s">
        <v>84</v>
      </c>
      <c r="J15" s="3" t="s">
        <v>22</v>
      </c>
      <c r="K15" s="4" t="s">
        <v>85</v>
      </c>
      <c r="L15" s="8" t="s">
        <v>86</v>
      </c>
      <c r="M15" s="4" t="s">
        <v>87</v>
      </c>
    </row>
    <row r="16" customFormat="false" ht="32.8" hidden="false" customHeight="false" outlineLevel="0" collapsed="false">
      <c r="A16" s="6" t="n">
        <v>14</v>
      </c>
      <c r="B16" s="7" t="s">
        <v>88</v>
      </c>
      <c r="C16" s="7" t="s">
        <v>15</v>
      </c>
      <c r="D16" s="7" t="s">
        <v>89</v>
      </c>
      <c r="E16" s="7" t="s">
        <v>51</v>
      </c>
      <c r="F16" s="7" t="s">
        <v>90</v>
      </c>
      <c r="G16" s="6" t="s">
        <v>39</v>
      </c>
      <c r="H16" s="6" t="s">
        <v>20</v>
      </c>
      <c r="I16" s="6" t="s">
        <v>33</v>
      </c>
      <c r="J16" s="6" t="s">
        <v>22</v>
      </c>
      <c r="K16" s="7" t="s">
        <v>91</v>
      </c>
      <c r="L16" s="8" t="s">
        <v>92</v>
      </c>
      <c r="M16" s="7" t="s">
        <v>93</v>
      </c>
    </row>
    <row r="17" customFormat="false" ht="43.25" hidden="false" customHeight="false" outlineLevel="0" collapsed="false">
      <c r="A17" s="3" t="n">
        <v>15</v>
      </c>
      <c r="B17" s="4" t="s">
        <v>94</v>
      </c>
      <c r="C17" s="4" t="s">
        <v>15</v>
      </c>
      <c r="D17" s="4" t="s">
        <v>95</v>
      </c>
      <c r="E17" s="4" t="s">
        <v>17</v>
      </c>
      <c r="F17" s="4" t="s">
        <v>96</v>
      </c>
      <c r="G17" s="3" t="s">
        <v>39</v>
      </c>
      <c r="H17" s="3" t="s">
        <v>20</v>
      </c>
      <c r="I17" s="3" t="s">
        <v>33</v>
      </c>
      <c r="J17" s="3" t="s">
        <v>33</v>
      </c>
      <c r="K17" s="4" t="s">
        <v>33</v>
      </c>
      <c r="L17" s="8" t="s">
        <v>92</v>
      </c>
      <c r="M17" s="4" t="s">
        <v>97</v>
      </c>
    </row>
    <row r="18" customFormat="false" ht="32.8" hidden="false" customHeight="false" outlineLevel="0" collapsed="false">
      <c r="A18" s="6" t="n">
        <v>16</v>
      </c>
      <c r="B18" s="7" t="s">
        <v>98</v>
      </c>
      <c r="C18" s="7" t="s">
        <v>15</v>
      </c>
      <c r="D18" s="7" t="s">
        <v>99</v>
      </c>
      <c r="E18" s="7" t="s">
        <v>37</v>
      </c>
      <c r="F18" s="7" t="s">
        <v>18</v>
      </c>
      <c r="G18" s="6" t="s">
        <v>19</v>
      </c>
      <c r="H18" s="6" t="s">
        <v>20</v>
      </c>
      <c r="I18" s="6" t="s">
        <v>33</v>
      </c>
      <c r="J18" s="6" t="s">
        <v>33</v>
      </c>
      <c r="K18" s="7" t="s">
        <v>33</v>
      </c>
      <c r="L18" s="5" t="s">
        <v>24</v>
      </c>
      <c r="M18" s="7" t="s">
        <v>100</v>
      </c>
    </row>
    <row r="19" customFormat="false" ht="43.25" hidden="false" customHeight="false" outlineLevel="0" collapsed="false">
      <c r="A19" s="3" t="n">
        <v>17</v>
      </c>
      <c r="B19" s="4" t="s">
        <v>101</v>
      </c>
      <c r="C19" s="4" t="s">
        <v>15</v>
      </c>
      <c r="D19" s="4" t="s">
        <v>102</v>
      </c>
      <c r="E19" s="4" t="s">
        <v>37</v>
      </c>
      <c r="F19" s="4" t="s">
        <v>103</v>
      </c>
      <c r="G19" s="3" t="s">
        <v>19</v>
      </c>
      <c r="H19" s="3" t="s">
        <v>104</v>
      </c>
      <c r="I19" s="3" t="s">
        <v>33</v>
      </c>
      <c r="J19" s="3" t="s">
        <v>57</v>
      </c>
      <c r="K19" s="4" t="s">
        <v>105</v>
      </c>
      <c r="L19" s="5" t="s">
        <v>24</v>
      </c>
      <c r="M19" s="4" t="s">
        <v>106</v>
      </c>
    </row>
    <row r="20" customFormat="false" ht="32.8" hidden="false" customHeight="false" outlineLevel="0" collapsed="false">
      <c r="A20" s="6" t="n">
        <v>18</v>
      </c>
      <c r="B20" s="7" t="s">
        <v>107</v>
      </c>
      <c r="C20" s="7" t="s">
        <v>15</v>
      </c>
      <c r="D20" s="7" t="s">
        <v>108</v>
      </c>
      <c r="E20" s="7" t="s">
        <v>51</v>
      </c>
      <c r="F20" s="7" t="s">
        <v>38</v>
      </c>
      <c r="G20" s="6" t="s">
        <v>19</v>
      </c>
      <c r="H20" s="6" t="s">
        <v>109</v>
      </c>
      <c r="I20" s="6" t="s">
        <v>33</v>
      </c>
      <c r="J20" s="6" t="s">
        <v>33</v>
      </c>
      <c r="K20" s="7" t="s">
        <v>33</v>
      </c>
      <c r="L20" s="8" t="s">
        <v>86</v>
      </c>
      <c r="M20" s="7" t="s">
        <v>110</v>
      </c>
    </row>
    <row r="21" customFormat="false" ht="32.8" hidden="false" customHeight="false" outlineLevel="0" collapsed="false">
      <c r="A21" s="3" t="n">
        <v>19</v>
      </c>
      <c r="B21" s="4" t="s">
        <v>111</v>
      </c>
      <c r="C21" s="4" t="s">
        <v>15</v>
      </c>
      <c r="D21" s="4" t="s">
        <v>112</v>
      </c>
      <c r="E21" s="4" t="s">
        <v>113</v>
      </c>
      <c r="F21" s="4" t="s">
        <v>114</v>
      </c>
      <c r="G21" s="3" t="s">
        <v>19</v>
      </c>
      <c r="H21" s="3" t="s">
        <v>40</v>
      </c>
      <c r="I21" s="3" t="s">
        <v>115</v>
      </c>
      <c r="J21" s="3" t="s">
        <v>22</v>
      </c>
      <c r="K21" s="4" t="s">
        <v>116</v>
      </c>
      <c r="L21" s="5" t="s">
        <v>24</v>
      </c>
      <c r="M21" s="4" t="s">
        <v>117</v>
      </c>
    </row>
    <row r="22" customFormat="false" ht="43.25" hidden="false" customHeight="false" outlineLevel="0" collapsed="false">
      <c r="A22" s="6" t="n">
        <v>20</v>
      </c>
      <c r="B22" s="7" t="s">
        <v>118</v>
      </c>
      <c r="C22" s="7" t="s">
        <v>15</v>
      </c>
      <c r="D22" s="7" t="s">
        <v>119</v>
      </c>
      <c r="E22" s="7" t="s">
        <v>17</v>
      </c>
      <c r="F22" s="7" t="s">
        <v>120</v>
      </c>
      <c r="G22" s="6" t="s">
        <v>19</v>
      </c>
      <c r="H22" s="6" t="s">
        <v>121</v>
      </c>
      <c r="I22" s="6" t="s">
        <v>33</v>
      </c>
      <c r="J22" s="6" t="s">
        <v>33</v>
      </c>
      <c r="K22" s="7" t="s">
        <v>33</v>
      </c>
      <c r="L22" s="5" t="s">
        <v>24</v>
      </c>
      <c r="M22" s="7" t="s">
        <v>122</v>
      </c>
    </row>
    <row r="23" customFormat="false" ht="32.8" hidden="false" customHeight="false" outlineLevel="0" collapsed="false">
      <c r="A23" s="3" t="n">
        <v>21</v>
      </c>
      <c r="B23" s="4" t="s">
        <v>123</v>
      </c>
      <c r="C23" s="4" t="s">
        <v>15</v>
      </c>
      <c r="D23" s="4" t="s">
        <v>124</v>
      </c>
      <c r="E23" s="4" t="s">
        <v>125</v>
      </c>
      <c r="F23" s="4" t="s">
        <v>126</v>
      </c>
      <c r="G23" s="3" t="s">
        <v>19</v>
      </c>
      <c r="H23" s="3" t="s">
        <v>127</v>
      </c>
      <c r="I23" s="3" t="s">
        <v>115</v>
      </c>
      <c r="J23" s="3" t="s">
        <v>57</v>
      </c>
      <c r="K23" s="4" t="s">
        <v>105</v>
      </c>
      <c r="L23" s="5" t="s">
        <v>24</v>
      </c>
      <c r="M23" s="4" t="s">
        <v>128</v>
      </c>
    </row>
    <row r="24" customFormat="false" ht="32.8" hidden="false" customHeight="false" outlineLevel="0" collapsed="false">
      <c r="A24" s="6" t="n">
        <v>22</v>
      </c>
      <c r="B24" s="7" t="s">
        <v>129</v>
      </c>
      <c r="C24" s="7" t="s">
        <v>15</v>
      </c>
      <c r="D24" s="7" t="s">
        <v>130</v>
      </c>
      <c r="E24" s="7" t="s">
        <v>37</v>
      </c>
      <c r="F24" s="7" t="s">
        <v>18</v>
      </c>
      <c r="G24" s="6" t="s">
        <v>39</v>
      </c>
      <c r="H24" s="6" t="s">
        <v>131</v>
      </c>
      <c r="I24" s="6" t="s">
        <v>132</v>
      </c>
      <c r="J24" s="6" t="s">
        <v>22</v>
      </c>
      <c r="K24" s="7" t="s">
        <v>133</v>
      </c>
      <c r="L24" s="5" t="s">
        <v>24</v>
      </c>
      <c r="M24" s="7" t="s">
        <v>68</v>
      </c>
    </row>
    <row r="25" customFormat="false" ht="32.8" hidden="false" customHeight="false" outlineLevel="0" collapsed="false">
      <c r="A25" s="3" t="n">
        <v>23</v>
      </c>
      <c r="B25" s="4" t="s">
        <v>134</v>
      </c>
      <c r="C25" s="4" t="s">
        <v>15</v>
      </c>
      <c r="D25" s="4" t="s">
        <v>135</v>
      </c>
      <c r="E25" s="4" t="s">
        <v>136</v>
      </c>
      <c r="F25" s="4" t="s">
        <v>18</v>
      </c>
      <c r="G25" s="3" t="s">
        <v>19</v>
      </c>
      <c r="H25" s="3" t="s">
        <v>137</v>
      </c>
      <c r="I25" s="3" t="s">
        <v>33</v>
      </c>
      <c r="J25" s="3" t="s">
        <v>57</v>
      </c>
      <c r="K25" s="4" t="s">
        <v>138</v>
      </c>
      <c r="L25" s="5" t="s">
        <v>24</v>
      </c>
      <c r="M25" s="4" t="s">
        <v>139</v>
      </c>
    </row>
    <row r="26" customFormat="false" ht="32.8" hidden="false" customHeight="false" outlineLevel="0" collapsed="false">
      <c r="A26" s="6" t="n">
        <v>24</v>
      </c>
      <c r="B26" s="7" t="s">
        <v>140</v>
      </c>
      <c r="C26" s="7" t="s">
        <v>15</v>
      </c>
      <c r="D26" s="7" t="s">
        <v>141</v>
      </c>
      <c r="E26" s="7" t="s">
        <v>37</v>
      </c>
      <c r="F26" s="7" t="s">
        <v>18</v>
      </c>
      <c r="G26" s="6" t="s">
        <v>39</v>
      </c>
      <c r="H26" s="6" t="s">
        <v>142</v>
      </c>
      <c r="I26" s="6" t="s">
        <v>143</v>
      </c>
      <c r="J26" s="6" t="s">
        <v>22</v>
      </c>
      <c r="K26" s="7" t="s">
        <v>144</v>
      </c>
      <c r="L26" s="5" t="s">
        <v>24</v>
      </c>
      <c r="M26" s="7" t="s">
        <v>145</v>
      </c>
    </row>
    <row r="27" customFormat="false" ht="32.8" hidden="false" customHeight="false" outlineLevel="0" collapsed="false">
      <c r="A27" s="3" t="n">
        <v>25</v>
      </c>
      <c r="B27" s="4" t="s">
        <v>146</v>
      </c>
      <c r="C27" s="4" t="s">
        <v>15</v>
      </c>
      <c r="D27" s="4" t="s">
        <v>147</v>
      </c>
      <c r="E27" s="4" t="s">
        <v>37</v>
      </c>
      <c r="F27" s="4" t="s">
        <v>38</v>
      </c>
      <c r="G27" s="3" t="s">
        <v>39</v>
      </c>
      <c r="H27" s="3" t="s">
        <v>148</v>
      </c>
      <c r="I27" s="3" t="s">
        <v>33</v>
      </c>
      <c r="J27" s="3" t="s">
        <v>33</v>
      </c>
      <c r="K27" s="4" t="s">
        <v>33</v>
      </c>
      <c r="L27" s="5" t="s">
        <v>24</v>
      </c>
      <c r="M27" s="4" t="s">
        <v>149</v>
      </c>
    </row>
    <row r="28" customFormat="false" ht="22.35" hidden="false" customHeight="false" outlineLevel="0" collapsed="false">
      <c r="A28" s="6" t="n">
        <v>26</v>
      </c>
      <c r="B28" s="7" t="s">
        <v>150</v>
      </c>
      <c r="C28" s="7" t="s">
        <v>15</v>
      </c>
      <c r="D28" s="7" t="s">
        <v>151</v>
      </c>
      <c r="E28" s="7" t="s">
        <v>37</v>
      </c>
      <c r="F28" s="7" t="s">
        <v>152</v>
      </c>
      <c r="G28" s="6" t="s">
        <v>19</v>
      </c>
      <c r="H28" s="6" t="s">
        <v>153</v>
      </c>
      <c r="I28" s="6" t="s">
        <v>33</v>
      </c>
      <c r="J28" s="6" t="s">
        <v>33</v>
      </c>
      <c r="K28" s="7" t="s">
        <v>33</v>
      </c>
      <c r="L28" s="5" t="s">
        <v>24</v>
      </c>
      <c r="M28" s="7" t="s">
        <v>154</v>
      </c>
    </row>
    <row r="29" customFormat="false" ht="43.25" hidden="false" customHeight="false" outlineLevel="0" collapsed="false">
      <c r="A29" s="3" t="n">
        <v>27</v>
      </c>
      <c r="B29" s="4" t="s">
        <v>155</v>
      </c>
      <c r="C29" s="4" t="s">
        <v>15</v>
      </c>
      <c r="D29" s="4" t="s">
        <v>156</v>
      </c>
      <c r="E29" s="4" t="s">
        <v>37</v>
      </c>
      <c r="F29" s="4" t="s">
        <v>152</v>
      </c>
      <c r="G29" s="3" t="s">
        <v>19</v>
      </c>
      <c r="H29" s="3" t="s">
        <v>153</v>
      </c>
      <c r="I29" s="3" t="s">
        <v>33</v>
      </c>
      <c r="J29" s="3" t="s">
        <v>33</v>
      </c>
      <c r="K29" s="4" t="s">
        <v>33</v>
      </c>
      <c r="L29" s="5" t="s">
        <v>24</v>
      </c>
      <c r="M29" s="4" t="s">
        <v>157</v>
      </c>
    </row>
    <row r="30" customFormat="false" ht="32.8" hidden="false" customHeight="false" outlineLevel="0" collapsed="false">
      <c r="A30" s="6" t="n">
        <v>28</v>
      </c>
      <c r="B30" s="7" t="s">
        <v>158</v>
      </c>
      <c r="C30" s="7" t="s">
        <v>15</v>
      </c>
      <c r="D30" s="7" t="s">
        <v>159</v>
      </c>
      <c r="E30" s="7" t="s">
        <v>37</v>
      </c>
      <c r="F30" s="7" t="s">
        <v>160</v>
      </c>
      <c r="G30" s="6" t="s">
        <v>39</v>
      </c>
      <c r="H30" s="6" t="s">
        <v>161</v>
      </c>
      <c r="I30" s="6" t="s">
        <v>33</v>
      </c>
      <c r="J30" s="6" t="s">
        <v>33</v>
      </c>
      <c r="K30" s="7" t="s">
        <v>33</v>
      </c>
      <c r="L30" s="5" t="s">
        <v>24</v>
      </c>
      <c r="M30" s="7" t="s">
        <v>162</v>
      </c>
    </row>
    <row r="31" customFormat="false" ht="18" hidden="false" customHeight="true" outlineLevel="0" collapsed="false">
      <c r="A31" s="9" t="str">
        <f aca="false">"Verdict summary — YES: "&amp;COUNTIF(L3:L30,"YES")&amp;"  |  Debatable: "&amp;COUNTIF(L3:L30,"Debatable")&amp;"  |  MAYBE: "&amp;COUNTIF(L3:L30,"MAYBE")&amp;"  |  NO: "&amp;COUNTIF(L3:L30,"NO")</f>
        <v>Verdict summary — YES: 2  |  Debatable: 2  |  MAYBE: 0  |  NO: 24</v>
      </c>
      <c r="B31" s="9"/>
      <c r="C31" s="9"/>
      <c r="D31" s="9"/>
      <c r="E31" s="9"/>
      <c r="F31" s="9"/>
      <c r="G31" s="9"/>
      <c r="H31" s="9"/>
      <c r="I31" s="9"/>
      <c r="J31" s="9"/>
      <c r="K31" s="9"/>
      <c r="L31" s="9"/>
      <c r="M31" s="9"/>
    </row>
  </sheetData>
  <mergeCells count="2">
    <mergeCell ref="A1:M1"/>
    <mergeCell ref="A31:M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3" min="2" style="0" width="22"/>
    <col collapsed="false" customWidth="true" hidden="false" outlineLevel="0" max="4" min="4" style="0" width="48"/>
    <col collapsed="false" customWidth="true" hidden="false" outlineLevel="0" max="5" min="5" style="0" width="13"/>
    <col collapsed="false" customWidth="true" hidden="false" outlineLevel="0" max="6" min="6" style="0" width="24"/>
    <col collapsed="false" customWidth="true" hidden="false" outlineLevel="0" max="7" min="7" style="0" width="13"/>
    <col collapsed="false" customWidth="true" hidden="false" outlineLevel="0" max="8" min="8" style="0" width="17"/>
    <col collapsed="false" customWidth="true" hidden="false" outlineLevel="0" max="9" min="9" style="0" width="13"/>
    <col collapsed="false" customWidth="true" hidden="false" outlineLevel="0" max="10" min="10" style="0" width="11"/>
    <col collapsed="false" customWidth="true" hidden="false" outlineLevel="0" max="11" min="11" style="0" width="30"/>
    <col collapsed="false" customWidth="true" hidden="false" outlineLevel="0" max="12" min="12" style="0" width="14"/>
    <col collapsed="false" customWidth="true" hidden="false" outlineLevel="0" max="13" min="13" style="0" width="55"/>
  </cols>
  <sheetData>
    <row r="1" customFormat="false" ht="24" hidden="false" customHeight="true" outlineLevel="0" collapsed="false">
      <c r="A1" s="1" t="s">
        <v>163</v>
      </c>
      <c r="B1" s="1"/>
      <c r="C1" s="1"/>
      <c r="D1" s="1"/>
      <c r="E1" s="1"/>
      <c r="F1" s="1"/>
      <c r="G1" s="1"/>
      <c r="H1" s="1"/>
      <c r="I1" s="1"/>
      <c r="J1" s="1"/>
      <c r="K1" s="1"/>
      <c r="L1" s="1"/>
      <c r="M1" s="1"/>
    </row>
    <row r="2" customFormat="false" ht="27.75" hidden="false" customHeight="true" outlineLevel="0" collapsed="false">
      <c r="A2" s="2" t="s">
        <v>1</v>
      </c>
      <c r="B2" s="2" t="s">
        <v>2</v>
      </c>
      <c r="C2" s="2" t="s">
        <v>3</v>
      </c>
      <c r="D2" s="2" t="s">
        <v>4</v>
      </c>
      <c r="E2" s="2" t="s">
        <v>5</v>
      </c>
      <c r="F2" s="2" t="s">
        <v>6</v>
      </c>
      <c r="G2" s="2" t="s">
        <v>7</v>
      </c>
      <c r="H2" s="2" t="s">
        <v>8</v>
      </c>
      <c r="I2" s="2" t="s">
        <v>9</v>
      </c>
      <c r="J2" s="2" t="s">
        <v>10</v>
      </c>
      <c r="K2" s="2" t="s">
        <v>11</v>
      </c>
      <c r="L2" s="2" t="s">
        <v>12</v>
      </c>
      <c r="M2" s="2" t="s">
        <v>13</v>
      </c>
    </row>
    <row r="3" customFormat="false" ht="22.35" hidden="false" customHeight="false" outlineLevel="0" collapsed="false">
      <c r="A3" s="3" t="n">
        <v>1</v>
      </c>
      <c r="B3" s="4" t="s">
        <v>164</v>
      </c>
      <c r="C3" s="4" t="s">
        <v>165</v>
      </c>
      <c r="D3" s="4" t="s">
        <v>166</v>
      </c>
      <c r="E3" s="4" t="s">
        <v>167</v>
      </c>
      <c r="F3" s="4" t="s">
        <v>90</v>
      </c>
      <c r="G3" s="3" t="s">
        <v>19</v>
      </c>
      <c r="H3" s="3" t="s">
        <v>168</v>
      </c>
      <c r="I3" s="3" t="s">
        <v>33</v>
      </c>
      <c r="J3" s="3" t="s">
        <v>33</v>
      </c>
      <c r="K3" s="4" t="s">
        <v>33</v>
      </c>
      <c r="L3" s="5" t="s">
        <v>24</v>
      </c>
      <c r="M3" s="4" t="s">
        <v>169</v>
      </c>
    </row>
    <row r="4" customFormat="false" ht="43.25" hidden="false" customHeight="false" outlineLevel="0" collapsed="false">
      <c r="A4" s="6" t="n">
        <v>2</v>
      </c>
      <c r="B4" s="7" t="s">
        <v>170</v>
      </c>
      <c r="C4" s="7" t="s">
        <v>165</v>
      </c>
      <c r="D4" s="7" t="s">
        <v>171</v>
      </c>
      <c r="E4" s="7" t="s">
        <v>167</v>
      </c>
      <c r="F4" s="7" t="s">
        <v>152</v>
      </c>
      <c r="G4" s="6" t="s">
        <v>39</v>
      </c>
      <c r="H4" s="6" t="s">
        <v>172</v>
      </c>
      <c r="I4" s="6" t="s">
        <v>33</v>
      </c>
      <c r="J4" s="6" t="s">
        <v>57</v>
      </c>
      <c r="K4" s="7" t="s">
        <v>173</v>
      </c>
      <c r="L4" s="5" t="s">
        <v>24</v>
      </c>
      <c r="M4" s="7" t="s">
        <v>174</v>
      </c>
    </row>
    <row r="5" customFormat="false" ht="53.7" hidden="false" customHeight="false" outlineLevel="0" collapsed="false">
      <c r="A5" s="3" t="n">
        <v>3</v>
      </c>
      <c r="B5" s="4" t="s">
        <v>175</v>
      </c>
      <c r="C5" s="4" t="s">
        <v>165</v>
      </c>
      <c r="D5" s="4" t="s">
        <v>176</v>
      </c>
      <c r="E5" s="4" t="s">
        <v>37</v>
      </c>
      <c r="F5" s="4" t="s">
        <v>152</v>
      </c>
      <c r="G5" s="3" t="s">
        <v>39</v>
      </c>
      <c r="H5" s="3" t="s">
        <v>177</v>
      </c>
      <c r="I5" s="3" t="s">
        <v>33</v>
      </c>
      <c r="J5" s="3" t="s">
        <v>57</v>
      </c>
      <c r="K5" s="4" t="s">
        <v>178</v>
      </c>
      <c r="L5" s="5" t="s">
        <v>24</v>
      </c>
      <c r="M5" s="4" t="s">
        <v>179</v>
      </c>
    </row>
    <row r="6" customFormat="false" ht="43.25" hidden="false" customHeight="false" outlineLevel="0" collapsed="false">
      <c r="A6" s="6" t="n">
        <v>4</v>
      </c>
      <c r="B6" s="7" t="s">
        <v>180</v>
      </c>
      <c r="C6" s="7" t="s">
        <v>165</v>
      </c>
      <c r="D6" s="7" t="s">
        <v>181</v>
      </c>
      <c r="E6" s="7" t="s">
        <v>37</v>
      </c>
      <c r="F6" s="7" t="s">
        <v>38</v>
      </c>
      <c r="G6" s="6" t="s">
        <v>39</v>
      </c>
      <c r="H6" s="6" t="s">
        <v>182</v>
      </c>
      <c r="I6" s="6" t="s">
        <v>41</v>
      </c>
      <c r="J6" s="6" t="s">
        <v>57</v>
      </c>
      <c r="K6" s="7" t="s">
        <v>183</v>
      </c>
      <c r="L6" s="5" t="s">
        <v>24</v>
      </c>
      <c r="M6" s="7" t="s">
        <v>184</v>
      </c>
    </row>
    <row r="7" customFormat="false" ht="43.25" hidden="false" customHeight="false" outlineLevel="0" collapsed="false">
      <c r="A7" s="3" t="n">
        <v>5</v>
      </c>
      <c r="B7" s="4" t="s">
        <v>185</v>
      </c>
      <c r="C7" s="4" t="s">
        <v>165</v>
      </c>
      <c r="D7" s="4" t="s">
        <v>186</v>
      </c>
      <c r="E7" s="4" t="s">
        <v>167</v>
      </c>
      <c r="F7" s="4" t="s">
        <v>18</v>
      </c>
      <c r="G7" s="3" t="s">
        <v>187</v>
      </c>
      <c r="H7" s="3" t="s">
        <v>188</v>
      </c>
      <c r="I7" s="3" t="s">
        <v>33</v>
      </c>
      <c r="J7" s="3" t="s">
        <v>57</v>
      </c>
      <c r="K7" s="4" t="s">
        <v>189</v>
      </c>
      <c r="L7" s="5" t="s">
        <v>24</v>
      </c>
      <c r="M7" s="4" t="s">
        <v>190</v>
      </c>
    </row>
    <row r="8" customFormat="false" ht="43.25" hidden="false" customHeight="false" outlineLevel="0" collapsed="false">
      <c r="A8" s="6" t="n">
        <v>6</v>
      </c>
      <c r="B8" s="7" t="s">
        <v>191</v>
      </c>
      <c r="C8" s="7" t="s">
        <v>165</v>
      </c>
      <c r="D8" s="7" t="s">
        <v>192</v>
      </c>
      <c r="E8" s="7" t="s">
        <v>167</v>
      </c>
      <c r="F8" s="7" t="s">
        <v>193</v>
      </c>
      <c r="G8" s="6" t="s">
        <v>39</v>
      </c>
      <c r="H8" s="6" t="s">
        <v>194</v>
      </c>
      <c r="I8" s="6" t="s">
        <v>195</v>
      </c>
      <c r="J8" s="6" t="s">
        <v>57</v>
      </c>
      <c r="K8" s="7" t="s">
        <v>67</v>
      </c>
      <c r="L8" s="5" t="s">
        <v>24</v>
      </c>
      <c r="M8" s="7" t="s">
        <v>196</v>
      </c>
    </row>
    <row r="9" customFormat="false" ht="53.7" hidden="false" customHeight="false" outlineLevel="0" collapsed="false">
      <c r="A9" s="3" t="n">
        <v>7</v>
      </c>
      <c r="B9" s="4" t="s">
        <v>197</v>
      </c>
      <c r="C9" s="4" t="s">
        <v>165</v>
      </c>
      <c r="D9" s="4" t="s">
        <v>198</v>
      </c>
      <c r="E9" s="4" t="s">
        <v>167</v>
      </c>
      <c r="F9" s="4" t="s">
        <v>199</v>
      </c>
      <c r="G9" s="3" t="s">
        <v>39</v>
      </c>
      <c r="H9" s="3" t="s">
        <v>200</v>
      </c>
      <c r="I9" s="3" t="s">
        <v>33</v>
      </c>
      <c r="J9" s="3" t="s">
        <v>33</v>
      </c>
      <c r="K9" s="4" t="s">
        <v>33</v>
      </c>
      <c r="L9" s="5" t="s">
        <v>24</v>
      </c>
      <c r="M9" s="4" t="s">
        <v>201</v>
      </c>
    </row>
    <row r="10" customFormat="false" ht="53.7" hidden="false" customHeight="false" outlineLevel="0" collapsed="false">
      <c r="A10" s="6" t="n">
        <v>8</v>
      </c>
      <c r="B10" s="7" t="s">
        <v>202</v>
      </c>
      <c r="C10" s="7" t="s">
        <v>165</v>
      </c>
      <c r="D10" s="7" t="s">
        <v>203</v>
      </c>
      <c r="E10" s="7" t="s">
        <v>167</v>
      </c>
      <c r="F10" s="7" t="s">
        <v>204</v>
      </c>
      <c r="G10" s="6" t="s">
        <v>19</v>
      </c>
      <c r="H10" s="6" t="s">
        <v>205</v>
      </c>
      <c r="I10" s="6" t="s">
        <v>33</v>
      </c>
      <c r="J10" s="6" t="s">
        <v>57</v>
      </c>
      <c r="K10" s="7" t="s">
        <v>206</v>
      </c>
      <c r="L10" s="8" t="s">
        <v>92</v>
      </c>
      <c r="M10" s="7" t="s">
        <v>207</v>
      </c>
    </row>
    <row r="11" customFormat="false" ht="53.7" hidden="false" customHeight="false" outlineLevel="0" collapsed="false">
      <c r="A11" s="3" t="n">
        <v>9</v>
      </c>
      <c r="B11" s="4" t="s">
        <v>208</v>
      </c>
      <c r="C11" s="4" t="s">
        <v>165</v>
      </c>
      <c r="D11" s="4" t="s">
        <v>209</v>
      </c>
      <c r="E11" s="4" t="s">
        <v>167</v>
      </c>
      <c r="F11" s="4" t="s">
        <v>75</v>
      </c>
      <c r="G11" s="3" t="s">
        <v>19</v>
      </c>
      <c r="H11" s="3" t="s">
        <v>210</v>
      </c>
      <c r="I11" s="3" t="s">
        <v>33</v>
      </c>
      <c r="J11" s="3" t="s">
        <v>57</v>
      </c>
      <c r="K11" s="4" t="s">
        <v>211</v>
      </c>
      <c r="L11" s="5" t="s">
        <v>24</v>
      </c>
      <c r="M11" s="4" t="s">
        <v>212</v>
      </c>
    </row>
    <row r="12" customFormat="false" ht="43.25" hidden="false" customHeight="false" outlineLevel="0" collapsed="false">
      <c r="A12" s="6" t="n">
        <v>10</v>
      </c>
      <c r="B12" s="7" t="s">
        <v>213</v>
      </c>
      <c r="C12" s="7" t="s">
        <v>165</v>
      </c>
      <c r="D12" s="7" t="s">
        <v>214</v>
      </c>
      <c r="E12" s="7" t="s">
        <v>136</v>
      </c>
      <c r="F12" s="7" t="s">
        <v>215</v>
      </c>
      <c r="G12" s="6" t="s">
        <v>39</v>
      </c>
      <c r="H12" s="6" t="s">
        <v>216</v>
      </c>
      <c r="I12" s="6" t="s">
        <v>217</v>
      </c>
      <c r="J12" s="6" t="s">
        <v>57</v>
      </c>
      <c r="K12" s="7" t="s">
        <v>218</v>
      </c>
      <c r="L12" s="8" t="s">
        <v>92</v>
      </c>
      <c r="M12" s="7" t="s">
        <v>219</v>
      </c>
    </row>
    <row r="13" customFormat="false" ht="64.15" hidden="false" customHeight="false" outlineLevel="0" collapsed="false">
      <c r="A13" s="3" t="n">
        <v>11</v>
      </c>
      <c r="B13" s="4" t="s">
        <v>220</v>
      </c>
      <c r="C13" s="4" t="s">
        <v>165</v>
      </c>
      <c r="D13" s="4" t="s">
        <v>221</v>
      </c>
      <c r="E13" s="4" t="s">
        <v>167</v>
      </c>
      <c r="F13" s="4" t="s">
        <v>90</v>
      </c>
      <c r="G13" s="3" t="s">
        <v>19</v>
      </c>
      <c r="H13" s="3" t="s">
        <v>104</v>
      </c>
      <c r="I13" s="3" t="s">
        <v>33</v>
      </c>
      <c r="J13" s="3" t="s">
        <v>57</v>
      </c>
      <c r="K13" s="4" t="s">
        <v>222</v>
      </c>
      <c r="L13" s="5" t="s">
        <v>24</v>
      </c>
      <c r="M13" s="4" t="s">
        <v>223</v>
      </c>
    </row>
    <row r="14" customFormat="false" ht="18" hidden="false" customHeight="true" outlineLevel="0" collapsed="false">
      <c r="A14" s="9" t="str">
        <f aca="false">"Verdict summary — YES: "&amp;COUNTIF(L3:L13,"YES")&amp;"  |  Debatable: "&amp;COUNTIF(L3:L13,"Debatable")&amp;"  |  MAYBE: "&amp;COUNTIF(L3:L13,"MAYBE")&amp;"  |  NO: "&amp;COUNTIF(L3:L13,"NO")</f>
        <v>Verdict summary — YES: 0  |  Debatable: 2  |  MAYBE: 0  |  NO: 9</v>
      </c>
      <c r="B14" s="9"/>
      <c r="C14" s="9"/>
      <c r="D14" s="9"/>
      <c r="E14" s="9"/>
      <c r="F14" s="9"/>
      <c r="G14" s="9"/>
      <c r="H14" s="9"/>
      <c r="I14" s="9"/>
      <c r="J14" s="9"/>
      <c r="K14" s="9"/>
      <c r="L14" s="9"/>
      <c r="M14" s="9"/>
    </row>
  </sheetData>
  <mergeCells count="2">
    <mergeCell ref="A1:M1"/>
    <mergeCell ref="A14:M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3" min="2" style="0" width="22"/>
    <col collapsed="false" customWidth="true" hidden="false" outlineLevel="0" max="4" min="4" style="0" width="48"/>
    <col collapsed="false" customWidth="true" hidden="false" outlineLevel="0" max="5" min="5" style="0" width="13"/>
    <col collapsed="false" customWidth="true" hidden="false" outlineLevel="0" max="6" min="6" style="0" width="24"/>
    <col collapsed="false" customWidth="true" hidden="false" outlineLevel="0" max="7" min="7" style="0" width="13"/>
    <col collapsed="false" customWidth="true" hidden="false" outlineLevel="0" max="8" min="8" style="0" width="17"/>
    <col collapsed="false" customWidth="true" hidden="false" outlineLevel="0" max="9" min="9" style="0" width="13"/>
    <col collapsed="false" customWidth="true" hidden="false" outlineLevel="0" max="10" min="10" style="0" width="11"/>
    <col collapsed="false" customWidth="true" hidden="false" outlineLevel="0" max="11" min="11" style="0" width="30"/>
    <col collapsed="false" customWidth="true" hidden="false" outlineLevel="0" max="12" min="12" style="0" width="14"/>
    <col collapsed="false" customWidth="true" hidden="false" outlineLevel="0" max="13" min="13" style="0" width="55"/>
  </cols>
  <sheetData>
    <row r="1" customFormat="false" ht="24" hidden="false" customHeight="true" outlineLevel="0" collapsed="false">
      <c r="A1" s="1" t="s">
        <v>224</v>
      </c>
      <c r="B1" s="1"/>
      <c r="C1" s="1"/>
      <c r="D1" s="1"/>
      <c r="E1" s="1"/>
      <c r="F1" s="1"/>
      <c r="G1" s="1"/>
      <c r="H1" s="1"/>
      <c r="I1" s="1"/>
      <c r="J1" s="1"/>
      <c r="K1" s="1"/>
      <c r="L1" s="1"/>
      <c r="M1" s="1"/>
    </row>
    <row r="2" customFormat="false" ht="27.75" hidden="false" customHeight="true" outlineLevel="0" collapsed="false">
      <c r="A2" s="2" t="s">
        <v>1</v>
      </c>
      <c r="B2" s="2" t="s">
        <v>2</v>
      </c>
      <c r="C2" s="2" t="s">
        <v>3</v>
      </c>
      <c r="D2" s="2" t="s">
        <v>4</v>
      </c>
      <c r="E2" s="2" t="s">
        <v>5</v>
      </c>
      <c r="F2" s="2" t="s">
        <v>6</v>
      </c>
      <c r="G2" s="2" t="s">
        <v>7</v>
      </c>
      <c r="H2" s="2" t="s">
        <v>8</v>
      </c>
      <c r="I2" s="2" t="s">
        <v>9</v>
      </c>
      <c r="J2" s="2" t="s">
        <v>10</v>
      </c>
      <c r="K2" s="2" t="s">
        <v>11</v>
      </c>
      <c r="L2" s="2" t="s">
        <v>12</v>
      </c>
      <c r="M2" s="2" t="s">
        <v>13</v>
      </c>
    </row>
    <row r="3" customFormat="false" ht="22.35" hidden="false" customHeight="false" outlineLevel="0" collapsed="false">
      <c r="A3" s="3" t="n">
        <v>1</v>
      </c>
      <c r="B3" s="4" t="s">
        <v>225</v>
      </c>
      <c r="C3" s="4" t="s">
        <v>226</v>
      </c>
      <c r="D3" s="4" t="s">
        <v>227</v>
      </c>
      <c r="E3" s="4" t="s">
        <v>228</v>
      </c>
      <c r="F3" s="4" t="s">
        <v>215</v>
      </c>
      <c r="G3" s="3" t="s">
        <v>187</v>
      </c>
      <c r="H3" s="3" t="s">
        <v>229</v>
      </c>
      <c r="I3" s="3" t="s">
        <v>41</v>
      </c>
      <c r="J3" s="3" t="s">
        <v>57</v>
      </c>
      <c r="K3" s="4" t="s">
        <v>230</v>
      </c>
      <c r="L3" s="5" t="s">
        <v>24</v>
      </c>
      <c r="M3" s="4" t="s">
        <v>231</v>
      </c>
    </row>
    <row r="4" customFormat="false" ht="22.35" hidden="false" customHeight="false" outlineLevel="0" collapsed="false">
      <c r="A4" s="6" t="n">
        <v>2</v>
      </c>
      <c r="B4" s="7" t="s">
        <v>232</v>
      </c>
      <c r="C4" s="7" t="s">
        <v>226</v>
      </c>
      <c r="D4" s="7" t="s">
        <v>233</v>
      </c>
      <c r="E4" s="7" t="s">
        <v>228</v>
      </c>
      <c r="F4" s="7" t="s">
        <v>193</v>
      </c>
      <c r="G4" s="6" t="s">
        <v>187</v>
      </c>
      <c r="H4" s="6" t="s">
        <v>210</v>
      </c>
      <c r="I4" s="6" t="s">
        <v>41</v>
      </c>
      <c r="J4" s="6" t="s">
        <v>57</v>
      </c>
      <c r="K4" s="7" t="s">
        <v>234</v>
      </c>
      <c r="L4" s="5" t="s">
        <v>24</v>
      </c>
      <c r="M4" s="7" t="s">
        <v>235</v>
      </c>
    </row>
    <row r="5" customFormat="false" ht="22.35" hidden="false" customHeight="false" outlineLevel="0" collapsed="false">
      <c r="A5" s="3" t="n">
        <v>3</v>
      </c>
      <c r="B5" s="4" t="s">
        <v>236</v>
      </c>
      <c r="C5" s="4" t="s">
        <v>226</v>
      </c>
      <c r="D5" s="4" t="s">
        <v>237</v>
      </c>
      <c r="E5" s="4" t="s">
        <v>228</v>
      </c>
      <c r="F5" s="4" t="s">
        <v>193</v>
      </c>
      <c r="G5" s="3" t="s">
        <v>187</v>
      </c>
      <c r="H5" s="3" t="s">
        <v>210</v>
      </c>
      <c r="I5" s="3" t="s">
        <v>41</v>
      </c>
      <c r="J5" s="3" t="s">
        <v>57</v>
      </c>
      <c r="K5" s="4" t="s">
        <v>234</v>
      </c>
      <c r="L5" s="5" t="s">
        <v>24</v>
      </c>
      <c r="M5" s="4" t="s">
        <v>235</v>
      </c>
    </row>
    <row r="6" customFormat="false" ht="22.35" hidden="false" customHeight="false" outlineLevel="0" collapsed="false">
      <c r="A6" s="6" t="n">
        <v>4</v>
      </c>
      <c r="B6" s="7" t="s">
        <v>238</v>
      </c>
      <c r="C6" s="7" t="s">
        <v>226</v>
      </c>
      <c r="D6" s="7" t="s">
        <v>239</v>
      </c>
      <c r="E6" s="7" t="s">
        <v>228</v>
      </c>
      <c r="F6" s="7" t="s">
        <v>193</v>
      </c>
      <c r="G6" s="6" t="s">
        <v>187</v>
      </c>
      <c r="H6" s="6" t="s">
        <v>240</v>
      </c>
      <c r="I6" s="6" t="s">
        <v>195</v>
      </c>
      <c r="J6" s="6" t="s">
        <v>57</v>
      </c>
      <c r="K6" s="7" t="s">
        <v>234</v>
      </c>
      <c r="L6" s="5" t="s">
        <v>24</v>
      </c>
      <c r="M6" s="7" t="s">
        <v>235</v>
      </c>
    </row>
    <row r="7" customFormat="false" ht="22.35" hidden="false" customHeight="false" outlineLevel="0" collapsed="false">
      <c r="A7" s="3" t="n">
        <v>5</v>
      </c>
      <c r="B7" s="4" t="s">
        <v>241</v>
      </c>
      <c r="C7" s="4" t="s">
        <v>226</v>
      </c>
      <c r="D7" s="4" t="s">
        <v>242</v>
      </c>
      <c r="E7" s="4" t="s">
        <v>228</v>
      </c>
      <c r="F7" s="4" t="s">
        <v>193</v>
      </c>
      <c r="G7" s="3" t="s">
        <v>187</v>
      </c>
      <c r="H7" s="3" t="s">
        <v>240</v>
      </c>
      <c r="I7" s="3" t="s">
        <v>195</v>
      </c>
      <c r="J7" s="3" t="s">
        <v>57</v>
      </c>
      <c r="K7" s="4" t="s">
        <v>234</v>
      </c>
      <c r="L7" s="5" t="s">
        <v>24</v>
      </c>
      <c r="M7" s="4" t="s">
        <v>243</v>
      </c>
    </row>
    <row r="8" customFormat="false" ht="22.35" hidden="false" customHeight="false" outlineLevel="0" collapsed="false">
      <c r="A8" s="6" t="n">
        <v>6</v>
      </c>
      <c r="B8" s="7" t="s">
        <v>244</v>
      </c>
      <c r="C8" s="7" t="s">
        <v>226</v>
      </c>
      <c r="D8" s="7" t="s">
        <v>245</v>
      </c>
      <c r="E8" s="7" t="s">
        <v>228</v>
      </c>
      <c r="F8" s="7" t="s">
        <v>193</v>
      </c>
      <c r="G8" s="6" t="s">
        <v>187</v>
      </c>
      <c r="H8" s="6" t="s">
        <v>188</v>
      </c>
      <c r="I8" s="6" t="s">
        <v>195</v>
      </c>
      <c r="J8" s="6" t="s">
        <v>57</v>
      </c>
      <c r="K8" s="7" t="s">
        <v>234</v>
      </c>
      <c r="L8" s="5" t="s">
        <v>24</v>
      </c>
      <c r="M8" s="7" t="s">
        <v>246</v>
      </c>
    </row>
    <row r="9" customFormat="false" ht="22.35" hidden="false" customHeight="false" outlineLevel="0" collapsed="false">
      <c r="A9" s="3" t="n">
        <v>7</v>
      </c>
      <c r="B9" s="4" t="s">
        <v>247</v>
      </c>
      <c r="C9" s="4" t="s">
        <v>226</v>
      </c>
      <c r="D9" s="4" t="s">
        <v>248</v>
      </c>
      <c r="E9" s="4" t="s">
        <v>228</v>
      </c>
      <c r="F9" s="4" t="s">
        <v>193</v>
      </c>
      <c r="G9" s="3" t="s">
        <v>187</v>
      </c>
      <c r="H9" s="3" t="s">
        <v>188</v>
      </c>
      <c r="I9" s="3" t="s">
        <v>21</v>
      </c>
      <c r="J9" s="3" t="s">
        <v>57</v>
      </c>
      <c r="K9" s="4" t="s">
        <v>234</v>
      </c>
      <c r="L9" s="5" t="s">
        <v>24</v>
      </c>
      <c r="M9" s="4" t="s">
        <v>235</v>
      </c>
    </row>
    <row r="10" customFormat="false" ht="32.8" hidden="false" customHeight="false" outlineLevel="0" collapsed="false">
      <c r="A10" s="6" t="n">
        <v>8</v>
      </c>
      <c r="B10" s="7" t="s">
        <v>249</v>
      </c>
      <c r="C10" s="7" t="s">
        <v>226</v>
      </c>
      <c r="D10" s="7" t="s">
        <v>250</v>
      </c>
      <c r="E10" s="7" t="s">
        <v>228</v>
      </c>
      <c r="F10" s="7" t="s">
        <v>193</v>
      </c>
      <c r="G10" s="6" t="s">
        <v>187</v>
      </c>
      <c r="H10" s="6" t="s">
        <v>188</v>
      </c>
      <c r="I10" s="6" t="s">
        <v>195</v>
      </c>
      <c r="J10" s="6" t="s">
        <v>57</v>
      </c>
      <c r="K10" s="7" t="s">
        <v>234</v>
      </c>
      <c r="L10" s="5" t="s">
        <v>24</v>
      </c>
      <c r="M10" s="7" t="s">
        <v>235</v>
      </c>
    </row>
    <row r="11" customFormat="false" ht="22.35" hidden="false" customHeight="false" outlineLevel="0" collapsed="false">
      <c r="A11" s="3" t="n">
        <v>9</v>
      </c>
      <c r="B11" s="4" t="s">
        <v>251</v>
      </c>
      <c r="C11" s="4" t="s">
        <v>226</v>
      </c>
      <c r="D11" s="4" t="s">
        <v>252</v>
      </c>
      <c r="E11" s="4" t="s">
        <v>228</v>
      </c>
      <c r="F11" s="4" t="s">
        <v>193</v>
      </c>
      <c r="G11" s="3" t="s">
        <v>187</v>
      </c>
      <c r="H11" s="3" t="s">
        <v>253</v>
      </c>
      <c r="I11" s="3" t="s">
        <v>21</v>
      </c>
      <c r="J11" s="3" t="s">
        <v>57</v>
      </c>
      <c r="K11" s="4" t="s">
        <v>234</v>
      </c>
      <c r="L11" s="5" t="s">
        <v>24</v>
      </c>
      <c r="M11" s="4" t="s">
        <v>235</v>
      </c>
    </row>
    <row r="12" customFormat="false" ht="22.35" hidden="false" customHeight="false" outlineLevel="0" collapsed="false">
      <c r="A12" s="6" t="n">
        <v>10</v>
      </c>
      <c r="B12" s="7" t="s">
        <v>254</v>
      </c>
      <c r="C12" s="7" t="s">
        <v>226</v>
      </c>
      <c r="D12" s="7" t="s">
        <v>255</v>
      </c>
      <c r="E12" s="7" t="s">
        <v>228</v>
      </c>
      <c r="F12" s="7" t="s">
        <v>193</v>
      </c>
      <c r="G12" s="6" t="s">
        <v>187</v>
      </c>
      <c r="H12" s="6" t="s">
        <v>253</v>
      </c>
      <c r="I12" s="6" t="s">
        <v>21</v>
      </c>
      <c r="J12" s="6" t="s">
        <v>57</v>
      </c>
      <c r="K12" s="7" t="s">
        <v>234</v>
      </c>
      <c r="L12" s="5" t="s">
        <v>24</v>
      </c>
      <c r="M12" s="7" t="s">
        <v>235</v>
      </c>
    </row>
    <row r="13" customFormat="false" ht="22.35" hidden="false" customHeight="false" outlineLevel="0" collapsed="false">
      <c r="A13" s="3" t="n">
        <v>11</v>
      </c>
      <c r="B13" s="4" t="s">
        <v>256</v>
      </c>
      <c r="C13" s="4" t="s">
        <v>226</v>
      </c>
      <c r="D13" s="4" t="s">
        <v>257</v>
      </c>
      <c r="E13" s="4" t="s">
        <v>228</v>
      </c>
      <c r="F13" s="4" t="s">
        <v>193</v>
      </c>
      <c r="G13" s="3" t="s">
        <v>187</v>
      </c>
      <c r="H13" s="3" t="s">
        <v>258</v>
      </c>
      <c r="I13" s="3" t="s">
        <v>217</v>
      </c>
      <c r="J13" s="3" t="s">
        <v>57</v>
      </c>
      <c r="K13" s="4" t="s">
        <v>234</v>
      </c>
      <c r="L13" s="5" t="s">
        <v>24</v>
      </c>
      <c r="M13" s="4" t="s">
        <v>235</v>
      </c>
    </row>
    <row r="14" customFormat="false" ht="22.35" hidden="false" customHeight="false" outlineLevel="0" collapsed="false">
      <c r="A14" s="6" t="n">
        <v>12</v>
      </c>
      <c r="B14" s="7" t="s">
        <v>259</v>
      </c>
      <c r="C14" s="7" t="s">
        <v>226</v>
      </c>
      <c r="D14" s="7" t="s">
        <v>260</v>
      </c>
      <c r="E14" s="7" t="s">
        <v>228</v>
      </c>
      <c r="F14" s="7" t="s">
        <v>193</v>
      </c>
      <c r="G14" s="6" t="s">
        <v>187</v>
      </c>
      <c r="H14" s="6" t="s">
        <v>258</v>
      </c>
      <c r="I14" s="6" t="s">
        <v>217</v>
      </c>
      <c r="J14" s="6" t="s">
        <v>57</v>
      </c>
      <c r="K14" s="7" t="s">
        <v>234</v>
      </c>
      <c r="L14" s="5" t="s">
        <v>24</v>
      </c>
      <c r="M14" s="7" t="s">
        <v>235</v>
      </c>
    </row>
    <row r="15" customFormat="false" ht="18" hidden="false" customHeight="true" outlineLevel="0" collapsed="false">
      <c r="A15" s="9" t="str">
        <f aca="false">"Verdict summary — YES: "&amp;COUNTIF(L3:L14,"YES")&amp;"  |  Debatable: "&amp;COUNTIF(L3:L14,"Debatable")&amp;"  |  MAYBE: "&amp;COUNTIF(L3:L14,"MAYBE")&amp;"  |  NO: "&amp;COUNTIF(L3:L14,"NO")</f>
        <v>Verdict summary — YES: 0  |  Debatable: 0  |  MAYBE: 0  |  NO: 12</v>
      </c>
      <c r="B15" s="9"/>
      <c r="C15" s="9"/>
      <c r="D15" s="9"/>
      <c r="E15" s="9"/>
      <c r="F15" s="9"/>
      <c r="G15" s="9"/>
      <c r="H15" s="9"/>
      <c r="I15" s="9"/>
      <c r="J15" s="9"/>
      <c r="K15" s="9"/>
      <c r="L15" s="9"/>
      <c r="M15" s="9"/>
    </row>
  </sheetData>
  <mergeCells count="2">
    <mergeCell ref="A1:M1"/>
    <mergeCell ref="A15:M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3" min="2" style="0" width="22"/>
    <col collapsed="false" customWidth="true" hidden="false" outlineLevel="0" max="4" min="4" style="0" width="48"/>
    <col collapsed="false" customWidth="true" hidden="false" outlineLevel="0" max="5" min="5" style="0" width="13"/>
    <col collapsed="false" customWidth="true" hidden="false" outlineLevel="0" max="6" min="6" style="0" width="24"/>
    <col collapsed="false" customWidth="true" hidden="false" outlineLevel="0" max="7" min="7" style="0" width="13"/>
    <col collapsed="false" customWidth="true" hidden="false" outlineLevel="0" max="8" min="8" style="0" width="17"/>
    <col collapsed="false" customWidth="true" hidden="false" outlineLevel="0" max="9" min="9" style="0" width="13"/>
    <col collapsed="false" customWidth="true" hidden="false" outlineLevel="0" max="10" min="10" style="0" width="11"/>
    <col collapsed="false" customWidth="true" hidden="false" outlineLevel="0" max="11" min="11" style="0" width="30"/>
    <col collapsed="false" customWidth="true" hidden="false" outlineLevel="0" max="12" min="12" style="0" width="14"/>
    <col collapsed="false" customWidth="true" hidden="false" outlineLevel="0" max="13" min="13" style="0" width="55"/>
  </cols>
  <sheetData>
    <row r="1" customFormat="false" ht="24" hidden="false" customHeight="true" outlineLevel="0" collapsed="false">
      <c r="A1" s="1" t="s">
        <v>261</v>
      </c>
      <c r="B1" s="1"/>
      <c r="C1" s="1"/>
      <c r="D1" s="1"/>
      <c r="E1" s="1"/>
      <c r="F1" s="1"/>
      <c r="G1" s="1"/>
      <c r="H1" s="1"/>
      <c r="I1" s="1"/>
      <c r="J1" s="1"/>
      <c r="K1" s="1"/>
      <c r="L1" s="1"/>
      <c r="M1" s="1"/>
    </row>
    <row r="2" customFormat="false" ht="27.75" hidden="false" customHeight="true" outlineLevel="0" collapsed="false">
      <c r="A2" s="2" t="s">
        <v>1</v>
      </c>
      <c r="B2" s="2" t="s">
        <v>2</v>
      </c>
      <c r="C2" s="2" t="s">
        <v>3</v>
      </c>
      <c r="D2" s="2" t="s">
        <v>4</v>
      </c>
      <c r="E2" s="2" t="s">
        <v>5</v>
      </c>
      <c r="F2" s="2" t="s">
        <v>6</v>
      </c>
      <c r="G2" s="2" t="s">
        <v>7</v>
      </c>
      <c r="H2" s="2" t="s">
        <v>8</v>
      </c>
      <c r="I2" s="2" t="s">
        <v>9</v>
      </c>
      <c r="J2" s="2" t="s">
        <v>10</v>
      </c>
      <c r="K2" s="2" t="s">
        <v>11</v>
      </c>
      <c r="L2" s="2" t="s">
        <v>12</v>
      </c>
      <c r="M2" s="2" t="s">
        <v>13</v>
      </c>
    </row>
    <row r="3" customFormat="false" ht="22.35" hidden="false" customHeight="false" outlineLevel="0" collapsed="false">
      <c r="A3" s="3" t="n">
        <v>1</v>
      </c>
      <c r="B3" s="4" t="s">
        <v>262</v>
      </c>
      <c r="C3" s="4" t="s">
        <v>263</v>
      </c>
      <c r="D3" s="4" t="s">
        <v>264</v>
      </c>
      <c r="E3" s="4" t="s">
        <v>228</v>
      </c>
      <c r="F3" s="4" t="s">
        <v>18</v>
      </c>
      <c r="G3" s="3" t="s">
        <v>187</v>
      </c>
      <c r="H3" s="3" t="s">
        <v>265</v>
      </c>
      <c r="I3" s="3" t="s">
        <v>33</v>
      </c>
      <c r="J3" s="3" t="s">
        <v>33</v>
      </c>
      <c r="K3" s="4" t="s">
        <v>33</v>
      </c>
      <c r="L3" s="5" t="s">
        <v>24</v>
      </c>
      <c r="M3" s="4" t="s">
        <v>266</v>
      </c>
    </row>
    <row r="4" customFormat="false" ht="18" hidden="false" customHeight="true" outlineLevel="0" collapsed="false">
      <c r="A4" s="9" t="str">
        <f aca="false">"Verdict summary — YES: "&amp;COUNTIF(L3:L3,"YES")&amp;"  |  Debatable: "&amp;COUNTIF(L3:L3,"Debatable")&amp;"  |  MAYBE: "&amp;COUNTIF(L3:L3,"MAYBE")&amp;"  |  NO: "&amp;COUNTIF(L3:L3,"NO")</f>
        <v>Verdict summary — YES: 0  |  Debatable: 0  |  MAYBE: 0  |  NO: 1</v>
      </c>
      <c r="B4" s="9"/>
      <c r="C4" s="9"/>
      <c r="D4" s="9"/>
      <c r="E4" s="9"/>
      <c r="F4" s="9"/>
      <c r="G4" s="9"/>
      <c r="H4" s="9"/>
      <c r="I4" s="9"/>
      <c r="J4" s="9"/>
      <c r="K4" s="9"/>
      <c r="L4" s="9"/>
      <c r="M4" s="9"/>
    </row>
  </sheetData>
  <mergeCells count="2">
    <mergeCell ref="A1:M1"/>
    <mergeCell ref="A4:M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3" min="2" style="0" width="22"/>
    <col collapsed="false" customWidth="true" hidden="false" outlineLevel="0" max="4" min="4" style="0" width="48"/>
    <col collapsed="false" customWidth="true" hidden="false" outlineLevel="0" max="5" min="5" style="0" width="13"/>
    <col collapsed="false" customWidth="true" hidden="false" outlineLevel="0" max="6" min="6" style="0" width="24"/>
    <col collapsed="false" customWidth="true" hidden="false" outlineLevel="0" max="7" min="7" style="0" width="13"/>
    <col collapsed="false" customWidth="true" hidden="false" outlineLevel="0" max="8" min="8" style="0" width="17"/>
    <col collapsed="false" customWidth="true" hidden="false" outlineLevel="0" max="9" min="9" style="0" width="13"/>
    <col collapsed="false" customWidth="true" hidden="false" outlineLevel="0" max="10" min="10" style="0" width="11"/>
    <col collapsed="false" customWidth="true" hidden="false" outlineLevel="0" max="11" min="11" style="0" width="30"/>
    <col collapsed="false" customWidth="true" hidden="false" outlineLevel="0" max="12" min="12" style="0" width="14"/>
    <col collapsed="false" customWidth="true" hidden="false" outlineLevel="0" max="13" min="13" style="0" width="55"/>
  </cols>
  <sheetData>
    <row r="1" customFormat="false" ht="24" hidden="false" customHeight="true" outlineLevel="0" collapsed="false">
      <c r="A1" s="1" t="s">
        <v>267</v>
      </c>
      <c r="B1" s="1"/>
      <c r="C1" s="1"/>
      <c r="D1" s="1"/>
      <c r="E1" s="1"/>
      <c r="F1" s="1"/>
      <c r="G1" s="1"/>
      <c r="H1" s="1"/>
      <c r="I1" s="1"/>
      <c r="J1" s="1"/>
      <c r="K1" s="1"/>
      <c r="L1" s="1"/>
      <c r="M1" s="1"/>
    </row>
    <row r="2" customFormat="false" ht="27.75" hidden="false" customHeight="true" outlineLevel="0" collapsed="false">
      <c r="A2" s="2" t="s">
        <v>1</v>
      </c>
      <c r="B2" s="2" t="s">
        <v>2</v>
      </c>
      <c r="C2" s="2" t="s">
        <v>3</v>
      </c>
      <c r="D2" s="2" t="s">
        <v>4</v>
      </c>
      <c r="E2" s="2" t="s">
        <v>5</v>
      </c>
      <c r="F2" s="2" t="s">
        <v>6</v>
      </c>
      <c r="G2" s="2" t="s">
        <v>7</v>
      </c>
      <c r="H2" s="2" t="s">
        <v>8</v>
      </c>
      <c r="I2" s="2" t="s">
        <v>9</v>
      </c>
      <c r="J2" s="2" t="s">
        <v>10</v>
      </c>
      <c r="K2" s="2" t="s">
        <v>11</v>
      </c>
      <c r="L2" s="2" t="s">
        <v>12</v>
      </c>
      <c r="M2" s="2" t="s">
        <v>13</v>
      </c>
    </row>
    <row r="3" customFormat="false" ht="64.15" hidden="false" customHeight="false" outlineLevel="0" collapsed="false">
      <c r="A3" s="3" t="n">
        <v>1</v>
      </c>
      <c r="B3" s="4" t="s">
        <v>268</v>
      </c>
      <c r="C3" s="4" t="s">
        <v>269</v>
      </c>
      <c r="D3" s="4" t="s">
        <v>270</v>
      </c>
      <c r="E3" s="4" t="s">
        <v>37</v>
      </c>
      <c r="F3" s="4" t="s">
        <v>83</v>
      </c>
      <c r="G3" s="3" t="s">
        <v>39</v>
      </c>
      <c r="H3" s="3" t="s">
        <v>271</v>
      </c>
      <c r="I3" s="3" t="s">
        <v>33</v>
      </c>
      <c r="J3" s="3" t="s">
        <v>33</v>
      </c>
      <c r="K3" s="4" t="s">
        <v>33</v>
      </c>
      <c r="L3" s="10" t="s">
        <v>272</v>
      </c>
      <c r="M3" s="4" t="s">
        <v>273</v>
      </c>
    </row>
    <row r="4" customFormat="false" ht="43.25" hidden="false" customHeight="false" outlineLevel="0" collapsed="false">
      <c r="A4" s="6" t="n">
        <v>2</v>
      </c>
      <c r="B4" s="7" t="s">
        <v>274</v>
      </c>
      <c r="C4" s="7" t="s">
        <v>269</v>
      </c>
      <c r="D4" s="7" t="s">
        <v>275</v>
      </c>
      <c r="E4" s="7" t="s">
        <v>125</v>
      </c>
      <c r="F4" s="7" t="s">
        <v>276</v>
      </c>
      <c r="G4" s="6" t="s">
        <v>39</v>
      </c>
      <c r="H4" s="6" t="s">
        <v>277</v>
      </c>
      <c r="I4" s="6" t="s">
        <v>33</v>
      </c>
      <c r="J4" s="6" t="s">
        <v>33</v>
      </c>
      <c r="K4" s="7" t="s">
        <v>33</v>
      </c>
      <c r="L4" s="5" t="s">
        <v>24</v>
      </c>
      <c r="M4" s="7" t="s">
        <v>278</v>
      </c>
    </row>
    <row r="5" customFormat="false" ht="43.25" hidden="false" customHeight="false" outlineLevel="0" collapsed="false">
      <c r="A5" s="3" t="n">
        <v>3</v>
      </c>
      <c r="B5" s="4" t="s">
        <v>279</v>
      </c>
      <c r="C5" s="4" t="s">
        <v>269</v>
      </c>
      <c r="D5" s="4" t="s">
        <v>280</v>
      </c>
      <c r="E5" s="4" t="s">
        <v>51</v>
      </c>
      <c r="F5" s="4" t="s">
        <v>276</v>
      </c>
      <c r="G5" s="3" t="s">
        <v>39</v>
      </c>
      <c r="H5" s="3" t="s">
        <v>281</v>
      </c>
      <c r="I5" s="3" t="s">
        <v>33</v>
      </c>
      <c r="J5" s="3" t="s">
        <v>33</v>
      </c>
      <c r="K5" s="4" t="s">
        <v>33</v>
      </c>
      <c r="L5" s="5" t="s">
        <v>24</v>
      </c>
      <c r="M5" s="4" t="s">
        <v>282</v>
      </c>
    </row>
    <row r="6" customFormat="false" ht="18" hidden="false" customHeight="true" outlineLevel="0" collapsed="false">
      <c r="A6" s="9" t="str">
        <f aca="false">"Verdict summary — YES: "&amp;COUNTIF(L3:L5,"YES")&amp;"  |  Debatable: "&amp;COUNTIF(L3:L5,"Debatable")&amp;"  |  MAYBE: "&amp;COUNTIF(L3:L5,"MAYBE")&amp;"  |  NO: "&amp;COUNTIF(L3:L5,"NO")</f>
        <v>Verdict summary — YES: 0  |  Debatable: 0  |  MAYBE: 1  |  NO: 2</v>
      </c>
      <c r="B6" s="9"/>
      <c r="C6" s="9"/>
      <c r="D6" s="9"/>
      <c r="E6" s="9"/>
      <c r="F6" s="9"/>
      <c r="G6" s="9"/>
      <c r="H6" s="9"/>
      <c r="I6" s="9"/>
      <c r="J6" s="9"/>
      <c r="K6" s="9"/>
      <c r="L6" s="9"/>
      <c r="M6" s="9"/>
    </row>
  </sheetData>
  <mergeCells count="2">
    <mergeCell ref="A1:M1"/>
    <mergeCell ref="A6:M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3" min="2" style="0" width="22"/>
    <col collapsed="false" customWidth="true" hidden="false" outlineLevel="0" max="4" min="4" style="0" width="48"/>
    <col collapsed="false" customWidth="true" hidden="false" outlineLevel="0" max="5" min="5" style="0" width="13"/>
    <col collapsed="false" customWidth="true" hidden="false" outlineLevel="0" max="6" min="6" style="0" width="24"/>
    <col collapsed="false" customWidth="true" hidden="false" outlineLevel="0" max="7" min="7" style="0" width="13"/>
    <col collapsed="false" customWidth="true" hidden="false" outlineLevel="0" max="8" min="8" style="0" width="17"/>
    <col collapsed="false" customWidth="true" hidden="false" outlineLevel="0" max="9" min="9" style="0" width="13"/>
    <col collapsed="false" customWidth="true" hidden="false" outlineLevel="0" max="10" min="10" style="0" width="11"/>
    <col collapsed="false" customWidth="true" hidden="false" outlineLevel="0" max="11" min="11" style="0" width="30"/>
    <col collapsed="false" customWidth="true" hidden="false" outlineLevel="0" max="12" min="12" style="0" width="14"/>
    <col collapsed="false" customWidth="true" hidden="false" outlineLevel="0" max="13" min="13" style="0" width="55"/>
  </cols>
  <sheetData>
    <row r="1" customFormat="false" ht="24" hidden="false" customHeight="true" outlineLevel="0" collapsed="false">
      <c r="A1" s="1" t="s">
        <v>283</v>
      </c>
      <c r="B1" s="1"/>
      <c r="C1" s="1"/>
      <c r="D1" s="1"/>
      <c r="E1" s="1"/>
      <c r="F1" s="1"/>
      <c r="G1" s="1"/>
      <c r="H1" s="1"/>
      <c r="I1" s="1"/>
      <c r="J1" s="1"/>
      <c r="K1" s="1"/>
      <c r="L1" s="1"/>
      <c r="M1" s="1"/>
    </row>
    <row r="2" customFormat="false" ht="27.75" hidden="false" customHeight="true" outlineLevel="0" collapsed="false">
      <c r="A2" s="2" t="s">
        <v>1</v>
      </c>
      <c r="B2" s="2" t="s">
        <v>2</v>
      </c>
      <c r="C2" s="2" t="s">
        <v>3</v>
      </c>
      <c r="D2" s="2" t="s">
        <v>4</v>
      </c>
      <c r="E2" s="2" t="s">
        <v>5</v>
      </c>
      <c r="F2" s="2" t="s">
        <v>6</v>
      </c>
      <c r="G2" s="2" t="s">
        <v>7</v>
      </c>
      <c r="H2" s="2" t="s">
        <v>8</v>
      </c>
      <c r="I2" s="2" t="s">
        <v>9</v>
      </c>
      <c r="J2" s="2" t="s">
        <v>10</v>
      </c>
      <c r="K2" s="2" t="s">
        <v>11</v>
      </c>
      <c r="L2" s="2" t="s">
        <v>12</v>
      </c>
      <c r="M2" s="2" t="s">
        <v>13</v>
      </c>
    </row>
    <row r="3" customFormat="false" ht="32.8" hidden="false" customHeight="false" outlineLevel="0" collapsed="false">
      <c r="A3" s="3" t="n">
        <v>1</v>
      </c>
      <c r="B3" s="4" t="s">
        <v>284</v>
      </c>
      <c r="C3" s="4" t="s">
        <v>285</v>
      </c>
      <c r="D3" s="4" t="s">
        <v>286</v>
      </c>
      <c r="E3" s="4" t="s">
        <v>228</v>
      </c>
      <c r="F3" s="4" t="s">
        <v>18</v>
      </c>
      <c r="G3" s="3" t="s">
        <v>19</v>
      </c>
      <c r="H3" s="3" t="s">
        <v>287</v>
      </c>
      <c r="I3" s="3" t="s">
        <v>33</v>
      </c>
      <c r="J3" s="3" t="s">
        <v>33</v>
      </c>
      <c r="K3" s="4" t="s">
        <v>33</v>
      </c>
      <c r="L3" s="5" t="s">
        <v>24</v>
      </c>
      <c r="M3" s="4" t="s">
        <v>288</v>
      </c>
    </row>
    <row r="4" customFormat="false" ht="22.35" hidden="false" customHeight="false" outlineLevel="0" collapsed="false">
      <c r="A4" s="6" t="n">
        <v>2</v>
      </c>
      <c r="B4" s="7" t="s">
        <v>289</v>
      </c>
      <c r="C4" s="7" t="s">
        <v>285</v>
      </c>
      <c r="D4" s="7" t="s">
        <v>290</v>
      </c>
      <c r="E4" s="7" t="s">
        <v>228</v>
      </c>
      <c r="F4" s="7" t="s">
        <v>152</v>
      </c>
      <c r="G4" s="6" t="s">
        <v>19</v>
      </c>
      <c r="H4" s="6" t="s">
        <v>287</v>
      </c>
      <c r="I4" s="6" t="s">
        <v>33</v>
      </c>
      <c r="J4" s="6" t="s">
        <v>33</v>
      </c>
      <c r="K4" s="7" t="s">
        <v>33</v>
      </c>
      <c r="L4" s="5" t="s">
        <v>24</v>
      </c>
      <c r="M4" s="7" t="s">
        <v>291</v>
      </c>
    </row>
    <row r="5" customFormat="false" ht="18" hidden="false" customHeight="true" outlineLevel="0" collapsed="false">
      <c r="A5" s="9" t="str">
        <f aca="false">"Verdict summary — YES: "&amp;COUNTIF(L3:L4,"YES")&amp;"  |  Debatable: "&amp;COUNTIF(L3:L4,"Debatable")&amp;"  |  MAYBE: "&amp;COUNTIF(L3:L4,"MAYBE")&amp;"  |  NO: "&amp;COUNTIF(L3:L4,"NO")</f>
        <v>Verdict summary — YES: 0  |  Debatable: 0  |  MAYBE: 0  |  NO: 2</v>
      </c>
      <c r="B5" s="9"/>
      <c r="C5" s="9"/>
      <c r="D5" s="9"/>
      <c r="E5" s="9"/>
      <c r="F5" s="9"/>
      <c r="G5" s="9"/>
      <c r="H5" s="9"/>
      <c r="I5" s="9"/>
      <c r="J5" s="9"/>
      <c r="K5" s="9"/>
      <c r="L5" s="9"/>
      <c r="M5" s="9"/>
    </row>
  </sheetData>
  <mergeCells count="2">
    <mergeCell ref="A1:M1"/>
    <mergeCell ref="A5:M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3" min="2" style="0" width="22"/>
    <col collapsed="false" customWidth="true" hidden="false" outlineLevel="0" max="4" min="4" style="0" width="48"/>
    <col collapsed="false" customWidth="true" hidden="false" outlineLevel="0" max="5" min="5" style="0" width="13"/>
    <col collapsed="false" customWidth="true" hidden="false" outlineLevel="0" max="6" min="6" style="0" width="24"/>
    <col collapsed="false" customWidth="true" hidden="false" outlineLevel="0" max="7" min="7" style="0" width="13"/>
    <col collapsed="false" customWidth="true" hidden="false" outlineLevel="0" max="8" min="8" style="0" width="17"/>
    <col collapsed="false" customWidth="true" hidden="false" outlineLevel="0" max="9" min="9" style="0" width="13"/>
    <col collapsed="false" customWidth="true" hidden="false" outlineLevel="0" max="10" min="10" style="0" width="11"/>
    <col collapsed="false" customWidth="true" hidden="false" outlineLevel="0" max="11" min="11" style="0" width="30"/>
    <col collapsed="false" customWidth="true" hidden="false" outlineLevel="0" max="12" min="12" style="0" width="14"/>
    <col collapsed="false" customWidth="true" hidden="false" outlineLevel="0" max="13" min="13" style="0" width="55"/>
  </cols>
  <sheetData>
    <row r="1" customFormat="false" ht="24" hidden="false" customHeight="true" outlineLevel="0" collapsed="false">
      <c r="A1" s="1" t="s">
        <v>292</v>
      </c>
      <c r="B1" s="1"/>
      <c r="C1" s="1"/>
      <c r="D1" s="1"/>
      <c r="E1" s="1"/>
      <c r="F1" s="1"/>
      <c r="G1" s="1"/>
      <c r="H1" s="1"/>
      <c r="I1" s="1"/>
      <c r="J1" s="1"/>
      <c r="K1" s="1"/>
      <c r="L1" s="1"/>
      <c r="M1" s="1"/>
    </row>
    <row r="2" customFormat="false" ht="27.75" hidden="false" customHeight="true" outlineLevel="0" collapsed="false">
      <c r="A2" s="2" t="s">
        <v>1</v>
      </c>
      <c r="B2" s="2" t="s">
        <v>2</v>
      </c>
      <c r="C2" s="2" t="s">
        <v>3</v>
      </c>
      <c r="D2" s="2" t="s">
        <v>4</v>
      </c>
      <c r="E2" s="2" t="s">
        <v>5</v>
      </c>
      <c r="F2" s="2" t="s">
        <v>6</v>
      </c>
      <c r="G2" s="2" t="s">
        <v>7</v>
      </c>
      <c r="H2" s="2" t="s">
        <v>8</v>
      </c>
      <c r="I2" s="2" t="s">
        <v>9</v>
      </c>
      <c r="J2" s="2" t="s">
        <v>10</v>
      </c>
      <c r="K2" s="2" t="s">
        <v>11</v>
      </c>
      <c r="L2" s="2" t="s">
        <v>12</v>
      </c>
      <c r="M2" s="2" t="s">
        <v>13</v>
      </c>
    </row>
    <row r="3" customFormat="false" ht="32.8" hidden="false" customHeight="false" outlineLevel="0" collapsed="false">
      <c r="A3" s="3" t="n">
        <v>1</v>
      </c>
      <c r="B3" s="4" t="s">
        <v>293</v>
      </c>
      <c r="C3" s="4" t="s">
        <v>294</v>
      </c>
      <c r="D3" s="4" t="s">
        <v>295</v>
      </c>
      <c r="E3" s="4" t="s">
        <v>228</v>
      </c>
      <c r="F3" s="4" t="s">
        <v>296</v>
      </c>
      <c r="G3" s="3" t="s">
        <v>187</v>
      </c>
      <c r="H3" s="3" t="s">
        <v>297</v>
      </c>
      <c r="I3" s="3" t="s">
        <v>33</v>
      </c>
      <c r="J3" s="3" t="s">
        <v>33</v>
      </c>
      <c r="K3" s="4" t="s">
        <v>33</v>
      </c>
      <c r="L3" s="5" t="s">
        <v>24</v>
      </c>
      <c r="M3" s="4" t="s">
        <v>298</v>
      </c>
    </row>
    <row r="4" customFormat="false" ht="32.8" hidden="false" customHeight="false" outlineLevel="0" collapsed="false">
      <c r="A4" s="6" t="n">
        <v>2</v>
      </c>
      <c r="B4" s="7" t="s">
        <v>299</v>
      </c>
      <c r="C4" s="7" t="s">
        <v>294</v>
      </c>
      <c r="D4" s="7" t="s">
        <v>300</v>
      </c>
      <c r="E4" s="7" t="s">
        <v>228</v>
      </c>
      <c r="F4" s="7" t="s">
        <v>296</v>
      </c>
      <c r="G4" s="6" t="s">
        <v>187</v>
      </c>
      <c r="H4" s="6" t="s">
        <v>297</v>
      </c>
      <c r="I4" s="6" t="s">
        <v>33</v>
      </c>
      <c r="J4" s="6" t="s">
        <v>33</v>
      </c>
      <c r="K4" s="7" t="s">
        <v>33</v>
      </c>
      <c r="L4" s="5" t="s">
        <v>24</v>
      </c>
      <c r="M4" s="7" t="s">
        <v>301</v>
      </c>
    </row>
    <row r="5" customFormat="false" ht="32.8" hidden="false" customHeight="false" outlineLevel="0" collapsed="false">
      <c r="A5" s="3" t="n">
        <v>3</v>
      </c>
      <c r="B5" s="4" t="s">
        <v>302</v>
      </c>
      <c r="C5" s="4" t="s">
        <v>294</v>
      </c>
      <c r="D5" s="4" t="s">
        <v>303</v>
      </c>
      <c r="E5" s="4" t="s">
        <v>228</v>
      </c>
      <c r="F5" s="4" t="s">
        <v>304</v>
      </c>
      <c r="G5" s="3" t="s">
        <v>187</v>
      </c>
      <c r="H5" s="3" t="s">
        <v>297</v>
      </c>
      <c r="I5" s="3" t="s">
        <v>195</v>
      </c>
      <c r="J5" s="3" t="s">
        <v>22</v>
      </c>
      <c r="K5" s="4" t="s">
        <v>305</v>
      </c>
      <c r="L5" s="5" t="s">
        <v>24</v>
      </c>
      <c r="M5" s="4" t="s">
        <v>306</v>
      </c>
    </row>
    <row r="6" customFormat="false" ht="32.8" hidden="false" customHeight="false" outlineLevel="0" collapsed="false">
      <c r="A6" s="6" t="n">
        <v>4</v>
      </c>
      <c r="B6" s="7" t="s">
        <v>307</v>
      </c>
      <c r="C6" s="7" t="s">
        <v>294</v>
      </c>
      <c r="D6" s="7" t="s">
        <v>308</v>
      </c>
      <c r="E6" s="7" t="s">
        <v>228</v>
      </c>
      <c r="F6" s="7" t="s">
        <v>152</v>
      </c>
      <c r="G6" s="6" t="s">
        <v>187</v>
      </c>
      <c r="H6" s="6" t="s">
        <v>309</v>
      </c>
      <c r="I6" s="6" t="s">
        <v>33</v>
      </c>
      <c r="J6" s="6" t="s">
        <v>33</v>
      </c>
      <c r="K6" s="7" t="s">
        <v>33</v>
      </c>
      <c r="L6" s="5" t="s">
        <v>24</v>
      </c>
      <c r="M6" s="7" t="s">
        <v>310</v>
      </c>
    </row>
    <row r="7" customFormat="false" ht="43.25" hidden="false" customHeight="false" outlineLevel="0" collapsed="false">
      <c r="A7" s="3" t="n">
        <v>5</v>
      </c>
      <c r="B7" s="4" t="s">
        <v>311</v>
      </c>
      <c r="C7" s="4" t="s">
        <v>294</v>
      </c>
      <c r="D7" s="4" t="s">
        <v>312</v>
      </c>
      <c r="E7" s="4" t="s">
        <v>228</v>
      </c>
      <c r="F7" s="4" t="s">
        <v>152</v>
      </c>
      <c r="G7" s="3" t="s">
        <v>187</v>
      </c>
      <c r="H7" s="3" t="s">
        <v>309</v>
      </c>
      <c r="I7" s="3" t="s">
        <v>33</v>
      </c>
      <c r="J7" s="3" t="s">
        <v>33</v>
      </c>
      <c r="K7" s="4" t="s">
        <v>33</v>
      </c>
      <c r="L7" s="5" t="s">
        <v>24</v>
      </c>
      <c r="M7" s="4" t="s">
        <v>313</v>
      </c>
    </row>
    <row r="8" customFormat="false" ht="22.35" hidden="false" customHeight="false" outlineLevel="0" collapsed="false">
      <c r="A8" s="6" t="n">
        <v>6</v>
      </c>
      <c r="B8" s="7" t="s">
        <v>314</v>
      </c>
      <c r="C8" s="7" t="s">
        <v>294</v>
      </c>
      <c r="D8" s="7" t="s">
        <v>315</v>
      </c>
      <c r="E8" s="7" t="s">
        <v>228</v>
      </c>
      <c r="F8" s="7" t="s">
        <v>193</v>
      </c>
      <c r="G8" s="6" t="s">
        <v>39</v>
      </c>
      <c r="H8" s="6" t="s">
        <v>309</v>
      </c>
      <c r="I8" s="6" t="s">
        <v>41</v>
      </c>
      <c r="J8" s="6" t="s">
        <v>22</v>
      </c>
      <c r="K8" s="7" t="s">
        <v>316</v>
      </c>
      <c r="L8" s="5" t="s">
        <v>24</v>
      </c>
      <c r="M8" s="7" t="s">
        <v>317</v>
      </c>
    </row>
    <row r="9" customFormat="false" ht="22.35" hidden="false" customHeight="false" outlineLevel="0" collapsed="false">
      <c r="A9" s="3" t="n">
        <v>7</v>
      </c>
      <c r="B9" s="4" t="s">
        <v>318</v>
      </c>
      <c r="C9" s="4" t="s">
        <v>294</v>
      </c>
      <c r="D9" s="4" t="s">
        <v>319</v>
      </c>
      <c r="E9" s="4" t="s">
        <v>228</v>
      </c>
      <c r="F9" s="4" t="s">
        <v>193</v>
      </c>
      <c r="G9" s="3" t="s">
        <v>39</v>
      </c>
      <c r="H9" s="3" t="s">
        <v>320</v>
      </c>
      <c r="I9" s="3" t="s">
        <v>321</v>
      </c>
      <c r="J9" s="3" t="s">
        <v>22</v>
      </c>
      <c r="K9" s="4" t="s">
        <v>322</v>
      </c>
      <c r="L9" s="5" t="s">
        <v>24</v>
      </c>
      <c r="M9" s="4" t="s">
        <v>323</v>
      </c>
    </row>
    <row r="10" customFormat="false" ht="22.35" hidden="false" customHeight="false" outlineLevel="0" collapsed="false">
      <c r="A10" s="6" t="n">
        <v>8</v>
      </c>
      <c r="B10" s="7" t="s">
        <v>324</v>
      </c>
      <c r="C10" s="7" t="s">
        <v>294</v>
      </c>
      <c r="D10" s="7" t="s">
        <v>325</v>
      </c>
      <c r="E10" s="7" t="s">
        <v>228</v>
      </c>
      <c r="F10" s="7" t="s">
        <v>193</v>
      </c>
      <c r="G10" s="6" t="s">
        <v>39</v>
      </c>
      <c r="H10" s="6" t="s">
        <v>320</v>
      </c>
      <c r="I10" s="6" t="s">
        <v>217</v>
      </c>
      <c r="J10" s="6" t="s">
        <v>22</v>
      </c>
      <c r="K10" s="7" t="s">
        <v>326</v>
      </c>
      <c r="L10" s="5" t="s">
        <v>24</v>
      </c>
      <c r="M10" s="7" t="s">
        <v>327</v>
      </c>
    </row>
    <row r="11" customFormat="false" ht="18" hidden="false" customHeight="true" outlineLevel="0" collapsed="false">
      <c r="A11" s="9" t="str">
        <f aca="false">"Verdict summary — YES: "&amp;COUNTIF(L3:L10,"YES")&amp;"  |  Debatable: "&amp;COUNTIF(L3:L10,"Debatable")&amp;"  |  MAYBE: "&amp;COUNTIF(L3:L10,"MAYBE")&amp;"  |  NO: "&amp;COUNTIF(L3:L10,"NO")</f>
        <v>Verdict summary — YES: 0  |  Debatable: 0  |  MAYBE: 0  |  NO: 8</v>
      </c>
      <c r="B11" s="9"/>
      <c r="C11" s="9"/>
      <c r="D11" s="9"/>
      <c r="E11" s="9"/>
      <c r="F11" s="9"/>
      <c r="G11" s="9"/>
      <c r="H11" s="9"/>
      <c r="I11" s="9"/>
      <c r="J11" s="9"/>
      <c r="K11" s="9"/>
      <c r="L11" s="9"/>
      <c r="M11" s="9"/>
    </row>
  </sheetData>
  <mergeCells count="2">
    <mergeCell ref="A1:M1"/>
    <mergeCell ref="A11:M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3" min="2" style="0" width="22"/>
    <col collapsed="false" customWidth="true" hidden="false" outlineLevel="0" max="4" min="4" style="0" width="48"/>
    <col collapsed="false" customWidth="true" hidden="false" outlineLevel="0" max="5" min="5" style="0" width="13"/>
    <col collapsed="false" customWidth="true" hidden="false" outlineLevel="0" max="6" min="6" style="0" width="24"/>
    <col collapsed="false" customWidth="true" hidden="false" outlineLevel="0" max="7" min="7" style="0" width="13"/>
    <col collapsed="false" customWidth="true" hidden="false" outlineLevel="0" max="8" min="8" style="0" width="17"/>
    <col collapsed="false" customWidth="true" hidden="false" outlineLevel="0" max="9" min="9" style="0" width="13"/>
    <col collapsed="false" customWidth="true" hidden="false" outlineLevel="0" max="10" min="10" style="0" width="11"/>
    <col collapsed="false" customWidth="true" hidden="false" outlineLevel="0" max="11" min="11" style="0" width="30"/>
    <col collapsed="false" customWidth="true" hidden="false" outlineLevel="0" max="12" min="12" style="0" width="14"/>
    <col collapsed="false" customWidth="true" hidden="false" outlineLevel="0" max="13" min="13" style="0" width="55"/>
  </cols>
  <sheetData>
    <row r="1" customFormat="false" ht="24" hidden="false" customHeight="true" outlineLevel="0" collapsed="false">
      <c r="A1" s="1" t="s">
        <v>328</v>
      </c>
      <c r="B1" s="1"/>
      <c r="C1" s="1"/>
      <c r="D1" s="1"/>
      <c r="E1" s="1"/>
      <c r="F1" s="1"/>
      <c r="G1" s="1"/>
      <c r="H1" s="1"/>
      <c r="I1" s="1"/>
      <c r="J1" s="1"/>
      <c r="K1" s="1"/>
      <c r="L1" s="1"/>
      <c r="M1" s="1"/>
    </row>
    <row r="2" customFormat="false" ht="27.75" hidden="false" customHeight="true" outlineLevel="0" collapsed="false">
      <c r="A2" s="2" t="s">
        <v>1</v>
      </c>
      <c r="B2" s="2" t="s">
        <v>2</v>
      </c>
      <c r="C2" s="2" t="s">
        <v>3</v>
      </c>
      <c r="D2" s="2" t="s">
        <v>4</v>
      </c>
      <c r="E2" s="2" t="s">
        <v>5</v>
      </c>
      <c r="F2" s="2" t="s">
        <v>6</v>
      </c>
      <c r="G2" s="2" t="s">
        <v>7</v>
      </c>
      <c r="H2" s="2" t="s">
        <v>8</v>
      </c>
      <c r="I2" s="2" t="s">
        <v>9</v>
      </c>
      <c r="J2" s="2" t="s">
        <v>10</v>
      </c>
      <c r="K2" s="2" t="s">
        <v>11</v>
      </c>
      <c r="L2" s="2" t="s">
        <v>12</v>
      </c>
      <c r="M2" s="2" t="s">
        <v>13</v>
      </c>
    </row>
    <row r="3" customFormat="false" ht="53.7" hidden="false" customHeight="false" outlineLevel="0" collapsed="false">
      <c r="A3" s="3" t="n">
        <v>1</v>
      </c>
      <c r="B3" s="4" t="s">
        <v>329</v>
      </c>
      <c r="C3" s="4" t="s">
        <v>330</v>
      </c>
      <c r="D3" s="4" t="s">
        <v>331</v>
      </c>
      <c r="E3" s="4" t="s">
        <v>37</v>
      </c>
      <c r="F3" s="4" t="s">
        <v>332</v>
      </c>
      <c r="G3" s="3" t="s">
        <v>39</v>
      </c>
      <c r="H3" s="3" t="s">
        <v>333</v>
      </c>
      <c r="I3" s="3" t="s">
        <v>21</v>
      </c>
      <c r="J3" s="3" t="s">
        <v>57</v>
      </c>
      <c r="K3" s="4" t="s">
        <v>334</v>
      </c>
      <c r="L3" s="5" t="s">
        <v>24</v>
      </c>
      <c r="M3" s="4" t="s">
        <v>335</v>
      </c>
    </row>
    <row r="4" customFormat="false" ht="18" hidden="false" customHeight="true" outlineLevel="0" collapsed="false">
      <c r="A4" s="9" t="str">
        <f aca="false">"Verdict summary — YES: "&amp;COUNTIF(L3:L3,"YES")&amp;"  |  Debatable: "&amp;COUNTIF(L3:L3,"Debatable")&amp;"  |  MAYBE: "&amp;COUNTIF(L3:L3,"MAYBE")&amp;"  |  NO: "&amp;COUNTIF(L3:L3,"NO")</f>
        <v>Verdict summary — YES: 0  |  Debatable: 0  |  MAYBE: 0  |  NO: 1</v>
      </c>
      <c r="B4" s="9"/>
      <c r="C4" s="9"/>
      <c r="D4" s="9"/>
      <c r="E4" s="9"/>
      <c r="F4" s="9"/>
      <c r="G4" s="9"/>
      <c r="H4" s="9"/>
      <c r="I4" s="9"/>
      <c r="J4" s="9"/>
      <c r="K4" s="9"/>
      <c r="L4" s="9"/>
      <c r="M4" s="9"/>
    </row>
  </sheetData>
  <mergeCells count="2">
    <mergeCell ref="A1:M1"/>
    <mergeCell ref="A4:M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3" min="2" style="0" width="22"/>
    <col collapsed="false" customWidth="true" hidden="false" outlineLevel="0" max="4" min="4" style="0" width="48"/>
    <col collapsed="false" customWidth="true" hidden="false" outlineLevel="0" max="5" min="5" style="0" width="13"/>
    <col collapsed="false" customWidth="true" hidden="false" outlineLevel="0" max="6" min="6" style="0" width="24"/>
    <col collapsed="false" customWidth="true" hidden="false" outlineLevel="0" max="7" min="7" style="0" width="13"/>
    <col collapsed="false" customWidth="true" hidden="false" outlineLevel="0" max="8" min="8" style="0" width="17"/>
    <col collapsed="false" customWidth="true" hidden="false" outlineLevel="0" max="9" min="9" style="0" width="13"/>
    <col collapsed="false" customWidth="true" hidden="false" outlineLevel="0" max="10" min="10" style="0" width="11"/>
    <col collapsed="false" customWidth="true" hidden="false" outlineLevel="0" max="11" min="11" style="0" width="30"/>
    <col collapsed="false" customWidth="true" hidden="false" outlineLevel="0" max="12" min="12" style="0" width="14"/>
    <col collapsed="false" customWidth="true" hidden="false" outlineLevel="0" max="13" min="13" style="0" width="55"/>
  </cols>
  <sheetData>
    <row r="1" customFormat="false" ht="24" hidden="false" customHeight="true" outlineLevel="0" collapsed="false">
      <c r="A1" s="1" t="s">
        <v>336</v>
      </c>
      <c r="B1" s="1"/>
      <c r="C1" s="1"/>
      <c r="D1" s="1"/>
      <c r="E1" s="1"/>
      <c r="F1" s="1"/>
      <c r="G1" s="1"/>
      <c r="H1" s="1"/>
      <c r="I1" s="1"/>
      <c r="J1" s="1"/>
      <c r="K1" s="1"/>
      <c r="L1" s="1"/>
      <c r="M1" s="1"/>
    </row>
    <row r="2" customFormat="false" ht="27.75" hidden="false" customHeight="true" outlineLevel="0" collapsed="false">
      <c r="A2" s="2" t="s">
        <v>1</v>
      </c>
      <c r="B2" s="2" t="s">
        <v>2</v>
      </c>
      <c r="C2" s="2" t="s">
        <v>3</v>
      </c>
      <c r="D2" s="2" t="s">
        <v>4</v>
      </c>
      <c r="E2" s="2" t="s">
        <v>5</v>
      </c>
      <c r="F2" s="2" t="s">
        <v>6</v>
      </c>
      <c r="G2" s="2" t="s">
        <v>7</v>
      </c>
      <c r="H2" s="2" t="s">
        <v>8</v>
      </c>
      <c r="I2" s="2" t="s">
        <v>9</v>
      </c>
      <c r="J2" s="2" t="s">
        <v>10</v>
      </c>
      <c r="K2" s="2" t="s">
        <v>11</v>
      </c>
      <c r="L2" s="2" t="s">
        <v>12</v>
      </c>
      <c r="M2" s="2" t="s">
        <v>13</v>
      </c>
    </row>
    <row r="3" customFormat="false" ht="22.35" hidden="false" customHeight="false" outlineLevel="0" collapsed="false">
      <c r="A3" s="3" t="n">
        <v>1</v>
      </c>
      <c r="B3" s="4" t="s">
        <v>337</v>
      </c>
      <c r="C3" s="4" t="s">
        <v>338</v>
      </c>
      <c r="D3" s="4" t="s">
        <v>339</v>
      </c>
      <c r="E3" s="4" t="s">
        <v>37</v>
      </c>
      <c r="F3" s="4" t="s">
        <v>90</v>
      </c>
      <c r="G3" s="3" t="s">
        <v>187</v>
      </c>
      <c r="H3" s="3" t="s">
        <v>340</v>
      </c>
      <c r="I3" s="3" t="s">
        <v>33</v>
      </c>
      <c r="J3" s="3" t="s">
        <v>33</v>
      </c>
      <c r="K3" s="4" t="s">
        <v>33</v>
      </c>
      <c r="L3" s="5" t="s">
        <v>24</v>
      </c>
      <c r="M3" s="4" t="s">
        <v>341</v>
      </c>
    </row>
    <row r="4" customFormat="false" ht="32.8" hidden="false" customHeight="false" outlineLevel="0" collapsed="false">
      <c r="A4" s="6" t="n">
        <v>2</v>
      </c>
      <c r="B4" s="7" t="s">
        <v>342</v>
      </c>
      <c r="C4" s="7" t="s">
        <v>338</v>
      </c>
      <c r="D4" s="7" t="s">
        <v>343</v>
      </c>
      <c r="E4" s="7" t="s">
        <v>37</v>
      </c>
      <c r="F4" s="7" t="s">
        <v>18</v>
      </c>
      <c r="G4" s="6" t="s">
        <v>187</v>
      </c>
      <c r="H4" s="6" t="s">
        <v>340</v>
      </c>
      <c r="I4" s="6" t="s">
        <v>33</v>
      </c>
      <c r="J4" s="6" t="s">
        <v>33</v>
      </c>
      <c r="K4" s="7" t="s">
        <v>33</v>
      </c>
      <c r="L4" s="5" t="s">
        <v>24</v>
      </c>
      <c r="M4" s="7" t="s">
        <v>344</v>
      </c>
    </row>
    <row r="5" customFormat="false" ht="22.35" hidden="false" customHeight="false" outlineLevel="0" collapsed="false">
      <c r="A5" s="3" t="n">
        <v>3</v>
      </c>
      <c r="B5" s="4" t="s">
        <v>345</v>
      </c>
      <c r="C5" s="4" t="s">
        <v>338</v>
      </c>
      <c r="D5" s="4" t="s">
        <v>346</v>
      </c>
      <c r="E5" s="4" t="s">
        <v>37</v>
      </c>
      <c r="F5" s="4" t="s">
        <v>18</v>
      </c>
      <c r="G5" s="3" t="s">
        <v>187</v>
      </c>
      <c r="H5" s="3" t="s">
        <v>340</v>
      </c>
      <c r="I5" s="3" t="s">
        <v>33</v>
      </c>
      <c r="J5" s="3" t="s">
        <v>33</v>
      </c>
      <c r="K5" s="4" t="s">
        <v>33</v>
      </c>
      <c r="L5" s="5" t="s">
        <v>24</v>
      </c>
      <c r="M5" s="4" t="s">
        <v>347</v>
      </c>
    </row>
    <row r="6" customFormat="false" ht="43.25" hidden="false" customHeight="false" outlineLevel="0" collapsed="false">
      <c r="A6" s="6" t="n">
        <v>4</v>
      </c>
      <c r="B6" s="7" t="s">
        <v>348</v>
      </c>
      <c r="C6" s="7" t="s">
        <v>338</v>
      </c>
      <c r="D6" s="7" t="s">
        <v>349</v>
      </c>
      <c r="E6" s="7" t="s">
        <v>37</v>
      </c>
      <c r="F6" s="7" t="s">
        <v>38</v>
      </c>
      <c r="G6" s="6" t="s">
        <v>187</v>
      </c>
      <c r="H6" s="6" t="s">
        <v>340</v>
      </c>
      <c r="I6" s="6" t="s">
        <v>33</v>
      </c>
      <c r="J6" s="6" t="s">
        <v>33</v>
      </c>
      <c r="K6" s="7" t="s">
        <v>33</v>
      </c>
      <c r="L6" s="8" t="s">
        <v>92</v>
      </c>
      <c r="M6" s="7" t="s">
        <v>350</v>
      </c>
    </row>
    <row r="7" customFormat="false" ht="22.35" hidden="false" customHeight="false" outlineLevel="0" collapsed="false">
      <c r="A7" s="3" t="n">
        <v>5</v>
      </c>
      <c r="B7" s="4" t="s">
        <v>351</v>
      </c>
      <c r="C7" s="4" t="s">
        <v>338</v>
      </c>
      <c r="D7" s="4" t="s">
        <v>352</v>
      </c>
      <c r="E7" s="4" t="s">
        <v>37</v>
      </c>
      <c r="F7" s="4" t="s">
        <v>38</v>
      </c>
      <c r="G7" s="3" t="s">
        <v>187</v>
      </c>
      <c r="H7" s="3" t="s">
        <v>340</v>
      </c>
      <c r="I7" s="3" t="s">
        <v>33</v>
      </c>
      <c r="J7" s="3" t="s">
        <v>33</v>
      </c>
      <c r="K7" s="4" t="s">
        <v>33</v>
      </c>
      <c r="L7" s="5" t="s">
        <v>24</v>
      </c>
      <c r="M7" s="4" t="s">
        <v>353</v>
      </c>
    </row>
    <row r="8" customFormat="false" ht="22.35" hidden="false" customHeight="false" outlineLevel="0" collapsed="false">
      <c r="A8" s="6" t="n">
        <v>6</v>
      </c>
      <c r="B8" s="7" t="s">
        <v>354</v>
      </c>
      <c r="C8" s="7" t="s">
        <v>338</v>
      </c>
      <c r="D8" s="7" t="s">
        <v>355</v>
      </c>
      <c r="E8" s="7" t="s">
        <v>37</v>
      </c>
      <c r="F8" s="7" t="s">
        <v>38</v>
      </c>
      <c r="G8" s="6" t="s">
        <v>187</v>
      </c>
      <c r="H8" s="6" t="s">
        <v>340</v>
      </c>
      <c r="I8" s="6" t="s">
        <v>33</v>
      </c>
      <c r="J8" s="6" t="s">
        <v>33</v>
      </c>
      <c r="K8" s="7" t="s">
        <v>33</v>
      </c>
      <c r="L8" s="5" t="s">
        <v>24</v>
      </c>
      <c r="M8" s="7" t="s">
        <v>356</v>
      </c>
    </row>
    <row r="9" customFormat="false" ht="22.35" hidden="false" customHeight="false" outlineLevel="0" collapsed="false">
      <c r="A9" s="3" t="n">
        <v>7</v>
      </c>
      <c r="B9" s="4" t="s">
        <v>357</v>
      </c>
      <c r="C9" s="4" t="s">
        <v>338</v>
      </c>
      <c r="D9" s="4" t="s">
        <v>358</v>
      </c>
      <c r="E9" s="4" t="s">
        <v>37</v>
      </c>
      <c r="F9" s="4" t="s">
        <v>38</v>
      </c>
      <c r="G9" s="3" t="s">
        <v>187</v>
      </c>
      <c r="H9" s="3" t="s">
        <v>340</v>
      </c>
      <c r="I9" s="3" t="s">
        <v>33</v>
      </c>
      <c r="J9" s="3" t="s">
        <v>33</v>
      </c>
      <c r="K9" s="4" t="s">
        <v>33</v>
      </c>
      <c r="L9" s="5" t="s">
        <v>24</v>
      </c>
      <c r="M9" s="4" t="s">
        <v>359</v>
      </c>
    </row>
    <row r="10" customFormat="false" ht="22.35" hidden="false" customHeight="false" outlineLevel="0" collapsed="false">
      <c r="A10" s="6" t="n">
        <v>8</v>
      </c>
      <c r="B10" s="7" t="s">
        <v>360</v>
      </c>
      <c r="C10" s="7" t="s">
        <v>338</v>
      </c>
      <c r="D10" s="7" t="s">
        <v>361</v>
      </c>
      <c r="E10" s="7" t="s">
        <v>37</v>
      </c>
      <c r="F10" s="7" t="s">
        <v>90</v>
      </c>
      <c r="G10" s="6" t="s">
        <v>187</v>
      </c>
      <c r="H10" s="6" t="s">
        <v>362</v>
      </c>
      <c r="I10" s="6" t="s">
        <v>33</v>
      </c>
      <c r="J10" s="6" t="s">
        <v>33</v>
      </c>
      <c r="K10" s="7" t="s">
        <v>33</v>
      </c>
      <c r="L10" s="5" t="s">
        <v>24</v>
      </c>
      <c r="M10" s="7" t="s">
        <v>363</v>
      </c>
    </row>
    <row r="11" customFormat="false" ht="22.35" hidden="false" customHeight="false" outlineLevel="0" collapsed="false">
      <c r="A11" s="3" t="n">
        <v>9</v>
      </c>
      <c r="B11" s="4" t="s">
        <v>364</v>
      </c>
      <c r="C11" s="4" t="s">
        <v>338</v>
      </c>
      <c r="D11" s="4" t="s">
        <v>365</v>
      </c>
      <c r="E11" s="4" t="s">
        <v>37</v>
      </c>
      <c r="F11" s="4" t="s">
        <v>18</v>
      </c>
      <c r="G11" s="3" t="s">
        <v>39</v>
      </c>
      <c r="H11" s="3" t="s">
        <v>366</v>
      </c>
      <c r="I11" s="3" t="s">
        <v>33</v>
      </c>
      <c r="J11" s="3" t="s">
        <v>33</v>
      </c>
      <c r="K11" s="4" t="s">
        <v>33</v>
      </c>
      <c r="L11" s="5" t="s">
        <v>24</v>
      </c>
      <c r="M11" s="4" t="s">
        <v>367</v>
      </c>
    </row>
    <row r="12" customFormat="false" ht="22.35" hidden="false" customHeight="false" outlineLevel="0" collapsed="false">
      <c r="A12" s="6" t="n">
        <v>10</v>
      </c>
      <c r="B12" s="7" t="s">
        <v>368</v>
      </c>
      <c r="C12" s="7" t="s">
        <v>338</v>
      </c>
      <c r="D12" s="7" t="s">
        <v>369</v>
      </c>
      <c r="E12" s="7" t="s">
        <v>37</v>
      </c>
      <c r="F12" s="7" t="s">
        <v>90</v>
      </c>
      <c r="G12" s="6" t="s">
        <v>39</v>
      </c>
      <c r="H12" s="6" t="s">
        <v>370</v>
      </c>
      <c r="I12" s="6" t="s">
        <v>33</v>
      </c>
      <c r="J12" s="6" t="s">
        <v>33</v>
      </c>
      <c r="K12" s="7" t="s">
        <v>33</v>
      </c>
      <c r="L12" s="5" t="s">
        <v>24</v>
      </c>
      <c r="M12" s="7" t="s">
        <v>371</v>
      </c>
    </row>
    <row r="13" customFormat="false" ht="22.35" hidden="false" customHeight="false" outlineLevel="0" collapsed="false">
      <c r="A13" s="3" t="n">
        <v>11</v>
      </c>
      <c r="B13" s="4" t="s">
        <v>372</v>
      </c>
      <c r="C13" s="4" t="s">
        <v>338</v>
      </c>
      <c r="D13" s="4" t="s">
        <v>373</v>
      </c>
      <c r="E13" s="4" t="s">
        <v>37</v>
      </c>
      <c r="F13" s="4" t="s">
        <v>38</v>
      </c>
      <c r="G13" s="3" t="s">
        <v>39</v>
      </c>
      <c r="H13" s="3" t="s">
        <v>370</v>
      </c>
      <c r="I13" s="3" t="s">
        <v>33</v>
      </c>
      <c r="J13" s="3" t="s">
        <v>33</v>
      </c>
      <c r="K13" s="4" t="s">
        <v>33</v>
      </c>
      <c r="L13" s="5" t="s">
        <v>24</v>
      </c>
      <c r="M13" s="4" t="s">
        <v>374</v>
      </c>
    </row>
    <row r="14" customFormat="false" ht="22.35" hidden="false" customHeight="false" outlineLevel="0" collapsed="false">
      <c r="A14" s="6" t="n">
        <v>12</v>
      </c>
      <c r="B14" s="7" t="s">
        <v>375</v>
      </c>
      <c r="C14" s="7" t="s">
        <v>338</v>
      </c>
      <c r="D14" s="7" t="s">
        <v>376</v>
      </c>
      <c r="E14" s="7" t="s">
        <v>37</v>
      </c>
      <c r="F14" s="7" t="s">
        <v>38</v>
      </c>
      <c r="G14" s="6" t="s">
        <v>39</v>
      </c>
      <c r="H14" s="6" t="s">
        <v>370</v>
      </c>
      <c r="I14" s="6" t="s">
        <v>33</v>
      </c>
      <c r="J14" s="6" t="s">
        <v>33</v>
      </c>
      <c r="K14" s="7" t="s">
        <v>33</v>
      </c>
      <c r="L14" s="5" t="s">
        <v>24</v>
      </c>
      <c r="M14" s="7" t="s">
        <v>377</v>
      </c>
    </row>
    <row r="15" customFormat="false" ht="22.35" hidden="false" customHeight="false" outlineLevel="0" collapsed="false">
      <c r="A15" s="3" t="n">
        <v>13</v>
      </c>
      <c r="B15" s="4" t="s">
        <v>378</v>
      </c>
      <c r="C15" s="4" t="s">
        <v>338</v>
      </c>
      <c r="D15" s="4" t="s">
        <v>379</v>
      </c>
      <c r="E15" s="4" t="s">
        <v>37</v>
      </c>
      <c r="F15" s="4" t="s">
        <v>90</v>
      </c>
      <c r="G15" s="3" t="s">
        <v>19</v>
      </c>
      <c r="H15" s="3" t="s">
        <v>380</v>
      </c>
      <c r="I15" s="3" t="s">
        <v>33</v>
      </c>
      <c r="J15" s="3" t="s">
        <v>33</v>
      </c>
      <c r="K15" s="4" t="s">
        <v>33</v>
      </c>
      <c r="L15" s="5" t="s">
        <v>24</v>
      </c>
      <c r="M15" s="4" t="s">
        <v>381</v>
      </c>
    </row>
    <row r="16" customFormat="false" ht="22.35" hidden="false" customHeight="false" outlineLevel="0" collapsed="false">
      <c r="A16" s="6" t="n">
        <v>14</v>
      </c>
      <c r="B16" s="7" t="s">
        <v>382</v>
      </c>
      <c r="C16" s="7" t="s">
        <v>338</v>
      </c>
      <c r="D16" s="7" t="s">
        <v>383</v>
      </c>
      <c r="E16" s="7" t="s">
        <v>37</v>
      </c>
      <c r="F16" s="7" t="s">
        <v>384</v>
      </c>
      <c r="G16" s="6" t="s">
        <v>19</v>
      </c>
      <c r="H16" s="6" t="s">
        <v>385</v>
      </c>
      <c r="I16" s="6" t="s">
        <v>33</v>
      </c>
      <c r="J16" s="6" t="s">
        <v>33</v>
      </c>
      <c r="K16" s="7" t="s">
        <v>33</v>
      </c>
      <c r="L16" s="5" t="s">
        <v>24</v>
      </c>
      <c r="M16" s="7" t="s">
        <v>386</v>
      </c>
    </row>
    <row r="17" customFormat="false" ht="22.35" hidden="false" customHeight="false" outlineLevel="0" collapsed="false">
      <c r="A17" s="3" t="n">
        <v>15</v>
      </c>
      <c r="B17" s="4" t="s">
        <v>387</v>
      </c>
      <c r="C17" s="4" t="s">
        <v>338</v>
      </c>
      <c r="D17" s="4" t="s">
        <v>388</v>
      </c>
      <c r="E17" s="4" t="s">
        <v>37</v>
      </c>
      <c r="F17" s="4" t="s">
        <v>38</v>
      </c>
      <c r="G17" s="3" t="s">
        <v>187</v>
      </c>
      <c r="H17" s="3" t="s">
        <v>389</v>
      </c>
      <c r="I17" s="3" t="s">
        <v>41</v>
      </c>
      <c r="J17" s="3" t="s">
        <v>57</v>
      </c>
      <c r="K17" s="4" t="s">
        <v>390</v>
      </c>
      <c r="L17" s="5" t="s">
        <v>24</v>
      </c>
      <c r="M17" s="4" t="s">
        <v>391</v>
      </c>
    </row>
    <row r="18" customFormat="false" ht="22.35" hidden="false" customHeight="false" outlineLevel="0" collapsed="false">
      <c r="A18" s="6" t="n">
        <v>16</v>
      </c>
      <c r="B18" s="7" t="s">
        <v>392</v>
      </c>
      <c r="C18" s="7" t="s">
        <v>338</v>
      </c>
      <c r="D18" s="7" t="s">
        <v>393</v>
      </c>
      <c r="E18" s="7" t="s">
        <v>37</v>
      </c>
      <c r="F18" s="7" t="s">
        <v>18</v>
      </c>
      <c r="G18" s="6" t="s">
        <v>187</v>
      </c>
      <c r="H18" s="6" t="s">
        <v>389</v>
      </c>
      <c r="I18" s="6" t="s">
        <v>41</v>
      </c>
      <c r="J18" s="6" t="s">
        <v>57</v>
      </c>
      <c r="K18" s="7" t="s">
        <v>390</v>
      </c>
      <c r="L18" s="5" t="s">
        <v>24</v>
      </c>
      <c r="M18" s="7" t="s">
        <v>394</v>
      </c>
    </row>
    <row r="19" customFormat="false" ht="64.15" hidden="false" customHeight="false" outlineLevel="0" collapsed="false">
      <c r="A19" s="3" t="n">
        <v>17</v>
      </c>
      <c r="B19" s="4" t="s">
        <v>395</v>
      </c>
      <c r="C19" s="4" t="s">
        <v>338</v>
      </c>
      <c r="D19" s="4" t="s">
        <v>396</v>
      </c>
      <c r="E19" s="4" t="s">
        <v>37</v>
      </c>
      <c r="F19" s="4" t="s">
        <v>103</v>
      </c>
      <c r="G19" s="3" t="s">
        <v>39</v>
      </c>
      <c r="H19" s="3" t="s">
        <v>397</v>
      </c>
      <c r="I19" s="3" t="s">
        <v>41</v>
      </c>
      <c r="J19" s="3" t="s">
        <v>57</v>
      </c>
      <c r="K19" s="4" t="s">
        <v>398</v>
      </c>
      <c r="L19" s="10" t="s">
        <v>272</v>
      </c>
      <c r="M19" s="4" t="s">
        <v>399</v>
      </c>
    </row>
    <row r="20" customFormat="false" ht="22.35" hidden="false" customHeight="false" outlineLevel="0" collapsed="false">
      <c r="A20" s="6" t="n">
        <v>18</v>
      </c>
      <c r="B20" s="7" t="s">
        <v>400</v>
      </c>
      <c r="C20" s="7" t="s">
        <v>338</v>
      </c>
      <c r="D20" s="7" t="s">
        <v>401</v>
      </c>
      <c r="E20" s="7" t="s">
        <v>37</v>
      </c>
      <c r="F20" s="7" t="s">
        <v>38</v>
      </c>
      <c r="G20" s="6" t="s">
        <v>39</v>
      </c>
      <c r="H20" s="6" t="s">
        <v>397</v>
      </c>
      <c r="I20" s="6" t="s">
        <v>195</v>
      </c>
      <c r="J20" s="6" t="s">
        <v>57</v>
      </c>
      <c r="K20" s="7" t="s">
        <v>390</v>
      </c>
      <c r="L20" s="5" t="s">
        <v>24</v>
      </c>
      <c r="M20" s="7" t="s">
        <v>402</v>
      </c>
    </row>
    <row r="21" customFormat="false" ht="22.35" hidden="false" customHeight="false" outlineLevel="0" collapsed="false">
      <c r="A21" s="3" t="n">
        <v>19</v>
      </c>
      <c r="B21" s="4" t="s">
        <v>403</v>
      </c>
      <c r="C21" s="4" t="s">
        <v>338</v>
      </c>
      <c r="D21" s="4" t="s">
        <v>404</v>
      </c>
      <c r="E21" s="4" t="s">
        <v>37</v>
      </c>
      <c r="F21" s="4" t="s">
        <v>18</v>
      </c>
      <c r="G21" s="3" t="s">
        <v>187</v>
      </c>
      <c r="H21" s="3" t="s">
        <v>405</v>
      </c>
      <c r="I21" s="3" t="s">
        <v>195</v>
      </c>
      <c r="J21" s="3" t="s">
        <v>57</v>
      </c>
      <c r="K21" s="4" t="s">
        <v>406</v>
      </c>
      <c r="L21" s="5" t="s">
        <v>24</v>
      </c>
      <c r="M21" s="4" t="s">
        <v>407</v>
      </c>
    </row>
    <row r="22" customFormat="false" ht="22.35" hidden="false" customHeight="false" outlineLevel="0" collapsed="false">
      <c r="A22" s="6" t="n">
        <v>20</v>
      </c>
      <c r="B22" s="7" t="s">
        <v>408</v>
      </c>
      <c r="C22" s="7" t="s">
        <v>338</v>
      </c>
      <c r="D22" s="7" t="s">
        <v>409</v>
      </c>
      <c r="E22" s="7" t="s">
        <v>37</v>
      </c>
      <c r="F22" s="7" t="s">
        <v>152</v>
      </c>
      <c r="G22" s="6" t="s">
        <v>39</v>
      </c>
      <c r="H22" s="6" t="s">
        <v>405</v>
      </c>
      <c r="I22" s="6" t="s">
        <v>195</v>
      </c>
      <c r="J22" s="6" t="s">
        <v>57</v>
      </c>
      <c r="K22" s="7" t="s">
        <v>398</v>
      </c>
      <c r="L22" s="5" t="s">
        <v>24</v>
      </c>
      <c r="M22" s="7" t="s">
        <v>410</v>
      </c>
    </row>
    <row r="23" customFormat="false" ht="18" hidden="false" customHeight="true" outlineLevel="0" collapsed="false">
      <c r="A23" s="9" t="str">
        <f aca="false">"Verdict summary — YES: "&amp;COUNTIF(L3:L22,"YES")&amp;"  |  Debatable: "&amp;COUNTIF(L3:L22,"Debatable")&amp;"  |  MAYBE: "&amp;COUNTIF(L3:L22,"MAYBE")&amp;"  |  NO: "&amp;COUNTIF(L3:L22,"NO")</f>
        <v>Verdict summary — YES: 0  |  Debatable: 1  |  MAYBE: 1  |  NO: 18</v>
      </c>
      <c r="B23" s="9"/>
      <c r="C23" s="9"/>
      <c r="D23" s="9"/>
      <c r="E23" s="9"/>
      <c r="F23" s="9"/>
      <c r="G23" s="9"/>
      <c r="H23" s="9"/>
      <c r="I23" s="9"/>
      <c r="J23" s="9"/>
      <c r="K23" s="9"/>
      <c r="L23" s="9"/>
      <c r="M23" s="9"/>
    </row>
  </sheetData>
  <mergeCells count="2">
    <mergeCell ref="A1:M1"/>
    <mergeCell ref="A23:M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2026-06-11T05:37:26Z</dcterms:created>
  <dc:creator>openpyxl</dc:creator>
  <dc:description/>
  <dc:language>en-US</dc:language>
  <cp:lastModifiedBy/>
  <dcterms:modified xsi:type="dcterms:W3CDTF">2026-06-11T05:37:26Z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