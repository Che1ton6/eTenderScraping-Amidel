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heltonGraham\Desktop\eTenderScraping\data\(T) 18-20 May 2026\end product\"/>
    </mc:Choice>
  </mc:AlternateContent>
  <xr:revisionPtr revIDLastSave="0" documentId="13_ncr:1_{DAD3152D-E3D6-49F9-B7C5-80855565D949}" xr6:coauthVersionLast="47" xr6:coauthVersionMax="47" xr10:uidLastSave="{00000000-0000-0000-0000-000000000000}"/>
  <bookViews>
    <workbookView xWindow="-108" yWindow="-108" windowWidth="23256" windowHeight="12456" xr2:uid="{00000000-000D-0000-FFFF-FFFF00000000}"/>
  </bookViews>
  <sheets>
    <sheet name="Tender Data" sheetId="1" r:id="rId1"/>
    <sheet name="Fina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2" l="1"/>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D4" i="2"/>
  <c r="D29" i="2" s="1"/>
  <c r="C4" i="2"/>
  <c r="C29" i="2" s="1"/>
  <c r="B4" i="2"/>
  <c r="B29" i="2" s="1"/>
  <c r="D3" i="2"/>
  <c r="C3" i="2"/>
  <c r="B3" i="2"/>
</calcChain>
</file>

<file path=xl/sharedStrings.xml><?xml version="1.0" encoding="utf-8"?>
<sst xmlns="http://schemas.openxmlformats.org/spreadsheetml/2006/main" count="2686" uniqueCount="863">
  <si>
    <t>REPORT_DATE</t>
  </si>
  <si>
    <t>RECORD_ID</t>
  </si>
  <si>
    <t>TENDER_ID</t>
  </si>
  <si>
    <t>PUBLICATION_DATE</t>
  </si>
  <si>
    <t>CLOSING_DATE</t>
  </si>
  <si>
    <t>CLOSING_TIME</t>
  </si>
  <si>
    <t>TENDER_TYPE</t>
  </si>
  <si>
    <t>TENDER_DESCRIPTION</t>
  </si>
  <si>
    <t>TENDER_SOURCE</t>
  </si>
  <si>
    <t>DEPARTMENT</t>
  </si>
  <si>
    <t>PROVINCE</t>
  </si>
  <si>
    <t>ESUBMISSION</t>
  </si>
  <si>
    <t>CATEGORY</t>
  </si>
  <si>
    <t>IS_THERE_A_BRIEFING_SESSION</t>
  </si>
  <si>
    <t>BRIEFING_DATE</t>
  </si>
  <si>
    <t>COMPULSORY_BRIEFING</t>
  </si>
  <si>
    <t>BRIEFING_SESSION_VENUE</t>
  </si>
  <si>
    <t>LINK</t>
  </si>
  <si>
    <t>SOE</t>
  </si>
  <si>
    <t>COST_OF_SALES_ESTIMATE</t>
  </si>
  <si>
    <t>CAPABILITY_AVAILABLE</t>
  </si>
  <si>
    <t>CAPABILITY_GROUP</t>
  </si>
  <si>
    <t>REQUIREMENTS</t>
  </si>
  <si>
    <t>RFQ/OBP026/2026/27</t>
  </si>
  <si>
    <t>12:00</t>
  </si>
  <si>
    <t>Request for Quotation</t>
  </si>
  <si>
    <t>Appointment of a service provider to Upgrade Kaspersky Security Center and End Node Anti-Virus</t>
  </si>
  <si>
    <t>ETENDERS.GOV.ZA</t>
  </si>
  <si>
    <t>Onderstepoort Biological Products Limited</t>
  </si>
  <si>
    <t>Gauteng</t>
  </si>
  <si>
    <t>No</t>
  </si>
  <si>
    <t>Services: Professional</t>
  </si>
  <si>
    <t>N/A</t>
  </si>
  <si>
    <t>https://www.etenders.gov.za/home/Download/?blobName=22c59f90-f466-44ed-98b2-de07b0485ccc.pdf&amp;downloadedFileName=Solicitation%20ID%20RFQ_OBP026_2026_27%20Request%20for%20Quote%20May%2018%202026%20(1).pdf</t>
  </si>
  <si>
    <t>ECR/RISK/01/05/2026</t>
  </si>
  <si>
    <t>APPOINTMENT OF A SERVICE PROVIDER FOR CALIBRATION AND TRANSPORTATION OF MARK X MACHINES</t>
  </si>
  <si>
    <t>Passenger Rail Agency of South Africa</t>
  </si>
  <si>
    <t>Eastern Cape</t>
  </si>
  <si>
    <t>Services: General</t>
  </si>
  <si>
    <t>Yes</t>
  </si>
  <si>
    <t>https://www.etenders.gov.za/home/Download/?blobName=92d5a67d-a91f-4ab5-a075-681ae3ec000e.pdf&amp;downloadedFileName=RFQ%20Risk%20Calibration%20-%20Mark%20X%20Machines.pdf</t>
  </si>
  <si>
    <t>RFQJW0053SM2026</t>
  </si>
  <si>
    <t>16:00</t>
  </si>
  <si>
    <t>Service of meter test equipment at Flow Lab, Ffennel Road Depot</t>
  </si>
  <si>
    <t>Johannesburg Water</t>
  </si>
  <si>
    <t>Other service activities</t>
  </si>
  <si>
    <t>https://www.etenders.gov.za/home/Download/?blobName=2a227aab-ab2d-4962-9ff9-02cdcc1e8b3b.pdf&amp;downloadedFileName=RFQJW0053SM2026%20%E2%80%93%20Service%20of%20meter%20test%20equipment%20at%20Flow%20Lab,%20Ffennell%20Road%20Depot.pdf</t>
  </si>
  <si>
    <t>NKO 12/2026</t>
  </si>
  <si>
    <t>Request for Bid(Open-Tender)</t>
  </si>
  <si>
    <t>APPOINTMENT OF A SERVICE PROVIDER FOR THE SUPPLY AND DELIVERY OF TRANSPORT SERVICES TO NKOMAZI LOCAL MUNICIPALITY FOR A PERIOD OF THIRTY-SIX (36) MONTHS</t>
  </si>
  <si>
    <t>Nkomazi Local Municipality</t>
  </si>
  <si>
    <t>Mpumalanga</t>
  </si>
  <si>
    <t>Transportation and storage</t>
  </si>
  <si>
    <t>Municipal Town Hall (Kobwa), Fish Eagle, Malalane</t>
  </si>
  <si>
    <t>https://www.etenders.gov.za/home/Download/?blobName=e076bf5d-c128-4aeb-bb78-a1529e662e4c.pdf&amp;downloadedFileName=Transport%20(5).pdf</t>
  </si>
  <si>
    <t>2026/081</t>
  </si>
  <si>
    <t>APPOINTMENT OF PANEL OF 10 (TEN) PROFESSIONAL SERVICE PROVIDERS FOR IMPLEMENTATION OF UTHUKELA DISTRICT MUNICIPALITY SECTION 63 MINISTERIAL DIRECTIVE FOR A PERIOD OF THREE (3) YEARS.</t>
  </si>
  <si>
    <t>Umgeni Water</t>
  </si>
  <si>
    <t>National</t>
  </si>
  <si>
    <t>uMngeni-uThukela Water, Richards Bay Regional Office, Cnr, South Central Arterial &amp; Battery Bank Ric</t>
  </si>
  <si>
    <t>https://www.etenders.gov.za/home/Download/?blobName=2da0cf9c-b4b6-40e6-807a-8c16c6033212.pdf&amp;downloadedFileName=2026-081%20Attachment%20for%20e-portal%20advert.pdf</t>
  </si>
  <si>
    <t>SECU 26/010</t>
  </si>
  <si>
    <t>11:00</t>
  </si>
  <si>
    <t>DEWETSDORP, HOUSE NUMBER 21, VOORTREKKER STREET: RENDERING OF SECURITY SERVICES ON A MONTH-TO-MONTH BASIS FOR A PERIOD NOT EXCEEDING SIX (6) MONTHS</t>
  </si>
  <si>
    <t>Public Works</t>
  </si>
  <si>
    <t>Free State</t>
  </si>
  <si>
    <t>Security and investigation activities</t>
  </si>
  <si>
    <t>https://www.etenders.gov.za/home/Download/?blobName=d4077650-9f17-4113-9f64-519872f2bd1e.pdf&amp;downloadedFileName=SECU%2026-010%20DOCUMENT.pdf</t>
  </si>
  <si>
    <t>IFA/CONTRACTOR/TMT/EC/2026/1</t>
  </si>
  <si>
    <t>Expression of interest</t>
  </si>
  <si>
    <t>INVITATION FOR AN EOI TO REGISTER ON TMT INFRASTRUCTURE FRAMEWORK AGREEMENT FOR A PERIOD OF 3 YEARS FROM THE CONSTRUCTION INDUSTRY DEVELOPMENT BOARD (CIDB) REGISTERED CONTRACTORS IN THE FOLLOWING CLASS OF WORKS CATEGORIES • GB - General Building • CE - Civil Engineering • ME - Mechanical Engineering • EB - Electrical installations for buildings • SO - Water supply and drainage for buildings (wet services, plumbing) • SQ - Steel security fencing or precast concrete</t>
  </si>
  <si>
    <t>THE MVULA TRUST</t>
  </si>
  <si>
    <t>Construction</t>
  </si>
  <si>
    <t>https://www.etenders.gov.za/home/Download/?blobName=f8e54a24-0a99-4221-860c-8f26cd506c32.pdf&amp;downloadedFileName=Expression%20of%20Interest%20for%20Contractors.pdf</t>
  </si>
  <si>
    <t>E2922GXMPKUS-</t>
  </si>
  <si>
    <t>10:00</t>
  </si>
  <si>
    <t>Supply and Delivery of Spares (Boiler spares) for Replenishment at Kusile Power Station (Once-off)</t>
  </si>
  <si>
    <t>ESKOM</t>
  </si>
  <si>
    <t>Supplies: General</t>
  </si>
  <si>
    <t>MSTEAM</t>
  </si>
  <si>
    <t>https://www.etenders.gov.za/home/Download/?blobName=bc1c5767-4b41-4902-b7ed-6a93ee8cfcab.pdf&amp;downloadedFileName=TES%20Boiler%20Spares%2025.03.2026.pdf</t>
  </si>
  <si>
    <t>LPT/QUT 004/2025</t>
  </si>
  <si>
    <t>FUMIGATION AND RODENT CONTROL SERVICES FOR LIMPOPO PROVINCIAL TREASURY DEPARTMENTAL BUILDINGS/FACILITIES</t>
  </si>
  <si>
    <t>Limpopo - Provincial Treasury</t>
  </si>
  <si>
    <t>Limpopo</t>
  </si>
  <si>
    <t>Services: Building</t>
  </si>
  <si>
    <t>46 Hans van Rensburg Street, Polokwane Limpopo 0699</t>
  </si>
  <si>
    <t>https://www.etenders.gov.za/home/Download/?blobName=cd49ef16-8d72-4481-a265-78272a3b88dc.pdf&amp;downloadedFileName=LPT%20QUT%20004%202026%20FUMIGATION%20SERVICES.pdf</t>
  </si>
  <si>
    <t>WTE-2608ES</t>
  </si>
  <si>
    <t>APPOINTMENT OF A PROFESSIONAL SERVICE PROVIDER TO CONDUCT OCCUPATIONAL HEALTH AND SAFETY(OHS) AUDITS FOR THE DEPARTMENT OF WATER AND SANITATION: EASTERN OPERATIONS</t>
  </si>
  <si>
    <t>Water and Sanitation</t>
  </si>
  <si>
    <t>KwaZulu-Natal</t>
  </si>
  <si>
    <t>Human health activities</t>
  </si>
  <si>
    <t>https://www.etenders.gov.za/home/Download/?blobName=f221b56e-d030-40c6-bf75-e69f391c06d2.pdf&amp;downloadedFileName=General%20Conditions%20of%20Contract-%20Inclusion%20of%20par%2034%20CIBD.pdf</t>
  </si>
  <si>
    <t>IHLM/187/2025-26/COMM</t>
  </si>
  <si>
    <t>PROCUREMENT OF TORCHES, PEPPER SPRAYS WITH POUCHES</t>
  </si>
  <si>
    <t>Ingquza Hill Local Municipality</t>
  </si>
  <si>
    <t>https://www.etenders.gov.za/home/Download/?blobName=162fb755-f198-4e7f-94a8-67060b6f9513.pdf&amp;downloadedFileName=BID%20DOCUMENT%20FOR%20PROCUREMENT%20OF%20TORCHES,%20PEPPER%20SPRAYS%20WITH%20POUCHES.pdf</t>
  </si>
  <si>
    <t>ULM-INFR 015/26</t>
  </si>
  <si>
    <t>Completion of Ntlangwini Low Level Bridge ( Ward 18)</t>
  </si>
  <si>
    <t>Umzimkhulu Local Municipality</t>
  </si>
  <si>
    <t>uMzimkhulu Municipality Makhosini Building Boardroom,247 Mzimkhulu Mlonyana Street, uMzimkhulu 3297.</t>
  </si>
  <si>
    <t>https://www.etenders.gov.za/home/Download/?blobName=203b6931-43bc-4491-862e-253edee2e4e5.pdf&amp;downloadedFileName=18-05-2026%20TENDER%20ADVERT%20-COMPLETION%20OF%20NTLANGWINI%20LOW%20LEVEL%20BRIDGE%20(%20WARD%2018).pdf</t>
  </si>
  <si>
    <t>bm28/25/26</t>
  </si>
  <si>
    <t>APPOINTMENT OF SERVICE PROVIDER TO SUPPLY, INSTALLATION AND MAINTENACE OF TELEPHONE SYSTEM FOR A PERIOD OF 36 MONTHS</t>
  </si>
  <si>
    <t>Blouberg Municipality</t>
  </si>
  <si>
    <t>Information and communication</t>
  </si>
  <si>
    <t>https://www.etenders.gov.za/home/Download/?blobName=b2094674-6233-489e-a3b7-332f3b36fba3.pdf&amp;downloadedFileName=Telephone%20tender%20advert05-18-2026-151330.pdf</t>
  </si>
  <si>
    <t>SASSA:01-26-FAC-NW</t>
  </si>
  <si>
    <t>Request for Proposal</t>
  </si>
  <si>
    <t>LEASING OF OFFICE ACCOMODATION FOR SASSA NORTH-WEST REGION FOR A PERIOD OF FIVE (05) YEARS IN MOGWASE CBD</t>
  </si>
  <si>
    <t>South African Social Security Agency</t>
  </si>
  <si>
    <t>North West</t>
  </si>
  <si>
    <t>Accommodation</t>
  </si>
  <si>
    <t>https://www.etenders.gov.za/home/Download/?blobName=f54073e2-f0f6-41ac-a1e8-f92d314404e5.pdf&amp;downloadedFileName=SASSA%2001-26-FAC-NW%20Leasing%20of%20office%20accomodation%20for%20SASSA%20North-West%20Region%20for%20period%20of%20five(05)%20years%20in%20Mogwase%20CBD.pdf</t>
  </si>
  <si>
    <t>ELM 25-26/05/03</t>
  </si>
  <si>
    <t>Provision of payroll and human resource management system with support and maintenance over a period of 60 months (5 years) for Emakhazeni Local Municipality</t>
  </si>
  <si>
    <t>EMAKHAZENI LOCAL MUNICIPALITY</t>
  </si>
  <si>
    <t>https://www.etenders.gov.za/home/Download/?blobName=12471aa7-ecdc-4af2-8616-f4de6c55e8fb.pdf&amp;downloadedFileName=Tender%20Data%20-%20HRM%20&amp;%20Payroll.pdf</t>
  </si>
  <si>
    <t>RFQJW112NS26</t>
  </si>
  <si>
    <t>Supply, installation and Training of Wastewater Mathematical Modelling Software</t>
  </si>
  <si>
    <t>Other professional, scientific and technical activities</t>
  </si>
  <si>
    <t>https://www.etenders.gov.za/home/Download/?blobName=74f6f1e7-37a7-470b-88e6-bcd8d7ce16d9.pdf&amp;downloadedFileName=RFQJW112NS26-Supply,%20installation%20and%20Training%20of%20Wastewater%20Mathematical%20Modelling%20Software(18-25%20MAY.pdf</t>
  </si>
  <si>
    <t>RFP/2021/001419</t>
  </si>
  <si>
    <t>THE APPOINTMENT OF A SERVICE PROVIDER TO PROVIDE ENTERPRISE ARCHITECTURE SERVICES TO THE PSETA</t>
  </si>
  <si>
    <t>Public Service Sector Education and Training Authority</t>
  </si>
  <si>
    <t>BRIEFING SESSION: MICROSOFT TEAMS</t>
  </si>
  <si>
    <t>https://www.etenders.gov.za/home/Download/?blobName=934c0a04-1f5c-4809-8486-429e03b0fd75.zip&amp;downloadedFileName=RFP2021001419-ARCHITECTURE%20ENTERPRISE.zip</t>
  </si>
  <si>
    <t>PR10115864</t>
  </si>
  <si>
    <t>14:00</t>
  </si>
  <si>
    <t>The Road Accident Fund (RAF) wishes to appoint a suitable service provider for the Design, Layout, Copy Editing, Proofreading, Interactive PDF Booklet and Printing of 2026 – 2027 Annual Performance Plan (APP).</t>
  </si>
  <si>
    <t>Road Accident Fund</t>
  </si>
  <si>
    <t>https://www.etenders.gov.za/home/Download/?blobName=1b13318d-5497-4736-bc84-e088c2fcfd42.pdf&amp;downloadedFileName=Annexure%20A%20-%20Security%20Measures.pdf</t>
  </si>
  <si>
    <t>RFQ 144</t>
  </si>
  <si>
    <t>Provision For Editing and Project management Training services</t>
  </si>
  <si>
    <t>Special Investigation Unit</t>
  </si>
  <si>
    <t>Education</t>
  </si>
  <si>
    <t>https://www.etenders.gov.za/home/Download/?blobName=f42418e1-dc39-4aa2-a1f4-d7bd8b093194.pdf&amp;downloadedFileName=RFQ%20144.pdf</t>
  </si>
  <si>
    <t>SAST/RFQ/2026 -2027/360</t>
  </si>
  <si>
    <t>THE APPOINTMENT OF A SERVICE PROVIDER FOR THE FUMIGATION SERVICES FOR THE PERIOD OF 36 MONTHS (Re-Issue)</t>
  </si>
  <si>
    <t>The South African State Theatre</t>
  </si>
  <si>
    <t>https://www.etenders.gov.za/home/Download/?blobName=af7ec8b4-a635-4f1f-b054-b6227a6fdfd8.pdf&amp;downloadedFileName=SAST-RFQ-2026-360%20-%20Fumigation%20services%20for%2036%20months%20-%20Re-issue.pdf</t>
  </si>
  <si>
    <t>NRWDI/ICT/2026-04</t>
  </si>
  <si>
    <t>17:00</t>
  </si>
  <si>
    <t>SUPPLY AND DELIVERY OF FIVE (5) LAPTOPS</t>
  </si>
  <si>
    <t>National Radioactive Waste Disposal Institute (NRWDI)</t>
  </si>
  <si>
    <t>Supplies: Computer Equipment</t>
  </si>
  <si>
    <t>https://www.etenders.gov.za/home/Download/?blobName=8c411dcd-7d36-4515-8b50-6acb7fa28e5c.pdf&amp;downloadedFileName=NRWDI%20RFQ%20for%20Laptops.pdf</t>
  </si>
  <si>
    <t>E1046GCDMPKUSR2C</t>
  </si>
  <si>
    <t>Notification of cancellation_ E1046GCDMPKUSR2_ Wetland Offset at Kusile Power Station 60 Year ADF Project</t>
  </si>
  <si>
    <t>Civil engineering</t>
  </si>
  <si>
    <t>https://www.etenders.gov.za/home/Download/?blobName=cfc813e9-a278-4058-ae2c-61f53b9bd1e2.pdf&amp;downloadedFileName=Tender%20Cancellation%20Letter%20Template%20-%20Wetland%20Offset.pdf</t>
  </si>
  <si>
    <t>RFQ-PPECB/ GRABOUW-MAIN /04-26</t>
  </si>
  <si>
    <t>THE PROVISION OF GENERAL MAINTENANCE SERVICES FOR THE GRABOUW OFFICE</t>
  </si>
  <si>
    <t>Perishable Products Export Control Board</t>
  </si>
  <si>
    <t>Western Cape</t>
  </si>
  <si>
    <t>7 Bosbou Avenue, Grabouw, 7160</t>
  </si>
  <si>
    <t>https://www.etenders.gov.za/home/Download/?blobName=74d3b7fb-505c-4cfa-9d15-97d1241ba161.pdf&amp;downloadedFileName=RFQ%20Grabouw.pdf</t>
  </si>
  <si>
    <t>FOSPHB-RFP-09-26/27</t>
  </si>
  <si>
    <t>FOSPHB-RFP-09-26/27 REQUEST FOR PROPOSAL [RFP] ELECTRICAL SHUTDOWN WORK 2026</t>
  </si>
  <si>
    <t>Industrial Development Corporation of South Africa Limited</t>
  </si>
  <si>
    <t>Microsoft Teams</t>
  </si>
  <si>
    <t>https://www.etenders.gov.za/home/Download/?blobName=f4f34f2a-01e6-4807-9d1e-b44fb00243fc.zip&amp;downloadedFileName=FOSPHB-RFP-09-2627-ELECTRICAL%20SHUTDOWN%20WORK%202026.zip</t>
  </si>
  <si>
    <t>NLC2026-004</t>
  </si>
  <si>
    <t>TERMS OF REFERENCE FOR THE APPOINTMENT OF SERVICE PROVIDER FOR THE PROVISION OF SPECIALISED TECHNICAL SYBRIN DEVELOPMENT RESOURCES FOR THE ENHANCEMENT OF THE THUTHUKA GRANTS MANAGEMENT SYSTEM FOR A PERIOD OF THREE YEARS.</t>
  </si>
  <si>
    <t>National Lotteries Commission</t>
  </si>
  <si>
    <t>Information service activities</t>
  </si>
  <si>
    <t>Block D, Htfield Gardens, Corner Hilda and Arcadia Street. Hatfield</t>
  </si>
  <si>
    <t>https://www.etenders.gov.za/home/Download/?blobName=2697f098-25db-45ad-9f20-f9529cb2cfa9.xlsx&amp;downloadedFileName=Annexure%20C_Sybrin_Pricing_Schedule_25.03.2026.xlsx</t>
  </si>
  <si>
    <t>RFB 3238-2026 ERP NO:374011</t>
  </si>
  <si>
    <t>REQUEST FOR BID FOR THE PROCUREMENT OF A MANAGEMENT ADMINISTRATION SYSTEM (MAS) FOR THE FOUR NURSING COLLEGE CAMPUSES OF THE WESTERN CAPE COLLEGE OF NURSING, INCLUDING COLLEGE OF EMERGENCY CARE, WESTERN CAPE DEPARTMENT OF HEALTH &amp; WELLNESS FOR A 5-YEAR PERIOD. COMPULSORY VIRTUAL SESSION WILL BE HELD ON 02 JUNE 2026 AT 11H00AM.</t>
  </si>
  <si>
    <t>State Information Technology Agency</t>
  </si>
  <si>
    <t>https://teams.microsoft.com/meet/378792528716857?p=IWlNcmRCYBQHR55m4n</t>
  </si>
  <si>
    <t>https://www.etenders.gov.za/home/Download/?blobName=3df52742-d738-421a-bbfa-9b0f85a8e006.pdf&amp;downloadedFileName=Annexure%205a-Invitation%20Letter-RFB%203238-2026%2018052026.pdf</t>
  </si>
  <si>
    <t>PR10116177</t>
  </si>
  <si>
    <t>The Road Accident Fund (RAF) wishes to appoint a suitable service provider to provide Ambulance Services for the RAF on the Road Roadshow in Bethlehem on 13 June 2026.</t>
  </si>
  <si>
    <t>https://www.etenders.gov.za/home/Download/?blobName=c1913a2b-db57-436e-957c-fad403f66573.pdf&amp;downloadedFileName=Standard%20Bidding%20Document%20(SDB)%204.pdf</t>
  </si>
  <si>
    <t>WTE-2607ES</t>
  </si>
  <si>
    <t>SUPPLY AND DELIVERY OF PLUMBING, MECHANICAL &amp; ELECTRICAL TOOLS TO MIDMAR DAM NEAR HOWICK TOWN</t>
  </si>
  <si>
    <t>https://www.etenders.gov.za/home/Download/?blobName=a2bbd5df-eba8-43c0-9b83-f6a3c043ab11.pdf&amp;downloadedFileName=guidelines%20for%20local%20content.pdf</t>
  </si>
  <si>
    <t>DQP 16/2026 LG</t>
  </si>
  <si>
    <t>APPOINTMENT OF A SERVICE PROVIDER TO CONDUCT TRAINING FOR 60 OFFICIALS MS WORD 1 &amp; 2 AND 60 OFFICIALS MS EXCEL 1 &amp; 2</t>
  </si>
  <si>
    <t>Kwazulu Natal - Cooperative Governance and Traditional Affairs</t>
  </si>
  <si>
    <t>https://www.etenders.gov.za/home/Download/?blobName=a7c09eda-5625-47aa-a1c1-83ada59be118.pdf&amp;downloadedFileName=DQP%20162026%20LG%20%E2%80%93%20REQA60188.pdf</t>
  </si>
  <si>
    <t>RFQJS36SN26</t>
  </si>
  <si>
    <t>Repair steps at unit 3 bioreactors and supply cordless drill kit set</t>
  </si>
  <si>
    <t>Other personal service activities</t>
  </si>
  <si>
    <t>Northern Works , off Winnie Mandela Drive school Road Diepsloot</t>
  </si>
  <si>
    <t>https://www.etenders.gov.za/home/Download/?blobName=01f3ae46-cf5e-4f7d-8a13-fb32474ae03c.pdf&amp;downloadedFileName=RFQJW36SN26.pdf</t>
  </si>
  <si>
    <t>ASA 04/05/2026</t>
  </si>
  <si>
    <t>Appointment of a service provider to assist with purchasing and delivery of kitchen surplus</t>
  </si>
  <si>
    <t>Agrément South Africa</t>
  </si>
  <si>
    <t>Food and beverage service activities</t>
  </si>
  <si>
    <t>https://www.etenders.gov.za/home/Download/?blobName=9f1d413d-051c-4650-91b1-f732f4019189.pdf&amp;downloadedFileName=Terms%20of%20Reference%20-%20Purchasing%20of%20Grocery.pdf</t>
  </si>
  <si>
    <t>SASSA:01-26-CS-LP</t>
  </si>
  <si>
    <t>Acquisition of an office accommodation for SASSA Limpopo Regional Office and Capricon District Office ( Combined Space) for a period of five (5) years.</t>
  </si>
  <si>
    <t>VIRTUAL(MICROSOFT TEAMS)</t>
  </si>
  <si>
    <t>https://www.etenders.gov.za/home/Download/?blobName=e6ca7df1-0195-4c12-bc30-86da7d3426cc.pdf&amp;downloadedFileName=SASSA-01-26-CS-LP.pdf</t>
  </si>
  <si>
    <t>RFP-HO-04-2026</t>
  </si>
  <si>
    <t>Appointment of Labour Relations Retainer for a period of 36 months (3 years)</t>
  </si>
  <si>
    <t>South African Human Rights Commission</t>
  </si>
  <si>
    <t>Legal and accounting activities</t>
  </si>
  <si>
    <t>https://teams.microsoft.com/meet/329382618243468?p=X3C11r21xltocSMwf2</t>
  </si>
  <si>
    <t>https://www.etenders.gov.za/home/Download/?blobName=4c222714-27be-4b64-8d24-09434f1d8c57.pdf&amp;downloadedFileName=RFP-HO-04-2026-%20Labour%20Relation%20Service%20Retainer-001.pdf</t>
  </si>
  <si>
    <t>DQP 20/2026 LG</t>
  </si>
  <si>
    <t>APPOINTMENT OF A SERVICE PROVIDER TO CONDUCT TRAINING FOR 68 OFFICIALS ON PROJECT MANAGEMENT</t>
  </si>
  <si>
    <t>https://www.etenders.gov.za/home/Download/?blobName=78f9b89e-032f-47af-8fde-a159a6714d1a.pdf&amp;downloadedFileName=DQP%20202026%20LG%20%E2%80%93%20REQA60192.pdf</t>
  </si>
  <si>
    <t>ZNT 01-26-27</t>
  </si>
  <si>
    <t>Appointment of a service provider for the supply and delivery of stationery items on a two (2) year period contract (24 months).</t>
  </si>
  <si>
    <t>Kwazulu Natal - Public Works (Head Office)</t>
  </si>
  <si>
    <t>Supplies: Stationery/Printing</t>
  </si>
  <si>
    <t>https://www.etenders.gov.za/home/Download/?blobName=82bde937-63ac-4671-99b1-e77920f0de37.pdf&amp;downloadedFileName=ZNT%2001-26-27%20advert.pdf</t>
  </si>
  <si>
    <t>OLT2128185</t>
  </si>
  <si>
    <t>Purchase, collect and Remove Scrapped and contaminated petrol and diesel from Komati Power Station at Eskom Mpumalanga</t>
  </si>
  <si>
    <t>Disposals: General</t>
  </si>
  <si>
    <t>https://www.etenders.gov.za/home/Download/?blobName=0eee4ba2-7634-490b-a7b7-6157c9605577.pdf&amp;downloadedFileName=Eskom%20life-saving%20rules.pdf</t>
  </si>
  <si>
    <t>ATNS/RFQ12/05/2026/27/ATA_Fans_Hardrives</t>
  </si>
  <si>
    <t>APPOINTMENT OF A SERVICE PROVIDER FOR THE SUPPLY AND DELIVERY OF HARDRIVES AND COOLING FANS AT THE ATNS AVIATION TRAINING ACADEMY</t>
  </si>
  <si>
    <t>Air Traffic and Navigation Services Company Limited</t>
  </si>
  <si>
    <t>https://www.etenders.gov.za/home/Download/?blobName=277073aa-62b7-4fb0-b755-cf2742cec093.pdf&amp;downloadedFileName=ATA%20-%20RFQ%20for%20Supply%20and%20Delivery%20of%20Colling%20Fans%20and%20Hardrives.pdf</t>
  </si>
  <si>
    <t>GKM 48-25/26</t>
  </si>
  <si>
    <t>APPOINTMENT OF A SERVICE PROVIDER FOR THE SUPPLY &amp; DELIVERY OF A RIDE ON ROAD MARKING MACHINE WITH BOOSTER &amp; TO PROVIDE TRAINING ON THE HANDLE &amp; USE OF THE MACHINE</t>
  </si>
  <si>
    <t>Greater Kokstad Local Municipality</t>
  </si>
  <si>
    <t>https://www.etenders.gov.za/home/Download/?blobName=f4b095fe-ffd4-4c56-a00a-dfceef02c00c.pdf&amp;downloadedFileName=TOR%20RIDE%20ON%20ROAD%20MARKING%20MACHINE.pdf</t>
  </si>
  <si>
    <t>INF012605RFQ11</t>
  </si>
  <si>
    <t>Supply and Deliver of Bottles and Corks - Western Cape - Stellenbosch</t>
  </si>
  <si>
    <t>Agricultural Research Council</t>
  </si>
  <si>
    <t>https://www.etenders.gov.za/home/Download/?blobName=dfe76ef5-0e9c-4d39-abfa-223fb6d652b9.pdf&amp;downloadedFileName=SPECS%20WINE%20BOTTLES%20AND%20CORKS%20INF012506RFQ11.pdf</t>
  </si>
  <si>
    <t>6000008276</t>
  </si>
  <si>
    <t>REQUEST FOR QUOTATION FOR THE PROVISION OF PIT DEWATERING SERVICES AT VLAKFONTEIN MINE FOR A PERIOD OF FIVE (5) MONTHS.</t>
  </si>
  <si>
    <t>African Exploration Mining and Finance Corporation Soc Ltd</t>
  </si>
  <si>
    <t>Mining and quarrying</t>
  </si>
  <si>
    <t>https://www.etenders.gov.za/home/Download/?blobName=50710f73-be2a-45af-9d59-5e5fa3af5a99.pdf&amp;downloadedFileName=Request%20For%20Quotation%20RFQ_Pit%20dewatering%20for%20a%20period%20of%205months%2018-05-2026.pdf</t>
  </si>
  <si>
    <t>FSDSD RFQ 064/2026</t>
  </si>
  <si>
    <t>APPOINTMENT OF AN INDEPENDENT SUITABLE SERVICE PROVIDER TO CONDUCT TRAINING ON COMBINED ASSURANCE FOR 1 DAY ON A VIRTUAL PLATFORM (MS TEAMS) ON BEHALF OF DEPARTMENT OF SOCIAL DEVELOPMENT, FREE STATE</t>
  </si>
  <si>
    <t>Free State - Social Development</t>
  </si>
  <si>
    <t>https://www.etenders.gov.za/home/Download/?blobName=1e0de177-5042-4bca-854e-830e26a04386.pdf&amp;downloadedFileName=FSDSD%20RFQ%20064%20IIASA%20TRAINING.pdf</t>
  </si>
  <si>
    <t>5/2/1/1/(2025-2026) 664</t>
  </si>
  <si>
    <t>APPOINTMENT OF A SUITABLE AND QUALIFIED SERVICE PROVIDER TO PROVIDE THE DEPARTMENT OF AGRICULTURE ACCESS TO CONDUCT SECURITY/ PRE-EMPLOYMENT SCREENING FOR PERIOD OF 12 MONTHS</t>
  </si>
  <si>
    <t>National - Department of Agriculture</t>
  </si>
  <si>
    <t>https://www.etenders.gov.za/home/Download/?blobName=d4205b2e-1df2-4909-bae5-65c2a91351b5.pdf&amp;downloadedFileName=FILE%20664%20NEW.pdf</t>
  </si>
  <si>
    <t>Q12/1353 OF 25/26</t>
  </si>
  <si>
    <t>APPOINTMENT OF SERVICE PROVIDER FOR THE SUPPLY AND INSTALLATION OF GAS BURNERS.</t>
  </si>
  <si>
    <t>Msunduzi Local Municipality</t>
  </si>
  <si>
    <t>Electricity, gas, steam and air conditioning</t>
  </si>
  <si>
    <t>https://www.etenders.gov.za/home/Download/?blobName=0911f351-8d14-48c4-9601-0cf42cf9a9b6.pdf&amp;downloadedFileName=Q12-1353%20DOCUMENT.pdf</t>
  </si>
  <si>
    <t>H004L2705RFP00039</t>
  </si>
  <si>
    <t>APPOINTMENT OF A CONTRACTOR WITH CIDB GRADE 2 GB OR ABOVE FOR SUPPLY AND PROVISION OF MAINTENANCE AND REPAIRS ISSUES FOR THE CITY DEEP SATELLITE PORT HEALTH OFFICE.</t>
  </si>
  <si>
    <t>Border Management Authority</t>
  </si>
  <si>
    <t>TRANSNET BUILDING 13 ANGUS ROAD, JOHANNESBURG SOUTH 2197</t>
  </si>
  <si>
    <t>https://www.etenders.gov.za/home/Download/?blobName=90d1cf7c-d26d-4faa-93a6-998bd9b288a7.pdf&amp;downloadedFileName=QUOTE%20PACK%20-%20TENDER%20SPECIFICATION%20CITY%20DEEP%20JOHANNESBURG.pdf</t>
  </si>
  <si>
    <t>PPA-122342 - TE/2026/05/1667/5424/RFQ</t>
  </si>
  <si>
    <t>THE REPLACEMENT OF TRANSLUCENT SHEETS AND BROKEN WINDOWS AT CONTAINER PARK, ELECTRICAL TRAINING CENTER AND PATTEN SHOP FOR FOE BUSINESS, BAY 1A-3, PATTER SHOP LIFT AREA AND SAND PLANT FOR FOUNDRY BUSINESS, BAY 40-45, BAY 39, BAY 25, LOCO- STORE, RM STORE AND LOCOMOTIVE MAIN BUILDING FOR LOCOMOTIVE BUSINESS, BAY 32-38-BAY 26 AND BAY 48-50 FOR WAGON MANUFACTURING BUSINESS, BAY46-47 AT WHEELS, BAY 9-13, RFR STORE WAGON STORE, BAY 13A OFFICES AND KITCHEN FOR WAGON BUILD BUSINESS, FOR A PERIOD OF ONE MONTH</t>
  </si>
  <si>
    <t>Transnet SOC Ltd</t>
  </si>
  <si>
    <t>Construction of buildings</t>
  </si>
  <si>
    <t>BLOEMFONTEIN</t>
  </si>
  <si>
    <t>https://www.etenders.gov.za/home/Download/?blobName=cefcb4df-157b-4550-abf3-0ae13c5de134.pdf&amp;downloadedFileName=ANNEXURE%20C%20Price%20Schedule%20of%20clear%20Perspex%20windowpanes%20and%20translucent%20sheets.pdf</t>
  </si>
  <si>
    <t>E2062GXMPKUSEXTENSION</t>
  </si>
  <si>
    <t>Validity Extension - Supply and Delivery of Laboratory Chemicals and Consumables on an as and when basis for a period of 5 years at Kusile Power Station</t>
  </si>
  <si>
    <t>https://www.etenders.gov.za/home/Download/?blobName=611b8d4b-83d0-4b39-83ca-ba73ba712429.pdf&amp;downloadedFileName=Letter%20to%20Extend%20validity%20period%20of%20Tender%20-%20Lab%20Chemicals.pdf</t>
  </si>
  <si>
    <t>30241/TNP/2026-27</t>
  </si>
  <si>
    <t>APPOINTMENT OF A SERVICE PROVIDER FOR THE PROVISION OF SECURITY SERVICES AT THE TSITSIKAMMA SECTION OF GARDEN ROUTE NATIONAL PARK FOR A PERIOD OF 6 MONTHS ON A MONTH-TO-MONTH BASIS (30 DAY CANCELLATION PERIOD).</t>
  </si>
  <si>
    <t>South African National Parks</t>
  </si>
  <si>
    <t>FORESTRY OFFICE, STORMSRIVER VILLAGE, STORMSRIVER, TSITSIKAMMA</t>
  </si>
  <si>
    <t>https://www.etenders.gov.za/home/Download/?blobName=0c881649-ec81-4d71-97b6-aa347848f8a8.pdf&amp;downloadedFileName=RFQ%20-%2030241-TNP-2026-27.pdf</t>
  </si>
  <si>
    <t>RFQJW0052SM2026</t>
  </si>
  <si>
    <t>Supply, deliver and install high-precision floor scale with display</t>
  </si>
  <si>
    <t>https://www.etenders.gov.za/home/Download/?blobName=b495af31-2f2c-4351-8f33-91eb17594717.pdf&amp;downloadedFileName=RFQJW0052SM2026%20%E2%80%93%20Supply,%20deliver%20and%20install%20high-precision%20floor%20scale%20with%20display.pdf</t>
  </si>
  <si>
    <t>Iziko OCEO|RFQ 2026/05/05</t>
  </si>
  <si>
    <t>Request For Quotation (RFQ) for the Design, Layout and Printing of Annual Report and Corporate Publications</t>
  </si>
  <si>
    <t>Iziko Museums of Cape Town</t>
  </si>
  <si>
    <t>Administrative and support activities</t>
  </si>
  <si>
    <t>https://www.etenders.gov.za/home/Download/?blobName=237ad044-b02e-4c35-8399-bae303f168ee.pdf&amp;downloadedFileName=FINAL_AR-RFQ%202026-27%20SO%20(002).pdf</t>
  </si>
  <si>
    <t>RFQ 189</t>
  </si>
  <si>
    <t>Provision For Media Training services.</t>
  </si>
  <si>
    <t>https://www.etenders.gov.za/home/Download/?blobName=faa4b81e-6b79-454d-8f0e-f6556d6218e5.pdf&amp;downloadedFileName=RFQ%20189.pdf</t>
  </si>
  <si>
    <t>NKO 04/2026</t>
  </si>
  <si>
    <t>APPOINTMENT OF A SERVICE PROVIDER FOR THE LEASING, SUPPLY, INSTALLATION, OPERATION AND MAINTENANCE OF MULTIFUNCTIONAL PRINTING EQUIPMENT AND AN AUTOMATED PRINT, FOLD AND SEAL SOLUTION FOR NKOMAZI LOCAL MUNICIPALITY FOR A PERIOD OF THIRTY-SIX (36) MONTHS</t>
  </si>
  <si>
    <t>Rental and leasing activities</t>
  </si>
  <si>
    <t>https://www.etenders.gov.za/home/Download/?blobName=6a56f104-6b65-4012-b385-d54851568f58.pdf&amp;downloadedFileName=Tender%20Multimedia%20Printers%202026.pdf</t>
  </si>
  <si>
    <t>RFI/OBP001/2026/27</t>
  </si>
  <si>
    <t>15:00</t>
  </si>
  <si>
    <t>Request for Information</t>
  </si>
  <si>
    <t>Request for Information regarding the Optimal Land-Use, Development Options, and Feasibility for House Numbers 16,17,25,27,28,30,31,32 and 33 Flip Fourie Street, Old Soutpan Road, Onderstepoort, Pretoria North.</t>
  </si>
  <si>
    <t>100 Old Soutpan Rd Onderstepoort, Pretoria, 0110</t>
  </si>
  <si>
    <t>https://www.etenders.gov.za/home/Download/?blobName=d257f26f-91af-4d67-89ea-2297b0133084.pdf&amp;downloadedFileName=Solicitation%20ID%20RFI_OBP001_2026_27%20Request%20for%20Information%20May%2018%202026.pdf</t>
  </si>
  <si>
    <t>DQP 17/2026 LG</t>
  </si>
  <si>
    <t>APPOINTMENT OF A SERVICE PROVIDER TO CONDUCT TRAINING FOR 20 OFFICIALS ON ADMINISTRATION SKILLS</t>
  </si>
  <si>
    <t>https://www.etenders.gov.za/home/Download/?blobName=ef1ccffc-dfb3-44fd-8a77-89db8ccfe2a5.pdf&amp;downloadedFileName=DQP%20172026%20LG%20%E2%80%93%20REQA60186.pdf</t>
  </si>
  <si>
    <t>CSIR RFP 3730/01/06/2026</t>
  </si>
  <si>
    <t>16:30</t>
  </si>
  <si>
    <t>Request for Proposals (RFP) from Suitably Qualified SMMEs for the Provision of Technical Research and Development (R&amp;D) Support in building Cyber Defence Capabilities</t>
  </si>
  <si>
    <t>Council for Scientific and Industrial Research (CSIR)</t>
  </si>
  <si>
    <t>Professional, scientific and technical activities</t>
  </si>
  <si>
    <t>https://www.etenders.gov.za/home/Download/?blobName=aa7f6eb8-fd93-4a25-9a79-c65c2b0639c0.pdf&amp;downloadedFileName=RFP%203730-01-06-2026%20-%20Cyber%20Defence%20Capabilities.pdf</t>
  </si>
  <si>
    <t>E2919GXMPARN</t>
  </si>
  <si>
    <t>The provision of subsidised meals, catering, cleaning services and maintenance of e-hospitality system and supply and delivery of beverages on ‘As when required at Arnot Power Station for a period of three (3) years</t>
  </si>
  <si>
    <t>Msteams</t>
  </si>
  <si>
    <t>https://www.etenders.gov.za/home/Download/?blobName=80f8b56e-c034-4064-b31a-2f1486c3b5f7.pdf&amp;downloadedFileName=NEC%20draft-%20Catering%20&amp;%20Cleaning%20Service.Rev06-1-60.pdf</t>
  </si>
  <si>
    <t>WTE1000CE</t>
  </si>
  <si>
    <t>MANUFACTURE, SUPPLY, DELIVERY, INSTALLATION, TEST COMMISSION AND ISSUE COC FOR A LOCAL CONTENT ULTRASONIC FLOW METER AT MTHATHA DAM MCC BUILDING PROJECT IN THE EASTERN CAPE PROVINCE.</t>
  </si>
  <si>
    <t>Repair and installation of machinery and equipment</t>
  </si>
  <si>
    <t>Mthatha Dam, Construction East Offices in Ncise Village</t>
  </si>
  <si>
    <t>https://www.etenders.gov.za/home/Download/?blobName=9a7c91f1-a415-4377-a396-1d24001eef92.pdf&amp;downloadedFileName=WTE1000CE.pdf</t>
  </si>
  <si>
    <t>ELM 25- 26/05/05</t>
  </si>
  <si>
    <t>APPOINTMENT OF AN UCTIONEER FOR THE AUCTION OF MUNICIPAL ASSETS FOR A PERIOD OF 3 YEARS</t>
  </si>
  <si>
    <t>https://www.etenders.gov.za/home/Download/?blobName=edee94d9-215f-42fc-b370-f98064afe4b2.pdf&amp;downloadedFileName=Tender%20Document%20%20-%20ELM%20Auction.pdf</t>
  </si>
  <si>
    <t>SCMU5-26/27-0016 AMR INF</t>
  </si>
  <si>
    <t>PROVISION OF PROFESSIONAL ARCHITECTURAL SERVICES AND PRINCIPAL AGENCY FOR THE CONSTRUCTION OF NEWLANDS CLINIC</t>
  </si>
  <si>
    <t>Eastern Cape - Roads and Public Works</t>
  </si>
  <si>
    <t>Architectural and engineering activities; technical testing and analysis</t>
  </si>
  <si>
    <t>https://www.etenders.gov.za/home/Download/?blobName=e33ce730-8bed-42dd-af0e-e24b6275e1e5.pdf&amp;downloadedFileName=SCMU5-26-27-0016%20AMR%20INF%20PROVISION%20OF%20PROFESSIONAL%20ARCHITECTURAL%20SERVICES%20AND%20PRINCIPAL%20AGENCY%20FOR%20THE%20CONSTRUCTION%20OF%20NEWLANDS%20CLINIC.pdf</t>
  </si>
  <si>
    <t>RFQJW095TN26</t>
  </si>
  <si>
    <t>RFQJW095TN26 - LAB REFRIGIRATORS</t>
  </si>
  <si>
    <t>https://www.etenders.gov.za/home/Download/?blobName=3cd569b1-f5a9-4cf0-a595-bc91c40a0da8.pdf&amp;downloadedFileName=RFQJW095TN26%20-%20LAB%20REFRIGIRATORS.pdf</t>
  </si>
  <si>
    <t>POS9676</t>
  </si>
  <si>
    <t>09:00</t>
  </si>
  <si>
    <t>REQUEST FOR QUOTATION – DOCUSIGN RENEWAL</t>
  </si>
  <si>
    <t>Technology Innovation Agency</t>
  </si>
  <si>
    <t>https://www.etenders.gov.za/home/Download/?blobName=2e15839c-814f-4a3b-b38c-b7cbc0f672e9.docx&amp;downloadedFileName=POS9767.docx</t>
  </si>
  <si>
    <t>NCREGIONUNIT-18052026</t>
  </si>
  <si>
    <t>REQUEST FOR QUOTATION OF THE IDT NORTHERN CAPE OFFICE SIGNAGE/BRANDING.</t>
  </si>
  <si>
    <t>Independent Development Trust</t>
  </si>
  <si>
    <t>13 Bishop Avenue Labram Kimberly 8301</t>
  </si>
  <si>
    <t>https://www.etenders.gov.za/home/Download/?blobName=d7bd67e8-fc02-4dd6-b117-bcea1d8721f4.pdf&amp;downloadedFileName=NCREGIONUNIT-18052026.pdf</t>
  </si>
  <si>
    <t>MLRF217/26</t>
  </si>
  <si>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SALDANHA BAY IN THE WESTERN CAPE, FOR A PERIOD OF THIRTY-SIX (36)</t>
  </si>
  <si>
    <t>Marine Living Resources Fund</t>
  </si>
  <si>
    <t>MS Teams, link can be requested from MLRFTENDERS@DFFE.GOV.ZA</t>
  </si>
  <si>
    <t>https://www.etenders.gov.za/home/Download/?blobName=5bc381a4-8fbf-4950-8b5f-6c5fb613171e.pdf&amp;downloadedFileName=MLRF217-26-%20Final%20Bid%20Pack.pdf</t>
  </si>
  <si>
    <t>RFQJW37SN26</t>
  </si>
  <si>
    <t>REPAIR UNIT 3 MODULE 2 CLARIFIER NUMBER 3 SCUM BOX AND STRAIGHTEN AND INSTALL BEND SCRAPPERS AND PLATES</t>
  </si>
  <si>
    <t>https://www.etenders.gov.za/home/Download/?blobName=e0712b5e-711f-4a14-ac57-a0637633a696.pdf&amp;downloadedFileName=UNIT%203%20MODULE%202%20CLARIFIER%203%20SCUM%20BOX%20REPAIR.pdf</t>
  </si>
  <si>
    <t>0010565668</t>
  </si>
  <si>
    <t>Tamper-evident sealing tape</t>
  </si>
  <si>
    <t>Electoral Commission (IEC)</t>
  </si>
  <si>
    <t>Riverside Office Park,Election House, 1303 Heuwel Avenue, Centurion</t>
  </si>
  <si>
    <t>https://www.etenders.gov.za/home/Download/?blobName=46d841a0-4246-442b-a089-f51ba1623b40.pdf&amp;downloadedFileName=0010565668%20Tamper%20Evident%20Sealing%20Tape.pdf</t>
  </si>
  <si>
    <t>DQP 21/2026 LG</t>
  </si>
  <si>
    <t>APPOINTMENT OF A SERVICE PROVIDER TO CONDUCT TRAINING FOR 20 COGTA OFFICIALS TO ATTEND THE CONTACT SESSION OF RISK MANAGEMENT COURSE PHYSICAL IN-HOUSE TRAINING</t>
  </si>
  <si>
    <t>https://www.etenders.gov.za/home/Download/?blobName=559b692f-2527-4e4b-9e07-461d867c0fc5.pdf&amp;downloadedFileName=DQP%20212026%20LG%20%E2%80%93%20REQA60193.pdf</t>
  </si>
  <si>
    <t>JCPZ/RFQ/FM90/2025</t>
  </si>
  <si>
    <t>Pest Control for JCPZ Depots</t>
  </si>
  <si>
    <t>Johannesburg City Parks and Zoo</t>
  </si>
  <si>
    <t>https://www.etenders.gov.za/home/Download/?blobName=c712dc0f-1816-4323-ad76-3a74928ce0b8.pdf&amp;downloadedFileName=JCPZ-RFQ-FM90-2025.pdf</t>
  </si>
  <si>
    <t>SCMR 01/04/03R</t>
  </si>
  <si>
    <t>18:00</t>
  </si>
  <si>
    <t>APPOINTMENT OF A SERVICE PROVIDER TO PROVIDE SURVEY DEVELOPMENT, ANALYSIS SERVICES AND FOCUS GROUPS ON THE EFFECTIVENESS OF THE APPROVED FLEXIBLE WORKING CONDITIONS GUIDELINES IN THE PRESIDENCY OFFICES (PRETORIA, CAPE TOWN AND DURBAN) FOR A PERIOD OF TWO (2) MONTHS</t>
  </si>
  <si>
    <t>The Presidency</t>
  </si>
  <si>
    <t>Meeting ID: 335 728 261 511 226 Passcode: Ph9Tm7H7</t>
  </si>
  <si>
    <t>https://www.etenders.gov.za/home/Download/?blobName=edba7b9a-c6ce-45c2-a40e-48c0a37d663c.pdf&amp;downloadedFileName=TOR%20Flexible%20Working%20Conditions%20Guidelines.pdf</t>
  </si>
  <si>
    <t>FTM/T29/25/26</t>
  </si>
  <si>
    <t>Appointment of a service provider for Closure of Burgersfort Landfill Site for a period of thirty-six (36) months.</t>
  </si>
  <si>
    <t>Fetakgomo Tubatse Local Municipality</t>
  </si>
  <si>
    <t>https://www.etenders.gov.za/home/Download/?blobName=00ba3775-fd0e-4c96-827d-290e90729d41.pdf&amp;downloadedFileName=Advert%2018%20May%202026.pdf</t>
  </si>
  <si>
    <t>E2803GXMPKOMBids</t>
  </si>
  <si>
    <t>Publication of Names of Bidders in Respect of Advertised Competitive Bids - Provision of Subsidized Meals (Catering service) at Komati Power Station</t>
  </si>
  <si>
    <t>https://www.etenders.gov.za/home/Download/?blobName=d786dc4f-8281-41f4-8563-582c4738c95f.pdf&amp;downloadedFileName=Publication%20of%20Names%20of%20Bidders%20iro%20advertised%20Competitive%20Bids.pdf</t>
  </si>
  <si>
    <t>EDUMT02/2026/27</t>
  </si>
  <si>
    <t>CONSTRUCTION OF GULEZ PEDESTRIAN BRIDGE IN WARD 04</t>
  </si>
  <si>
    <t>eDumbe Local Municipality</t>
  </si>
  <si>
    <t>eDumbe Town Hall</t>
  </si>
  <si>
    <t>https://www.etenders.gov.za/home/Download/?blobName=4f99308a-f26c-4b3e-9750-3ac882cb5acf.pdf&amp;downloadedFileName=MIG%20ADVERT%202026%2027.pdf</t>
  </si>
  <si>
    <t>ELM 25-26/05/02</t>
  </si>
  <si>
    <t>Provision of security services for Emakhazeni Local Municipality’s offices, plants and workshops for a period of 36 months</t>
  </si>
  <si>
    <t>Services: Functional (Including Cleaning and Security Services)</t>
  </si>
  <si>
    <t>https://www.etenders.gov.za/home/Download/?blobName=9f0c4ccb-641a-4094-8767-c7b7c4c84122.pdf&amp;downloadedFileName=Tender%20Data%20-%20Security%20Services.pdf</t>
  </si>
  <si>
    <t>E2505NTCSAMWPR</t>
  </si>
  <si>
    <t>LM CONTAINER REFURBISHMENT PHASE 1 AT ZANDSPRUIT RADIO STATION.</t>
  </si>
  <si>
    <t>Eskom National Transmission Company of South Africa</t>
  </si>
  <si>
    <t>Ms teams</t>
  </si>
  <si>
    <t>https://www.etenders.gov.za/home/Download/?blobName=1f72c720-e288-487b-b4c3-a030fb20c4f0.zip&amp;downloadedFileName=Container%20Document%20to%20the%20market.zip</t>
  </si>
  <si>
    <t>RFQ2085</t>
  </si>
  <si>
    <t>APPOINTMENT OF AN ACCREDITED SERVICE PROVIDER TO PROVIDE AUCTION SERVICES TO THE MHSC FOR A PERIOD OF 12 MONTHS</t>
  </si>
  <si>
    <t>Mine Health and Safety Council</t>
  </si>
  <si>
    <t>https://www.etenders.gov.za/home/Download/?blobName=e1b9aa94-99f4-4985-a5c9-76324c9d68e2.pdf&amp;downloadedFileName=RFQ%202085.pdf</t>
  </si>
  <si>
    <t>MLRF218/26</t>
  </si>
  <si>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ALGOA BAY IN THE EASTERN CAPE, FOR A PERIOD OF THIRTY-SIX (36) MONTHS.</t>
  </si>
  <si>
    <t>https://www.etenders.gov.za/home/Download/?blobName=24b2bfa2-24fc-4f09-a264-9e4cce5afb09.pdf&amp;downloadedFileName=MLRF218-26-%20Final%20Bid%20Pack.pdf</t>
  </si>
  <si>
    <t>RFQJW0051SM2026</t>
  </si>
  <si>
    <t>SUPPLY AND INSPECTION OF CCTV CAMERAS FOR SEWER LINE AT ENNERDALE DEPOT</t>
  </si>
  <si>
    <t>Johannesburg water Ennerdale Depot, no 2 James street</t>
  </si>
  <si>
    <t>https://www.etenders.gov.za/home/Download/?blobName=9c92deea-e82d-494b-997a-68570b6e8aa9.pdf&amp;downloadedFileName=RFQJW0051SM2026%20%E2%80%93%20SUPPLY%20AND%20INSPECTION%20OF%20CCTV%20CAMERAS%20FOR%20SEWER%20LINE%20AT%20ENNERDALE%20DEPOT.pdf</t>
  </si>
  <si>
    <t>E2914GXLPMED</t>
  </si>
  <si>
    <t>Occupational Hygiene Services for 60 Months (5 years) at Medupi Power Station</t>
  </si>
  <si>
    <t>Northern Cape</t>
  </si>
  <si>
    <t>MS Teams</t>
  </si>
  <si>
    <t>https://www.etenders.gov.za/home/Download/?blobName=4d5e6a85-c6ce-470f-87b0-11553d33eeae.docx&amp;downloadedFileName=240-106084675%20%20Annexure%20C%203%20OHS%20Tender%20Evaluation%20Template%20(Low%20risk).docx</t>
  </si>
  <si>
    <t>(NRCS 001-2026/2027)</t>
  </si>
  <si>
    <t>APPOINTMENT OF SERVICE PROVIDERS TO PROVIDE OFFICE ACCOMMODATION BLOEMFONTEIN REGIONAL OFFICE, LEASE FOR A PERIOD OF 9 YEARS 11 MONTHS (NRCS 001-2026/2027)</t>
  </si>
  <si>
    <t>National Regulator for Compulsory Specifications</t>
  </si>
  <si>
    <t>https://teams.microsoft.com/meet/358288650446670?p=khCYRq7pFyiVB6EbZK</t>
  </si>
  <si>
    <t>https://www.etenders.gov.za/home/Download/?blobName=9a593aee-040d-4b9e-b66c-7d42800c9582.pdf&amp;downloadedFileName=BLOEMFONTEIN%20OFFICE%20SPACE-%20TERMS%20OF%20REFERENCE%20-%20Advert.pdf</t>
  </si>
  <si>
    <t>FTM/T28/25/26</t>
  </si>
  <si>
    <t>Appointment of a service provider for Supply, delivery and installation of Clear view fence in Mashifane township for a period of thirty-six (36) months.</t>
  </si>
  <si>
    <t>https://www.etenders.gov.za/home/Download/?blobName=6a5cf8fe-8b84-4360-85e5-f0cd98cbd87c.pdf&amp;downloadedFileName=Advert%2018%20May%202026.pdf</t>
  </si>
  <si>
    <t>NQULM69/25-26</t>
  </si>
  <si>
    <t>APPOINTMENT OF A SERVICE PROVIDER FOR THE PROVISION OF A VEHICLE TRACKING DEVICE SYSTEM FOR A PERIOD OF 36 MONTHS</t>
  </si>
  <si>
    <t>Nquthu Local Municipality</t>
  </si>
  <si>
    <t>https://www.etenders.gov.za/home/Download/?blobName=3e612a6e-20c5-47fe-a94f-ab88d226e78d.pdf&amp;downloadedFileName=18%20MAY.pdf</t>
  </si>
  <si>
    <t>10024029</t>
  </si>
  <si>
    <t>Hard case shell case QTY 4. Refer to the detailed attached specs.</t>
  </si>
  <si>
    <t>State Security Agency</t>
  </si>
  <si>
    <t>https://www.etenders.gov.za/home/Download/?blobName=eea4e3ba-1e7b-4632-9c7b-80f95539c85f.pdf&amp;downloadedFileName=RFQ%20Hard%20cases%20updated.pdf</t>
  </si>
  <si>
    <t>134/2026</t>
  </si>
  <si>
    <t>PHASE 4 OF 66 KV DOUBLE CIRCUIT OVERHEAD LINE</t>
  </si>
  <si>
    <t>Kouga Municipality</t>
  </si>
  <si>
    <t>https://teams.microsoft.com/meet/344417045492097?p=0s7Tfvl1wGcoicplKp</t>
  </si>
  <si>
    <t>https://www.etenders.gov.za/home/Download/?blobName=c1b6fd0f-846a-4cdf-aceb-dc7622b0ed1b.pdf&amp;downloadedFileName=Specification%20Tender%20Notice%20134-2026.pdf</t>
  </si>
  <si>
    <t>MBDA EWS 15/25-26</t>
  </si>
  <si>
    <t>REQUEST FOR PROPOSALS FOR EMPLOYEE WELLNESS SERVICES</t>
  </si>
  <si>
    <t>Mandela Bay Development Agency</t>
  </si>
  <si>
    <t>https://teams.microsoft.com/meet/35950291662900?p=FtDffF8KVD3lyYtzYn</t>
  </si>
  <si>
    <t>https://www.etenders.gov.za/home/Download/?blobName=47f8cc1d-e0ee-4e27-8ee0-504b23c704da.pdf&amp;downloadedFileName=Employee%20Wellness%20Services%20RFP.pdf</t>
  </si>
  <si>
    <t>MPMAT11199GX00</t>
  </si>
  <si>
    <t>Provision of Vacuum Truck Services at Matla Power Station for a period of thirty-six months (36) - tender cancellation</t>
  </si>
  <si>
    <t>https://www.etenders.gov.za/home/Download/?blobName=f7fa297a-eb69-4574-85d6-c304dc59ed9b.pdf&amp;downloadedFileName=Tender%20Cancellation%20Letter%20Template2%20-%20Vacuum%20trucks.pdf</t>
  </si>
  <si>
    <t>IHLM-188/2025-26/MM'S</t>
  </si>
  <si>
    <t>VIP CATERING FOR 500 PEOPLE ATTENDING MPONDO REVOLT</t>
  </si>
  <si>
    <t>https://www.etenders.gov.za/home/Download/?blobName=5ea45ae1-5a3d-46d5-9ae1-c6e77ca636ee.pdf&amp;downloadedFileName=BID%20DOCUMENT%20FOR%20VIP%20CATERING%20FOR%20500%20PEOPLE%20ATTENDING%20MPONDO%20REVOLT%20docx.pdf</t>
  </si>
  <si>
    <t>RLM15/2025/2026</t>
  </si>
  <si>
    <t>SUPPLY OF ASPHALT HOT MIX FOR A PERIOD OF 36 MONTHS – RICHMOND LM</t>
  </si>
  <si>
    <t>Richmond - KZ Local Municipality</t>
  </si>
  <si>
    <t>Richmond Council Chambers</t>
  </si>
  <si>
    <t>https://www.etenders.gov.za/home/Download/?blobName=c9884f45-65b7-4c98-a874-7dd4291a63ec.pdf&amp;downloadedFileName=SUPPLY%20OF%20HOT%20MIX%20%20DOCUMENT%20FINAL%201520252026.pdf</t>
  </si>
  <si>
    <t>E0426LSERI</t>
  </si>
  <si>
    <t>PLANT HIRE – 34 TON TIPPER TRUCKS ON AN AS AN WHEN REQUIRED BASIS FOR A PERIOD OF 5 YEARS</t>
  </si>
  <si>
    <t>https://www.etenders.gov.za/home/Download/?blobName=6975a3dc-8b0d-4087-be1a-567163f9dae4.zip&amp;downloadedFileName=Docs%20for%20Adv%2034%20T0N.zip</t>
  </si>
  <si>
    <t>E0526LSERI</t>
  </si>
  <si>
    <t>PLANT HIRE – SUPER SUCKER TRUCKS ON AN AS AN WHEN REQUIRED BASIS FOR A PERIOD OF 5 YEARS</t>
  </si>
  <si>
    <t>https://www.etenders.gov.za/home/Download/?blobName=4896fd70-98e4-4825-af1f-cc31b3b9042b.zip&amp;downloadedFileName=Docs%20for%20adv.zip</t>
  </si>
  <si>
    <t>SASSA:02-26-CS-WC</t>
  </si>
  <si>
    <t>ACQUISITION OF OFFICE ACCOMODTION OF 1177.50M2 AND 12 PARING BAYS FOR SASSA WESTERN CAPE GUGULETHU LOCAL OFFICE FOR A PERIOD OF FIVE (5) YERS.</t>
  </si>
  <si>
    <t>https://www.etenders.gov.za/home/Download/?blobName=ebf8f680-9d74-4ce5-bd53-d04eec654aed.pdf&amp;downloadedFileName=SASSA-02-26-CS-WC.pdf</t>
  </si>
  <si>
    <t>NQULM53/25-26</t>
  </si>
  <si>
    <t>SERVICE PROVIDER TO DESIGN, DEVELOP, HOST, AND MAINTAIN AN OFFICIAL MUNICIPAL WEBSITE FOR A PERIOD OF 36 MONTHS</t>
  </si>
  <si>
    <t>https://www.etenders.gov.za/home/Download/?blobName=51484578-87f5-41cb-b7e0-f4713a92d79f.pdf&amp;downloadedFileName=18%20MAY.pdf</t>
  </si>
  <si>
    <t>10024059/ 10024044</t>
  </si>
  <si>
    <t>Abby Fine Reader Software</t>
  </si>
  <si>
    <t>https://www.etenders.gov.za/home/Download/?blobName=2ebd8519-8044-4f75-a6a1-04cc464f95a8.pdf&amp;downloadedFileName=RFQ%20Abby%20Fine%20reader.pdf</t>
  </si>
  <si>
    <t>NQULM71/25-26</t>
  </si>
  <si>
    <t>SERVICE PROVIDER TO OPERATE THE EXISTING CAR WASH FACILITY IN NQUTHU MUNICIPALITY</t>
  </si>
  <si>
    <t>https://www.etenders.gov.za/home/Download/?blobName=5a59e698-813c-47e6-b17e-8d13442b637a.pdf&amp;downloadedFileName=18%20MAY.pdf</t>
  </si>
  <si>
    <t>E2867CXMWP</t>
  </si>
  <si>
    <t>The Provision of Employee Assistance Programme (EAP) Services for Eskom Employees and their immediate families for a period of Five years (60 months) on an “as and when required” basis.</t>
  </si>
  <si>
    <t>https://www.etenders.gov.za/home/Download/?blobName=cce70372-f8be-47a4-aa60-251effcaaab5.pdf&amp;downloadedFileName=Invitation%20to%20Tender%20for%20the%20Provision%20of%20a%20Comprehensive%20Employee%20Assistance%20Programme%20(EAP)%20transaction.pdf</t>
  </si>
  <si>
    <t>NERSA/2627/CSM/PCP/BID004</t>
  </si>
  <si>
    <t>THE APPOINTMENT OF A SERVICE PROVIDER TO ASSIST THE NATIONAL ENERGY REGULATOR WITH THE PRODUCTION OF CORPORATE PUBLICATIONS FOR A PERIOD OF THREE (3) YEARS.</t>
  </si>
  <si>
    <t>National Energy Regulator of South Africa</t>
  </si>
  <si>
    <t>MS TEAMS</t>
  </si>
  <si>
    <t>https://www.etenders.gov.za/home/Download/?blobName=ee63f60a-9f55-4c37-83bf-0789aeff3a72.pdf&amp;downloadedFileName=BID%20DOCUMENT_%20NERSA-2627-CSM-PCP-BID004.pdf</t>
  </si>
  <si>
    <t>FTM/T27/25/26</t>
  </si>
  <si>
    <t>Appointment of a Panel of Implementation of Digitalization and Modernization of Information Communication Technology and Environment Solutions for a period of thirty-six (36) months.</t>
  </si>
  <si>
    <t>https://www.etenders.gov.za/home/Download/?blobName=a75bf076-4abb-47f0-952c-6785df66b0eb.pdf&amp;downloadedFileName=Advert%2018%20May%202026.pdf</t>
  </si>
  <si>
    <t>LDE/B01/2026/27</t>
  </si>
  <si>
    <t>INVITATION OF SERVICE PROVIDERS FOR THE ESTABLISHMENT OF A PANEL OF CONTRACTORS FOR INFRASTRUCTURE GENERAL BUILDING WORKS GRADE 6GB ALL PUBLIC SCHOOLS, INSTITUTIONS AND OFFICES, LIMPOPO DEPARTMENT OF EDUCATION, FOR THE PERIOD OF THREE (03) YEARS</t>
  </si>
  <si>
    <t>Limpopo - Education</t>
  </si>
  <si>
    <t>https://www.etenders.gov.za/home/Download/?blobName=5bcbc27f-744a-4322-b0ec-eb68572ead15.pdf&amp;downloadedFileName=LDEB01-2026-27.pdf</t>
  </si>
  <si>
    <t>NQULM67/25-26</t>
  </si>
  <si>
    <t>MUNICIPAL FLEET MAINTANANCE FOR A PERIOD OF 36 MONTHS</t>
  </si>
  <si>
    <t>https://www.etenders.gov.za/home/Download/?blobName=37ca14de-3fee-4c7c-9ba0-81e742389860.pdf&amp;downloadedFileName=18%20MAY.pdf</t>
  </si>
  <si>
    <t>SCMF 21/04/09R</t>
  </si>
  <si>
    <t>Appointment of the service provider to support and maintain the video conferencing system in the Presidency (boardrooms 108, 144, and 145) for a period of 3 years.</t>
  </si>
  <si>
    <t>Meeting ID: 331 140 622 845 223 Passcode: zc2Xb68w</t>
  </si>
  <si>
    <t>https://www.etenders.gov.za/home/Download/?blobName=fbfdfcc4-8490-4826-90c5-5dfabb1268ad.pdf&amp;downloadedFileName=TORAppointment%20for%20service%20provider%20to%20provide%20vidoe%20conference%20support%20and%20maintenance%20in%20boardroom%20108%20144%20and%20145.pdf</t>
  </si>
  <si>
    <t>DQP 14/2026 LG</t>
  </si>
  <si>
    <t>APPOINTMENT OF A SERVICE PROVIDER TO CONDUCT TRAINING FOR 18 OFFICIALS ON MONITORING AND EVALUATION TRAINING</t>
  </si>
  <si>
    <t>https://www.etenders.gov.za/home/Download/?blobName=b9e8d8f9-68ca-43dd-aef0-03cd88e208a4.pdf&amp;downloadedFileName=DQP%20142026%20LG%20%E2%80%93%20REQA60186.pdf</t>
  </si>
  <si>
    <t>THEK/WANP/02/2026</t>
  </si>
  <si>
    <t>THEKWINI TVET COLLEGE PRIMARY WIDE AREA NETWORK (6 CAMPUSES) FOR A PERIOD OF 5 YEARS</t>
  </si>
  <si>
    <t>Thekwini TVET College</t>
  </si>
  <si>
    <t>THEKWINI TVET COLLEGE MELBOURNE CAMPUS, Crn SRDNEY &amp; BLAKE RD, DALBRIDGE, SYDNEY ROAD, DURBAN,4001</t>
  </si>
  <si>
    <t>https://www.etenders.gov.za/home/Download/?blobName=b30d44c1-be74-44b0-a45f-af337c965060.pdf&amp;downloadedFileName=Advert%20for%20Primary%20WAN%20Tender%202026.pdf</t>
  </si>
  <si>
    <t>CSIR RFP 3731/02/06/2026</t>
  </si>
  <si>
    <t>Request for Proposals (RFP) The Procurement of 10Gbps managed bandwidth links for the Free State Extensions network</t>
  </si>
  <si>
    <t>https://www.etenders.gov.za/home/Download/?blobName=1a381990-ddb7-4134-b057-deec9466572c.xlsx&amp;downloadedFileName=Annexure%20C1%20-%20Technical%20Compliance%20Matrix%20-%20Free%20State%20Rural%20Refresh%20Managed%20Bandwidth%20Links.xlsx</t>
  </si>
  <si>
    <t>THEK/WANB/03/2026</t>
  </si>
  <si>
    <t>THEKWINI TVET COLLEGE BACKUP WIDE AREA NETWORK(6 CAMPUSES) FOR A PERIOD OF 5 YEARS</t>
  </si>
  <si>
    <t>https://www.etenders.gov.za/home/Download/?blobName=88e403ea-3fea-4ec6-bec5-d6fcd386f5da.pdf&amp;downloadedFileName=Advert%20for%20Backup%20WAN%20Tender%202026.pdf</t>
  </si>
  <si>
    <t>EFAC/2026/05</t>
  </si>
  <si>
    <t>The Supply, Delivery, Installation and Commissioning of Bombs and Explosives Detection Systems at Armscor Head Office</t>
  </si>
  <si>
    <t>ARMSCOR</t>
  </si>
  <si>
    <t>Armscor Head Office, 370 Nossob Street, Erasmuskloof</t>
  </si>
  <si>
    <t>https://www.etenders.gov.za/home/Download/?blobName=662df99a-05f9-476a-923a-0b82807918bc.pdf&amp;downloadedFileName=EFAC_2026_05.pdf</t>
  </si>
  <si>
    <t>RFQ Number 4246b/26</t>
  </si>
  <si>
    <t>Supply of Network Cameras and the provision of training to fifteen (15) individuals on the installation of the cameras</t>
  </si>
  <si>
    <t>South African Weather Service</t>
  </si>
  <si>
    <t>https://www.etenders.gov.za/home/Download/?blobName=5cebdac4-325b-463d-9791-7feace61ba0b.pdf&amp;downloadedFileName=RFQ%204246b%20Webcams.advert.pdf</t>
  </si>
  <si>
    <t>SUB-CONTRACT SANRAL N.003-034-2017/9D-PD1 D-SS</t>
  </si>
  <si>
    <t>GEOTECHNICAL INVESTIGATIONS FOR THE CONCEPT AND PRELIMINARY DESIGN FOR THE REALIGNMENT OF NATIONAL ROUTE 3, SECTIONS 3 AND 4, FROM CHOTA MOTALA INTERCHANGE (KM 12.86) TO CEDARA (KM1.6).</t>
  </si>
  <si>
    <t>South African National Roads Agency Soc Limited (SANRAL)</t>
  </si>
  <si>
    <t>Services: Civil</t>
  </si>
  <si>
    <t>https://www.etenders.gov.za/home/Download/?blobName=f84bee93-65bd-46a2-b681-442b8928ee77.zip&amp;downloadedFileName=Fw__N3_Geotech_tender.zip</t>
  </si>
  <si>
    <t>8/2/1/UMH1693-25/26</t>
  </si>
  <si>
    <t>APPOINTMENT OF THE SERVICE PROVIDER FOR THE SUPPORT, MAINTENANCE AND UPGRADE OF THE EXISTING IP TELEPHONE SYSTEM INCLUDING CALL CENTRE MODULE FOR THE PERIOD OF 36 MONTHS</t>
  </si>
  <si>
    <t>uMhlathuze Municipality</t>
  </si>
  <si>
    <t>Richards Bay Civic Centre, 2nd Floor C 222</t>
  </si>
  <si>
    <t>https://www.etenders.gov.za/home/Download/?blobName=3be9e81d-07e6-47fe-93e2-2a98a1f8584c.pdf&amp;downloadedFileName=ADVERT%20UMH1692%20&amp;%20UMH1693.pdf</t>
  </si>
  <si>
    <t>E2928CXMWPERE</t>
  </si>
  <si>
    <t>Request for information for the provision of specialist technical investigation services in respect of power system network major equipment failures and major supply interruptions across Generation, Transmission and Distribution networks, as well as regulatory and legislative breaches events.</t>
  </si>
  <si>
    <t>Other manufacturing</t>
  </si>
  <si>
    <t>https://www.etenders.gov.za/home/Download/?blobName=b2fd3e67-0654-4f32-95b9-68604e98a9df.pdf&amp;downloadedFileName=Technical%20Investigations%20%20Request%20for%20Information%20(RFI)%20rev%202%20%20-18%20May%202026%20.pdf</t>
  </si>
  <si>
    <t>SAQA RFQ 2026/27-06</t>
  </si>
  <si>
    <t>Appointment of a service provider to provide an online travel management system to SAQA for a period of 36 Months.</t>
  </si>
  <si>
    <t>The South African Qualifications Authority (SAQA)</t>
  </si>
  <si>
    <t>https://www.etenders.gov.za/home/Download/?blobName=2704b40a-9ab5-404e-9f7e-340b08d08c91.pdf&amp;downloadedFileName=SAQA%20RFQ-Provision%20of%20Travel%20%20Management%20Tool.pdf</t>
  </si>
  <si>
    <t>E2895GXPOU</t>
  </si>
  <si>
    <t>GARIEP POWER STATION WALL CLADDING, AND ROOFING SYSTEM REPLACEMENT</t>
  </si>
  <si>
    <t>Gariep Power Station and/or MS Teams</t>
  </si>
  <si>
    <t>https://www.etenders.gov.za/home/Download/?blobName=1a008fb2-c400-427e-ae5f-00ced76b9e75.pdf&amp;downloadedFileName=32-726-06T%20High%20Risk%20Safety%20file%20Evaluation%20Peaking.pdf</t>
  </si>
  <si>
    <t>BOCMA RFQ11/2026</t>
  </si>
  <si>
    <t>ITEM : REQUEST FOR QUOTATION: DESIGN, PRINTING AND DELIVERY OF ANNUAL REPORT. REF: BOCMA RFQ11/2026 Specification and RFQ documents must be requested from Noxolo Mafanya</t>
  </si>
  <si>
    <t>Breede-Gouritz Catchment Management Agency</t>
  </si>
  <si>
    <t>Advertising and market research</t>
  </si>
  <si>
    <t>https://www.etenders.gov.za/home/Download/?blobName=8064dbc9-b443-40f4-8c8f-e12aeecefd58.docx&amp;downloadedFileName=Advert%20Annual%20Report%2019.05.2026.docx</t>
  </si>
  <si>
    <t>TS005/2026</t>
  </si>
  <si>
    <t>APPOINTMENT OF THREE (3) SERVICE PROVIDERS FOR THE SUPPLY &amp; DELIVERY OF WATER &amp; WASTEWATER TREATMENT CHEMICALS, REAGENTS AND LABWARE FOR A PERIOD OF THREE (3) YEARS.</t>
  </si>
  <si>
    <t>Dihlabeng Local Municipality</t>
  </si>
  <si>
    <t>Manufacture of chemicals and chemical products</t>
  </si>
  <si>
    <t>DIHLABENG TOWN HALL</t>
  </si>
  <si>
    <t>https://www.etenders.gov.za/home/Download/?blobName=29176038-9eef-4787-94b2-eb9d38567c86.pdf&amp;downloadedFileName=TENDER%20DOC-%20APPOINTMENT%20OF%20THREE%20(3)%20SERVICE%20PROVIDERS%20FOR%20THE%20SUPPLY%20&amp;%20DELIVERY%20OF%20WATER%20&amp;%20WASTEWATER%20TREATMENT%20CHEMICALS,%20REAGENTS%20AND%20LABWARE%20FOR%20A%20PERIOD%20OF%20THREE%20(3)%20YEARS..pdf</t>
  </si>
  <si>
    <t>SBM 38/25/26</t>
  </si>
  <si>
    <t>SUPPLY AND DELIVERY OF COPY PAPER AND PRINTING MATERIALS FOR SALDANHA BAY MUNICIPALITY FOR THE PERIOD ENDING 30 JUNE 2029.</t>
  </si>
  <si>
    <t>SALDANHA BAY MUNICIPALITY</t>
  </si>
  <si>
    <t>https://www.etenders.gov.za/home/Download/?blobName=339179ac-2f54-4b41-859c-681237eefbd8.pdf&amp;downloadedFileName=SBM%2038-25-26%20Tender%20Document.pdf</t>
  </si>
  <si>
    <t>EDUMPRO01/2026/27</t>
  </si>
  <si>
    <t>PROVISION OF INTERMEDIARY SERVICES FOR SHORT TERM INSURANCE AND RISK MANAGEMENT FOR A PERIOD OF 36 MONTHS</t>
  </si>
  <si>
    <t>Financial and insurance activities</t>
  </si>
  <si>
    <t>https://www.etenders.gov.za/home/Download/?blobName=a049c764-0bf2-4a73-9b45-dfb60412a4ea.pdf&amp;downloadedFileName=SHORT%20TERM%20INSURANCE%20AD.pdf</t>
  </si>
  <si>
    <t>Q26/256/DM (A)</t>
  </si>
  <si>
    <t>SUPPLY , DELIVERY AND COMMISSIONING OF WIRELESS WI-FI TEMPERATURE DATA LOGGING SYSTEM WITH PROBES FOR UUW LABORATORY</t>
  </si>
  <si>
    <t>Services: Electrical</t>
  </si>
  <si>
    <t>https://www.etenders.gov.za/home/Download/?blobName=08695dcd-9bee-4813-a695-80bdc8baecf8.pdf&amp;downloadedFileName=Q26-256DM(A)%20SUPPLY%20%20DELIVERY%20%20COMMISSIONING%20%20OF%20WIRELESS%20WI-FI%20TEMPERATURE%20DATA%20LOGGING%20SYSTEM%20WITH%20PROBES%20FOR%20UUW.pdf</t>
  </si>
  <si>
    <t>SLM/SCM/68/2025/2026</t>
  </si>
  <si>
    <t>PROVISION OF THIRD-PARTY ELECTRICITY VENDING SYSTEM/TECHNOLOGY FOR SELLING OF PRE-PAID ELECTRICITY TO CUSTOMERS IN THE SAKHISIZWE MUNICIPALITY SUPPLY AREA FOR A PERIOD OF THREE YEARS.</t>
  </si>
  <si>
    <t>Sakhisizwe Local Municipality</t>
  </si>
  <si>
    <t>Telecommunications</t>
  </si>
  <si>
    <t>https://www.etenders.gov.za/home/Download/?blobName=9f2e3e63-71e8-437a-b306-4665fad658d8.pdf&amp;downloadedFileName=TENDER%20DOCUMENT%20PROVISION%20OF%20THIRD-PARTY%20ELECTRICITY%20VENDING%20SYSTEM.pdf</t>
  </si>
  <si>
    <t>FTM/T24/25/26</t>
  </si>
  <si>
    <t>Appointment of a Panel of Legal and Assurance Services for a period of thirty-six (36) months.</t>
  </si>
  <si>
    <t>https://www.etenders.gov.za/home/Download/?blobName=d3ebc794-97bf-4872-b396-69806f09c902.pdf&amp;downloadedFileName=Advert%2018%20May%202026.pdf</t>
  </si>
  <si>
    <t>NQULM60/25-26</t>
  </si>
  <si>
    <t>PROVISION OF ADVERTISING AGENCY SERVICES TO NQUTHU MUNICIPALITY FOR A PERIOD OF 36 MONTHS</t>
  </si>
  <si>
    <t>https://www.etenders.gov.za/home/Download/?blobName=9ef43707-6277-4aa3-8b28-ee1d230cb9af.pdf&amp;downloadedFileName=18%20MAY.pdf</t>
  </si>
  <si>
    <t>GICT 05-2025/26</t>
  </si>
  <si>
    <t>Tender for appointment of a panel of service providers to support City of Tshwane business applications and to provide Information Technology services for 36 months</t>
  </si>
  <si>
    <t>City of Tshwane</t>
  </si>
  <si>
    <t>Sammy Marks Council Chamber, 1st Floor, Sammy Marks Square, cnr Lilian Ngoyi and Madiba Street, Pret</t>
  </si>
  <si>
    <t>https://www.etenders.gov.za/home/Download/?blobName=3e758351-0dbf-42b0-bac3-71ce34cd4125.pdf&amp;downloadedFileName=Notice%2015%20of%202025.26.pdf</t>
  </si>
  <si>
    <t>RFP 03/05/2026</t>
  </si>
  <si>
    <t>APPOINTMENT OF A PROFESSIONAL SERVICE PROVIDER FOR THE MANAGEMENT AND IMPLEMENTATION OF THE RURAL ROADS ASSETS MANAGEMENT SYSTEM WITHIN LEJWELEPUTSWA DISTRICT MUNICIPALITY FOR A PERIOD OF THREE (3) FINANCIAL YEARS.</t>
  </si>
  <si>
    <t>Lejweleputswa District Municipality</t>
  </si>
  <si>
    <t>https://www.etenders.gov.za/home/Download/?blobName=fd9a95f6-8313-4a74-9e41-7af20dbccf38.pdf&amp;downloadedFileName=RFP%2003-05-2026-%20RRAMS%20Tender%20Document.pdf</t>
  </si>
  <si>
    <t>DQP 22/2026 LG</t>
  </si>
  <si>
    <t>APPOINTMENT OF A SERVICE PROVIDER TO CONDUCT TRAINING FOR 20 OFFICIALS ON SUPERVISORY TRAINING</t>
  </si>
  <si>
    <t>https://www.etenders.gov.za/home/Download/?blobName=cca3aa6e-9fd9-44ab-8d91-6216e1bbe6ff.pdf&amp;downloadedFileName=DQP%20222026%20LG%20%E2%80%93%20REQA60194.pdf</t>
  </si>
  <si>
    <t>SCMA 21/04/08R</t>
  </si>
  <si>
    <t>Supply and Delivery of Video Conferencing Mobile Screen</t>
  </si>
  <si>
    <t>https://www.etenders.gov.za/home/Download/?blobName=42c407b7-b7c2-441c-aad9-27594e1473d7.pdf&amp;downloadedFileName=RFQ%20for%20Supply%20and%20Delivery%20of%20Video%20Conferencing%20Mobile%20Screen.pdf</t>
  </si>
  <si>
    <t>TPL/2026/02/0028/1145/RFP</t>
  </si>
  <si>
    <t>FOR THE PROVISION OF CONSULTING SERVICES FOR THE SAP EHP UPGRADE, REDESIGN OF SLUG NUMBER, SAP S/4 HANA CONVERSION AND REDESIGN OF CUSTOMER PORTAL FOR TRANSNET PIPELINES FOR A PERIOD OF 24 (TWENTY-FOUR)</t>
  </si>
  <si>
    <t>Computer programming, consultancy and related activities</t>
  </si>
  <si>
    <t>Microsoft Teams meeting Join: https://teams.microsoft.com/meet/337342419333764?p=XT9KCuL5Gp6tZqz4S6</t>
  </si>
  <si>
    <t>https://www.etenders.gov.za/home/Download/?blobName=a76ad2d4-872a-497b-aa95-83395d96659c.pdf&amp;downloadedFileName=Pricing%20Schedule%20-%20SAP%20S4%20160426.pdf</t>
  </si>
  <si>
    <t>NQULM66/25-26</t>
  </si>
  <si>
    <t>SUPPLY, INSTALLATION AND MAINTANANCE FOR INTERNET SERVICES/ FIREWALL AND SD WAN FOR NQUTHU MUNICIPALITY</t>
  </si>
  <si>
    <t>https://www.etenders.gov.za/home/Download/?blobName=ba23056f-b108-4b98-a90f-6411aabb60d4.pdf&amp;downloadedFileName=18%20MAY.pdf</t>
  </si>
  <si>
    <t>NQULM70/25-26</t>
  </si>
  <si>
    <t>SUPPLY AND DELIVER OF FARMING/ AGRICULTURAL INPUTS, TOOLS, MEDICATION, ETC FOR A PERIOD OF 36 MONTHS</t>
  </si>
  <si>
    <t>https://www.etenders.gov.za/home/Download/?blobName=f42b9928-bc05-4b23-8bed-17f272486056.pdf&amp;downloadedFileName=18%20MAY.pdf</t>
  </si>
  <si>
    <t>E2703CXMWPEREBIDDERSLIST</t>
  </si>
  <si>
    <t>Participation</t>
  </si>
  <si>
    <t>Bidders List - The Supply and Delivery of Security Corporate and Combat Uniforms for Megawatt Park, Eskom Academy of Learning, Grootvallei Nature Reserve and the Eskom Research &amp; Innovation Centre on an “As and When Required” Basis for a Period of Three (3) Years.</t>
  </si>
  <si>
    <t>Manufacture of textiles</t>
  </si>
  <si>
    <t>https://www.etenders.gov.za/home/Download/?blobName=daa0fc10-0520-4f77-adaa-56cb078540b3.pdf&amp;downloadedFileName=Suppliers%20Bidder%20List.pdf</t>
  </si>
  <si>
    <t>RFQ2026-005-017</t>
  </si>
  <si>
    <t>REQUEST FOR PRICEQUOTATION FOR THE APPOINTMENT OF A CATERING SERVICE PROVIDER FOR THE NATIONAL LOTTERIES COMMISSION EDUCATION AND AWARENESS WORKSHOP- NORTHWEST RUSTENBURG</t>
  </si>
  <si>
    <t>https://www.etenders.gov.za/home/Download/?blobName=279fab76-a71a-4f7e-99a9-042b514c5e70.pdf&amp;downloadedFileName=RFQ%20Education%20and%20Awareness%20Workshop%20-%20Catering%20Request%20for%20Rustenburg%20-%20NW.pdf</t>
  </si>
  <si>
    <t>MO/ADM/512/25</t>
  </si>
  <si>
    <t>APPOINTMENT OF A SERVICE PROVIDER FOR THE IMPLEMENTATION, ADMINISTRATION AND SUPPORT SERVICES TO THE RBIDZ LABOUR DESK FOR 24 MONTHS</t>
  </si>
  <si>
    <t>The Richards Bay Industrial Development Zone</t>
  </si>
  <si>
    <t>https://www.etenders.gov.za/home/Download/?blobName=53d7caa9-d29a-432a-acb1-c00f1594c2f5.pdf&amp;downloadedFileName=Combined%20tender%20advert%20MO_ADM_512_25%20and%20MO_ADM_515_25.pdf</t>
  </si>
  <si>
    <t>EEBU 24-2025/26</t>
  </si>
  <si>
    <t>Tender for supply, delivery and off-loading of accessories, joints and terminations for medium voltage cables, on an as and when required basis for period of 3-year period.</t>
  </si>
  <si>
    <t>Supplies: Electrical Equipment</t>
  </si>
  <si>
    <t>https://www.etenders.gov.za/home/Download/?blobName=4872dbe9-5f1f-4d38-8026-eaeef2b16d4c.pdf&amp;downloadedFileName=Notice%2015%20of%202025.26.pdf</t>
  </si>
  <si>
    <t>PHP012605RFQ00000010</t>
  </si>
  <si>
    <t>Supply and Delivery of Freeze Dry Consumables</t>
  </si>
  <si>
    <t>https://www.etenders.gov.za/home/Download/?blobName=de78ac41-4edb-44df-b3d6-f0331952886f.pdf&amp;downloadedFileName=PHP012605RFQ00000010.pdf</t>
  </si>
  <si>
    <t>IZIKO-RFQ-EDU-DIG PLAT-05-26</t>
  </si>
  <si>
    <t>Online tools</t>
  </si>
  <si>
    <t>https://www.etenders.gov.za/home/Download/?blobName=7ef3f316-a4c7-401a-885e-257617e6c48f.pdf&amp;downloadedFileName=Iziko%20RFQ-EDU-%20Online%20Tools%20and%20Digital%20Platforms%2005-2026.pdf</t>
  </si>
  <si>
    <t>SLM/SCM/66/2025/2026</t>
  </si>
  <si>
    <t>PLANT HIRE FOR WARD 9 INTERNAL ROADS</t>
  </si>
  <si>
    <t>https://www.etenders.gov.za/home/Download/?blobName=7af5b205-1526-4332-8618-b84911252f09.pdf&amp;downloadedFileName=TENDER%20DOCUMENT%20PLANT%20HIRE%20FOR%20WARD%209%20INTERNAL%20ROADS.pdf</t>
  </si>
  <si>
    <t>CHR5-26/27-0007</t>
  </si>
  <si>
    <t>REMOVAL OF HOUSEHOLD GOODS FROM KOMANI TO UITENHAGE AS PER THE SPECIFICATION OF THE EASTERN CAPE DEPARTMENT OF PUBLIC WORKS AND INFRASTRUCTURE, CHRIS HANI DISTRICT</t>
  </si>
  <si>
    <t>https://www.etenders.gov.za/home/Download/?blobName=aae84149-9a7a-4221-9518-2369e33aa552.pdf&amp;downloadedFileName=QUOTATION%20DOC%20FOR%20REMOVAL%20OF%20HOUSEHOLD%20GOODS.pdf</t>
  </si>
  <si>
    <t>LDE/B02/2026/27</t>
  </si>
  <si>
    <t>INVITATION OF SERVICE PROVIDERS FOR THE ESTABLISHMENT OF A PANEL OF CONTRACTORS FOR INFRASTRUCTURE GENERAL BUILDING WORKS GRADE 7GB ALL PUBLIC SCHOOLS, INSTITUTIONS AND OFFICES, LIMPOPO DEPARTMENT OF EDUCATION, FOR THE PERIOD OF THREE (03) YEARS</t>
  </si>
  <si>
    <t>https://www.etenders.gov.za/home/Download/?blobName=84d84940-f7e6-4ca7-9e48-3ab3e48d9fc6.pdf&amp;downloadedFileName=Erratum%20for%20Panel%20of%20Contractors%202026-27.pdf</t>
  </si>
  <si>
    <t>FTM/T26/25/26</t>
  </si>
  <si>
    <t>Appointment of a service provider for Request for Proposal of Document Storage Facility at Ohrigstad on Build Operate and Transfer Model for a period of thirty-six (36) months.</t>
  </si>
  <si>
    <t>https://www.etenders.gov.za/home/Download/?blobName=2f07ea4a-a802-4c74-a337-895d74ac73af.pdf&amp;downloadedFileName=Advert%2018%20May%202026.pdf</t>
  </si>
  <si>
    <t>RFQ NO: 01 - 2026/27</t>
  </si>
  <si>
    <t>TERMS OF REFERENCE FOR THE APPOINTMENT OF A SUITABLY QUALIFIED AND EXPERIENCED SERVICE PROVIDER TO CONDUCT RISK ASSESMENT WORKSHOP FOR ETDP SETA BOARD BASED ON THE DRAFT FIVE-YEAR STRATEGIC PLAN FOR 2025-2030 FINANCIAL YEARS</t>
  </si>
  <si>
    <t>Education, Training and Development Practices SETA</t>
  </si>
  <si>
    <t>https://www.etenders.gov.za/home/Download/?blobName=aba21e67-33b2-4a05-b3e4-80a934358f6d.pdf&amp;downloadedFileName=ToR_Risk%20Management%20training_Board_Final.pdf</t>
  </si>
  <si>
    <t>SBM 43/25/26</t>
  </si>
  <si>
    <t>SUPPLY AND DELIVERY OF PROCESS CHEMICALS TO WASTEWATER TREATMENT PLANTS TO SALDANHA BAY MUNICIPALITY FOR A PERIOD ENDING 30 JUNE 2029.</t>
  </si>
  <si>
    <t>https://www.etenders.gov.za/home/Download/?blobName=fc886133-4770-477f-a051-b63cc4530daf.pdf&amp;downloadedFileName=SBM%2043%2025%2026%20%20Tender%20Document.pdf</t>
  </si>
  <si>
    <t>GHCM 03-2025/26</t>
  </si>
  <si>
    <t>Tender for the appointment of service providers to render vetting, employee verification and competency assessment services (COGTA-accredited and others</t>
  </si>
  <si>
    <t>Activities of head offices; management consultancy activities</t>
  </si>
  <si>
    <t>Tshwane Leadership and Management Academy, 11 Staatsartillerie Road, Pretoria West</t>
  </si>
  <si>
    <t>https://www.etenders.gov.za/home/Download/?blobName=2ce05b14-a4ba-4433-a1d4-b6ee4677a05b.pdf&amp;downloadedFileName=Notice%2015%20of%202025.26.pdf</t>
  </si>
  <si>
    <t>MBTC-SCM/86/2026</t>
  </si>
  <si>
    <t>APPOINTMENT OF A SERVICE PROVIDER FOR THE DEVELOPMENT, REVIEW AND STANDARDISATION OF STANDARD OPERATING PROCEDURES</t>
  </si>
  <si>
    <t>Mandela Bay Theatre Complex</t>
  </si>
  <si>
    <t>https://www.etenders.gov.za/home/Download/?blobName=a3927ab7-de0d-4701-a68d-b54e5c336563.pdf&amp;downloadedFileName=Request%20for%20Quotation%20MBTC-SCM%2086_2026%20_%20Development%20of%20SOPs%20for%20MBTC.pdf</t>
  </si>
  <si>
    <t>RAF/2026/00023</t>
  </si>
  <si>
    <t>ENTERPRISE SERVICE MANAGEMENT SAAS SOLUTION AND 5 YEARS SUPPORT</t>
  </si>
  <si>
    <t>https://www.etenders.gov.za/home/Download/?blobName=d22de449-a02a-4785-b887-e3c6519cc81d.pdf&amp;downloadedFileName=RFI%20-Enterprise%20Service%20Management%20Solution.pdf</t>
  </si>
  <si>
    <t>LDPWRI-R/20646 ADDENDUM</t>
  </si>
  <si>
    <t>Addendum for provision and Servicing of VIP Mobile Toilet Units for Five Districts for a Period of 3 Years (36) Months.</t>
  </si>
  <si>
    <t>Limpopo - Public Works</t>
  </si>
  <si>
    <t>https://www.etenders.gov.za/home/Download/?blobName=eccbf874-2aeb-4c99-8ff1-70c8c829e2e7.pdf&amp;downloadedFileName=ADDENDUM%20FOR%20MOBILE%20TOILETS..pdf</t>
  </si>
  <si>
    <t>RLM14/2025/2026</t>
  </si>
  <si>
    <t>PROVISIONS OF ADVERTISEMENT IN THE PRINT MEDIA FOR A PERIOD OF 36 MONTHS</t>
  </si>
  <si>
    <t>Publishing activities</t>
  </si>
  <si>
    <t>https://www.etenders.gov.za/home/Download/?blobName=d5ec42a0-7eaa-4b61-a777-cafc05f9d1d1.pdf&amp;downloadedFileName=Advertising%20Agency%20specification%20Print%20Media%201420252026.pdf</t>
  </si>
  <si>
    <t>FTM/T25/25/26</t>
  </si>
  <si>
    <t>Appointment of a Panel of Training Developments for a period of thirty-six (36) months.</t>
  </si>
  <si>
    <t>https://www.etenders.gov.za/home/Download/?blobName=560a539e-0939-45d3-a798-cd85955670f2.pdf&amp;downloadedFileName=Advert%2018%20May%202026.pdf</t>
  </si>
  <si>
    <t>RFQJW0054SM2026</t>
  </si>
  <si>
    <t>Advertising Services</t>
  </si>
  <si>
    <t>https://www.etenders.gov.za/home/Download/?blobName=87834623-5c76-4514-b469-506a220cbc1d.pdf&amp;downloadedFileName=RFQJW0054SM2026%20%E2%80%93%20Advertising%20Services.pdf</t>
  </si>
  <si>
    <t>RFQJW56SC26</t>
  </si>
  <si>
    <t>RFQJW56SC26 - SUPPLY AND DELIVERY OF ELECTRICAL PRESSURE SWITCH</t>
  </si>
  <si>
    <t>https://www.etenders.gov.za/home/Download/?blobName=63fabe30-0f32-4fa3-9435-29e7a4a39e48.pdf&amp;downloadedFileName=RFQJW56SC26%20-%20SUPPLY%20AND%20DELIVERY%20OF%20ELECTRICAL%20PRESSURE%20SWITCH%20.pdf</t>
  </si>
  <si>
    <t>NB 040/2026</t>
  </si>
  <si>
    <t>REQUEST FOR PROPOSAL : INTEGRATED TOURISM KNOWLEDGE SYSTEM</t>
  </si>
  <si>
    <t>Tourism</t>
  </si>
  <si>
    <t>https://www.etenders.gov.za/home/Download/?blobName=51ba91ca-c086-4500-aa1e-1349df881853.docx&amp;downloadedFileName=ADDENDUM%204%20-%20TEMPLATE%20-%20SWORN%20AFFIDAVIT%20OF%20BOTH%20EME%20AND%20QSE%20-.docx</t>
  </si>
  <si>
    <t>38/2026</t>
  </si>
  <si>
    <t>SUPPLY AND DELIVERY OF TWIN UNI-PLANT AND UNI HYDRAULIC PLANT</t>
  </si>
  <si>
    <t>JB Marks Local Municipality</t>
  </si>
  <si>
    <t>https://www.etenders.gov.za/home/Download/?blobName=75b9979c-b09f-4c11-a8b5-6f17f33982ce.pdf&amp;downloadedFileName=ADVERT%20SUPPLY%20AND%20DELIVERY%20OF%20TWIN%20UNI-PLANT%20AND%20UNI%20HYDRAULIC%20PLANT.pdf</t>
  </si>
  <si>
    <t>TPT/2026/05/0462/5683/RFQ ppa 127337</t>
  </si>
  <si>
    <t>PROVISION OF EQUIPMENT HIRE SERVICES- DUST SUPPRESSION WATER CANNON SPRAY TRUCKS FOR TPT RCB FOR A PERIOD OF 2 MONTHS.</t>
  </si>
  <si>
    <t>https://www.etenders.gov.za/home/Download/?blobName=3ba58b19-b270-4f72-98a4-0f86319239b4.pdf&amp;downloadedFileName=Dust_Suppression_Technical_Evaluation_07_May__2026.pdf</t>
  </si>
  <si>
    <t>60/2025 (Re-advert)</t>
  </si>
  <si>
    <t>APPOINTMENT OF A PANEL OF FIVE (5) SERVICE PROVIDERS FOR SUPPLY AND DELIVERY OF MGB 240 LITRE TWO WHEELED WHEELIE BINS TO JB MARKS LOCAL MUNICIPALITY, WASTE MANAGEMENT SECTION ON AN AS AND WHEN REQUIRED BASIS FOR THE PERIOD OF THREE YEARS</t>
  </si>
  <si>
    <t>https://www.etenders.gov.za/home/Download/?blobName=ad8aa93f-984f-4ab2-847f-541b005cb953.pdf&amp;downloadedFileName=BID%20DOCUMENT%20SUPPLY%20AND%20DELIVERY%20OF%20MGB%20240%20LITRE%20TWO%20WHEELED%20WHEELIE%20BINS%20%20(2).pdf</t>
  </si>
  <si>
    <t>RFQJW0055SM2026</t>
  </si>
  <si>
    <t>Supply and deliver rotameter at Flow Lab, Ffennel Road Depot</t>
  </si>
  <si>
    <t>https://www.etenders.gov.za/home/Download/?blobName=f794ca0c-5024-4ce3-a6d4-de739ec9ecce.pdf&amp;downloadedFileName=RFQJW0055SM2026%20-%20Supply%20and%20deliver%20rotameters%20at%20Flow%20Laboratory%20(005).pdf</t>
  </si>
  <si>
    <t>RFQJW097TN26</t>
  </si>
  <si>
    <t>RFQJW097TN26 - LAB REFRIGIRATORS (3 DOOR)</t>
  </si>
  <si>
    <t>https://www.etenders.gov.za/home/Download/?blobName=c9c6fe41-605e-4211-9d50-1964d384fc47.pdf&amp;downloadedFileName=RFQJW097TN26%20-%20LAB%20REFRIGIRATORS%20(3%20DOOR)-jwhoscm02.pdf</t>
  </si>
  <si>
    <t>RT284</t>
  </si>
  <si>
    <t>Industry Engagement Session for Tender RT284</t>
  </si>
  <si>
    <t>National Treasury</t>
  </si>
  <si>
    <t>Supplies: Medical</t>
  </si>
  <si>
    <t>https://www.etenders.gov.za/home/Download/?blobName=6e1c680b-64c9-4923-99f4-f73f05ef1f41.pdf&amp;downloadedFileName=RT284%20Industry%20Session%20Invitation%20Letter.pdf</t>
  </si>
  <si>
    <t>RFQ2025/26/008</t>
  </si>
  <si>
    <t>SUPPLY,DELIVERY, FITMENT AND BALANCING OF TYRES</t>
  </si>
  <si>
    <t>Kgatelopele Local Municipality</t>
  </si>
  <si>
    <t>https://www.etenders.gov.za/home/Download/?blobName=529229a6-602e-4d70-a9d8-4890cd359117.pdf&amp;downloadedFileName=RFQ%20document%20-RFQ2025-26-008.pdf</t>
  </si>
  <si>
    <t>SCM-34026</t>
  </si>
  <si>
    <t>Refuse Removal in Pretoria Office</t>
  </si>
  <si>
    <t>Human Sciences Research Council</t>
  </si>
  <si>
    <t>HSRC Building, 134 Pretorius Street, Pretoria</t>
  </si>
  <si>
    <t>https://www.etenders.gov.za/home/Download/?blobName=586e9262-60af-4d51-8824-ca8586a39c61.pdf&amp;downloadedFileName=SBD%206.1%20IN%20TERMS%20OF%20PPR2022-%20%20OCT%20-%202024%20(002).pdf</t>
  </si>
  <si>
    <t>DOH 131-2026/2027</t>
  </si>
  <si>
    <t>Appointment of a service provider for the construction of water management on the site at Erf 589, Karatara in the Western Cape.</t>
  </si>
  <si>
    <t>Health</t>
  </si>
  <si>
    <t>Specialised construction activities</t>
  </si>
  <si>
    <t>https://www.etenders.gov.za/home/Download/?blobName=6fcb1b8b-3650-4e4a-af68-32feaec4e3ac.pdf&amp;downloadedFileName=DOH131-2026.27%20KARATARA%20CLINIC_RFQ.pdf</t>
  </si>
  <si>
    <t>RFP/LAB/QUECHERS/2026/03</t>
  </si>
  <si>
    <t>SUPPLY AND DELIVERY OF QUECHERS CONSUMABLES FOR THE LABORATORY</t>
  </si>
  <si>
    <t>https://www.etenders.gov.za/home/Download/?blobName=7d2bfe61-f4dc-422a-b559-0908d38d482a.xlsx&amp;downloadedFileName=ANNEXURE%20A%20-%20PRICING%20SCHEDULE.xlsx</t>
  </si>
  <si>
    <t>RFQ 201979</t>
  </si>
  <si>
    <t>APPOINTMENT OF A SERVICE PROVIDER TO SUPPLY AND DELIVER FAN HEATERS.</t>
  </si>
  <si>
    <t>SA Bureau of Standards</t>
  </si>
  <si>
    <t>https://www.etenders.gov.za/home/Download/?blobName=131969a4-365d-499c-b58c-8bea8f266531.pdf&amp;downloadedFileName=RFQ%20201979%20Fan%20Heaters.pdf</t>
  </si>
  <si>
    <t>EMLM 25/2026.</t>
  </si>
  <si>
    <t>MANAGEMENT, OPERATIONS AND MAINTENANCE OF ROOSENEKAL LANDFILL SITE FOR A PERIOD OF 36 MONTHS (RE-ADVERT)</t>
  </si>
  <si>
    <t>Elias Motsoaledi Local Municipality</t>
  </si>
  <si>
    <t>https://www.etenders.gov.za/home/Download/?blobName=e46ba8f8-7bee-4cd2-84c9-fb6198f21604.pdf&amp;downloadedFileName=Public%20Notice%20-%20Scam%20Alert%20(1).pdf</t>
  </si>
  <si>
    <t>MHSC007/2026/2027</t>
  </si>
  <si>
    <t>APPOINTMENT OF A SERVICE PROVIDER FOR THE PROVISION OF A FULLY INTERGRATED PHYSICAL SECURITY SOLUTION FOR THE NEW MHSC BUILDING</t>
  </si>
  <si>
    <t>Online / Virtual</t>
  </si>
  <si>
    <t>https://www.etenders.gov.za/home/Download/?blobName=ce345943-acbe-4fbf-bb2f-1632d6664f8a.pdf&amp;downloadedFileName=ANNEX%209%20-%2025002-HF-ZZ-L1-DR-EE-DD-1005%20(May%202026%20UPPER%20GROUND%20WIREWAY%20LAYOUT).pdf</t>
  </si>
  <si>
    <t>10023797</t>
  </si>
  <si>
    <t>Supply of CCTV(No installation)</t>
  </si>
  <si>
    <t>https://www.etenders.gov.za/home/Download/?blobName=49fe4ed7-fdb4-48ec-a346-d0ce8cc156e6.pdf&amp;downloadedFileName=Request%20for%20quote-CCTV.pdf</t>
  </si>
  <si>
    <t>TLM10/2025/26</t>
  </si>
  <si>
    <t>SUBMISSION OF PROPOSAL FOR LEASING OF LAND FOR LOCAL ECONOMIC DEVELOPMENT – PV SOLAR FARM(S)</t>
  </si>
  <si>
    <t>Thembelihle Local Municipality</t>
  </si>
  <si>
    <t>https://www.etenders.gov.za/home/Download/?blobName=dae75574-bcf4-42fb-b4eb-490ab0ae160c.pdf&amp;downloadedFileName=TLM10_2025-26%20-%20Leasing%20of%20land%20for%20solar.pdf</t>
  </si>
  <si>
    <t>REQ0005987</t>
  </si>
  <si>
    <t>SANAS Design and Space planning</t>
  </si>
  <si>
    <t>South African National Accreditation System</t>
  </si>
  <si>
    <t>SANAS Offices,303 Libertas office park,Highway street,Equestria</t>
  </si>
  <si>
    <t>https://www.etenders.gov.za/home/Download/?blobName=2ca032df-4b42-4682-ba88-806a04b24145.pdf&amp;downloadedFileName=REQ0005987-Design%20and%20Space%20Planning.pdf</t>
  </si>
  <si>
    <t>MHSC006/2026/2027</t>
  </si>
  <si>
    <t>APPOINTMENT OF A SERVICE PROVIDER FOR THE PROVISION AND IMPLEMENTATION OF AN AUDIO-VISUAL SOLUTION AT THE NEW MHSC BUILDING</t>
  </si>
  <si>
    <t>https://www.etenders.gov.za/home/Download/?blobName=963bd021-5088-48f4-9a88-34a5a32aa6ce.pdf&amp;downloadedFileName=ANNEX%204%20-%2025002-HF-ZZ-B1-DR-EE-DD-1005%20(May%202026%20BASEMENT%20WIREWAY%20LAYOUT).pdf</t>
  </si>
  <si>
    <t>CO 26/10 O</t>
  </si>
  <si>
    <t>For the Provision of Internal Audit Assurance Consulting Services</t>
  </si>
  <si>
    <t>Majuba Tvet college</t>
  </si>
  <si>
    <t>83 Allen Street, Newcastle</t>
  </si>
  <si>
    <t>https://www.etenders.gov.za/home/Download/?blobName=444d238b-ee05-4221-8a72-6c4974140229.pdf&amp;downloadedFileName=Majuba%20College%2036x4%20(2).pdf</t>
  </si>
  <si>
    <t>HOAC-PRC-57727 CIDB</t>
  </si>
  <si>
    <t>FOR THE SUPPLY, DELIVERY AND INSTALLATION OF PARKHOMES FOR THE LABORATORY WORKSPACE ACCOMMODATION FOR THE ROLLING STOCK TECHNOLOGY DEPARTMENT.</t>
  </si>
  <si>
    <t>Railway Technology Development Centre (RTDC) Transnet Freight Rail 1000 Bluegum Avenue, Koedoespo</t>
  </si>
  <si>
    <t>https://www.etenders.gov.za/home/Download/?blobName=6949b6d7-9624-4364-9d2c-a814c5927b88.pdf&amp;downloadedFileName=1.%20RFP%20Docs-%20ECC%20Cover%20Page%20CPM%202020%20Rev%20001%20Khathu..pdf</t>
  </si>
  <si>
    <t>E0626LSERI</t>
  </si>
  <si>
    <t>Provision of Management of Driver Camera for a period of 5 years (60 months) on as and when required</t>
  </si>
  <si>
    <t>https://www.etenders.gov.za/home/Download/?blobName=fabe88dc-ec7f-42dd-9a61-bc51af31800e.pdf&amp;downloadedFileName=Drive%20Cam%20Scope%20of%20Work%2016.03.2026.pdf</t>
  </si>
  <si>
    <t>SURV026</t>
  </si>
  <si>
    <t>REQUEST FOR QUOTE FOR PROVISION OF ONCE OFF SURVEYING &amp; CONTOURING AT FLORISBAD RESEARCH STATION</t>
  </si>
  <si>
    <t>National Museum Bloemfontein</t>
  </si>
  <si>
    <t>https://www.etenders.gov.za/home/Download/?blobName=ecffd0c0-d215-4827-854b-42aff91b9559.pdf&amp;downloadedFileName=RFQ%20for%20Once%20off%20Surveying%20Services.pdf</t>
  </si>
  <si>
    <t>RFP/LAB/ACIDHYD/2026/01</t>
  </si>
  <si>
    <t>Supply, Commissioning, Servicing and Maintenance of (1) Acid Hydrolysis Fat Digestion System and Fully Automated Soxhlet System</t>
  </si>
  <si>
    <t>https://www.etenders.gov.za/home/Download/?blobName=ad52abf8-2bae-4ca6-b1d1-06e26e5e609f.pdf&amp;downloadedFileName=RFP-Acid%20Hydrolysis.pdf</t>
  </si>
  <si>
    <t>201915</t>
  </si>
  <si>
    <t>SUPPLY AND DELIVERY OF POWER SUPPLY SYSTEM WITH ACCESSORIES TO PROVIDE RIG SUPPORT AND MEASURE THE OUTPUT PARAMETERS OF ELECTRIC MOTORS</t>
  </si>
  <si>
    <t>SABS Headoffice, 1 DR Lategan Road, Groenkloof, Pretoria</t>
  </si>
  <si>
    <t>https://www.etenders.gov.za/home/Download/?blobName=9018f6c9-9cfa-4c74-91cb-2354be985284.pdf&amp;downloadedFileName=RFQ%20201915%20Supply%20and%20Delivery%20of%20Power%20Supply%20System.pdf</t>
  </si>
  <si>
    <t>RFQ NO. 010-26</t>
  </si>
  <si>
    <t>APPOINTMENT OF A SERVICE PROVIDER TO SUPPLY AND DELIVER STATIONERY TO THE NRCS CAPE TOWN (FAI) OFFICES</t>
  </si>
  <si>
    <t>https://www.etenders.gov.za/home/Download/?blobName=31d70d8a-1dc3-4891-8416-85107123d197.pdf&amp;downloadedFileName=__RFQ010-26%20Stationery%20for%20FAI.pdf</t>
  </si>
  <si>
    <t>NCR1030.05.2026</t>
  </si>
  <si>
    <t>TERMS OF REFERENCE: THE APPOINMENT OF SERVICES PROVIDER FOR PRINTING, DESIGN PRINTING AND DELIVER OF WINDOW DECALS AS &amp; WHEN REQUIRED FOR THE PERIOD OF 36 MONTH AT NATIONAL CREDIT REGULATOR</t>
  </si>
  <si>
    <t>National Credit Regulator</t>
  </si>
  <si>
    <t>Printing and reproduction of recorded media</t>
  </si>
  <si>
    <t>https://www.etenders.gov.za/home/Download/?blobName=3dfdbb2d-782d-4417-ab21-994f03350499.pdf&amp;downloadedFileName=SCM-Bid%20documents%20SBD%203.1%20(2).pdf</t>
  </si>
  <si>
    <t>E2942DXECOU</t>
  </si>
  <si>
    <t>Design, supply, installation, testing, commissioning and maintenance of the complete intelligent security and substation plant monitoring system for a pilot project.</t>
  </si>
  <si>
    <t>https://www.etenders.gov.za/home/Download/?blobName=2c81d0ad-139f-4480-b2b0-c46aef277448.zip&amp;downloadedFileName=Quality.zip</t>
  </si>
  <si>
    <t>TBH 510/2026</t>
  </si>
  <si>
    <t>TBH 510/2026: FOR THE RENDERING OF SUPPORT, ADMINISTRATIVE AND INFRASTRUCTURE MANAGEMENT SERVICES THROUGH PRIVATE PROVIDERS FOR TYGERBERG HOSPITAL AS PART OF ITS OPERATIONAL RESPONSE PLAN ON AN AD-HOC BASIS FOR A 3 (THREE) YEAR PERIOD.</t>
  </si>
  <si>
    <t>Tygerburg Hospital</t>
  </si>
  <si>
    <t>https://www.etenders.gov.za/home/Download/?blobName=1031f596-6b4e-4eee-b013-b58fd3d9232a.xlsx&amp;downloadedFileName=TBH%20510-2026%20-%20PRICING%20SCHEDULE%20FOR%20THE%20RECRUITMENT%20OF%20STAFF%20THROUGH%20AGENCY.xlsx</t>
  </si>
  <si>
    <t>UGU-06-1722-2026</t>
  </si>
  <si>
    <t>APPOINTMENT OF A PANEL OF FINANCIAL EXPERTS FOR UGU DISTRICT MUNICIPALITY ON AN AS-AND-WHEN-REQUIRED BASIS FOR A PERIOD OF THREE (3) YEARS</t>
  </si>
  <si>
    <t>Ugu Disctrict Munucipality</t>
  </si>
  <si>
    <t>Financial service activities, except insurance and pension funding</t>
  </si>
  <si>
    <t>96 MARINE DRIVE, PHASE 2 BUILDING, OLSO BEACH</t>
  </si>
  <si>
    <t>https://www.etenders.gov.za/home/Download/?blobName=fa0e21ff-ef68-4fd1-8d3a-4507ae803c13.docx&amp;downloadedFileName=UGU-06-1722-2026.docx</t>
  </si>
  <si>
    <t>COR8200/2026/RFP</t>
  </si>
  <si>
    <t>REQUEST FOR PROPOSAL FOR THE ACQUISITION OF INTEGRATED CLOUD EMAIL SECURITY SOLUTION, LICENSING AND SUPPORT FOR A PERIOD OF 36 MONTHS AT AIRPORTS COMPANY SOUTH AFRICA</t>
  </si>
  <si>
    <t>Airports Company of South Africa</t>
  </si>
  <si>
    <t>https://www.etenders.gov.za/home/Download/?blobName=64ac72ba-a537-42ab-b1da-a9770ba299c5.pdf&amp;downloadedFileName=Integrated%20Cloud%20Email%20Licences%20RFP%20-%20Final.pdf</t>
  </si>
  <si>
    <t>NDOHF 02-2026/2027</t>
  </si>
  <si>
    <t>The appointment of a service provider for the fabrication and erection of a Steel Water Tank at Dysselsdorp Clinic in the Western Cape.</t>
  </si>
  <si>
    <t>Dysselsdorp Clinic, 2262 Bokkraal Road, Dysselsdorp, Oudtshoorn Local Municipality</t>
  </si>
  <si>
    <t>https://www.etenders.gov.za/home/Download/?blobName=da97bd97-f7ae-4769-871e-e0e3e471062d.pdf&amp;downloadedFileName=Part%20C2.2%20Bill%20of%20Quantities.pdf</t>
  </si>
  <si>
    <t>RFQ-026C-25</t>
  </si>
  <si>
    <t>APPOINTMENT PROVIDER(S) FOR SERVICING, MAINTENANCE AND REPAIRS ON ASSORTED ULTRALOW TEMPERATURE FREEZERS IN SKUKUZA AND KIMBERLY LABORATORIES FOR A PERIOD OF THREE YEARS</t>
  </si>
  <si>
    <t>https://www.etenders.gov.za/home/Download/?blobName=4856c2cd-06bc-469b-9e36-00bc8d332089.pdf&amp;downloadedFileName=RFQ-026C-25.pdf</t>
  </si>
  <si>
    <t>SCM/BID 016/2025-26</t>
  </si>
  <si>
    <t>Appointment of a contractor for the upgrading of qalabotjha/villiers sports ground -refurbishment of ablution facilities</t>
  </si>
  <si>
    <t>Fezile Dabi District Municipality</t>
  </si>
  <si>
    <t>VILLIERS TOWN HALL</t>
  </si>
  <si>
    <t>https://www.etenders.gov.za/home/Download/?blobName=85531adc-49f7-40d7-952c-cd1278432400.pdf&amp;downloadedFileName=Bid%20016-2025-2026%20Upgrading%20of%20Sports%20Ground%20in%20Qalabothja-%20%20Ablution%20Facilities%20Tender%20Document%20Final.pdf</t>
  </si>
  <si>
    <t>EMLM 02/2026.</t>
  </si>
  <si>
    <t>PANEL OF A MAXIMUM OF THREE (3) SERVICE PROVIDERS TO RENDER VARIOUS TRAINING SERVICES AS AND WHEN REQUIRED FOR A PERIOD OF 36 MONTHS. (RE-ADVERT)</t>
  </si>
  <si>
    <t>https://www.etenders.gov.za/home/Download/?blobName=f558b55b-c9ca-41d8-9a68-87575516a647.pdf&amp;downloadedFileName=Public%20Notice%20-%20Scam%20Alert%20(1).pdf</t>
  </si>
  <si>
    <t>MUN002/2026</t>
  </si>
  <si>
    <t>APPOINTMENT OF A SERVICE PROVIDER FOR PROVISION OF PHYSICAL SECURITY FOR A PERIOD OF THREE (3) YEARS FROM THE DATE OF APPOINTMENT.</t>
  </si>
  <si>
    <t>https://www.etenders.gov.za/home/Download/?blobName=9dbe7a2e-1ee4-47cd-b8bf-d7acf501a334.pdf&amp;downloadedFileName=TENDER%20DOC-PROVISION%20OF%20PHYSICAL%20SECURITY%20-%20MUN001-2026%20MM-CFO%20FINAL.pdf</t>
  </si>
  <si>
    <t>NB045/2026</t>
  </si>
  <si>
    <t>REQUEST FOR QUOTATION : EMPLOYEE WELLNESS SERVICE 3 YEARS</t>
  </si>
  <si>
    <t>https://www.etenders.gov.za/home/Download/?blobName=2ead843e-9bba-4918-a41a-b6054630ef16.docx&amp;downloadedFileName=ADDENDUM%204%20-%20TEMPLATE%20-%20SWORN%20AFFIDAVIT%20OF%20BOTH%20EME%20AND%20QSE%20-.docx</t>
  </si>
  <si>
    <t>RFB 002-2026/2027</t>
  </si>
  <si>
    <t>TERMS OF REFERENCE FOR PRINTING AND DISTRIBUTION OF BRAILLE VERSION OF VUK'UZENZELE GOVERNMENT NEWSPAPER FOR A PERIOD OF THREE (3) YEARS.</t>
  </si>
  <si>
    <t>Government Communications (GCIS)</t>
  </si>
  <si>
    <t>: https://teams.microsoft.com/meet/335822608789415?p=tr9tGziTu8XrUyZW3o Meeting ID: 335 822 608 789</t>
  </si>
  <si>
    <t>https://www.etenders.gov.za/home/Download/?blobName=7adb9033-a5c5-4826-a613-39f87ccf2725.pdf&amp;downloadedFileName=RFB%20002-2026-2027%20Printing%20and%20Distribution%20of%20Braille%20Version%20of%20Vukuzenzele%20Government%20Newspaper.pdf</t>
  </si>
  <si>
    <t>RFP/2021/001422</t>
  </si>
  <si>
    <t>APPOINTMENT OF A SERVICE PROVIDER TO PROVIDE COPYWRITING, EDITING AND PROOFREADING SERVICES FOR THE STRATEGIC PLAN, ANNUAL PERFORMANCE PLAN AND ANNUAL REPORT FOR A PERIOD OF THIRTY-SIX (36) MONTHS</t>
  </si>
  <si>
    <t>https://www.etenders.gov.za/home/Download/?blobName=907541d4-eb18-492b-8a1b-35c0ad14bab3.zip&amp;downloadedFileName=RFP2021001422-ANNUAL%20REPORT.zip</t>
  </si>
  <si>
    <t>8/3/1-07/2026</t>
  </si>
  <si>
    <t>“PROVISION OF INTERNAL AUDIT SYSTEM FOR A PERIOD OF 36 MONTHS”</t>
  </si>
  <si>
    <t>Govan Mbeki Local Municipality</t>
  </si>
  <si>
    <t>https://www.etenders.gov.za/home/Download/?blobName=3e61e4ca-d0cc-4097-9f59-429820ea4c11.pdf&amp;downloadedFileName=Internal%20Audit%20System.pdf</t>
  </si>
  <si>
    <t>DOH 132-2026/2027</t>
  </si>
  <si>
    <t>Appointment of a service provider for refurbishments at Ladybrand DCR, Free State province.</t>
  </si>
  <si>
    <t>https://www.etenders.gov.za/home/Download/?blobName=31869579-7dfd-4c2f-9b52-e9c865f5473b.pdf&amp;downloadedFileName=DOH132%202026.27%20LADYBRAND%20DCR%20Refurbishment%20RFQ_.pdf</t>
  </si>
  <si>
    <t>SO/224/05/2026</t>
  </si>
  <si>
    <t>Offensive Security Certified Professional (OSCP+) training</t>
  </si>
  <si>
    <t>South African National Space Agency</t>
  </si>
  <si>
    <t>https://www.etenders.gov.za/home/Download/?blobName=3bba49be-5c60-4040-8ff3-f330e1069270.pdf&amp;downloadedFileName=SCM-F-05%20-%20Request%20for%20Quotation%20%20-%20Offensive%20Security%20Certified%20Professional.pdf</t>
  </si>
  <si>
    <t>C-BRTA/HO/2026-2027/001</t>
  </si>
  <si>
    <t>APPOINTMENT OF A SERVICE PROVIDER FOR ACQUISITION OF OFFICE SPACE FOR THE C-BRTA HEAD OFFICE</t>
  </si>
  <si>
    <t>Cross-Border Road Transport Agency</t>
  </si>
  <si>
    <t>Microsoft Teams meeting Join: https://teams.microsoft.com/meet/332148139768018?p=mDXFKsszTvkBuRtoqp</t>
  </si>
  <si>
    <t>https://www.etenders.gov.za/home/Download/?blobName=bea3e749-1a90-4490-bda4-8a8adf23079b.pdf&amp;downloadedFileName=File%20Tender%20Document-%20Office%20Space%2020%20MAY%202026.pdf</t>
  </si>
  <si>
    <t>DTP/CFP/01/AZ/04/2025</t>
  </si>
  <si>
    <t>03:00</t>
  </si>
  <si>
    <t>Call for Proposal (CFP) for the Disposal of AgriZone and LunchZone Canteen Assets and Other Equipment</t>
  </si>
  <si>
    <t>Dube Tradeport</t>
  </si>
  <si>
    <t>a. Dube Facilities Workshop Building (LunchZone Canteen assets)</t>
  </si>
  <si>
    <t>https://www.etenders.gov.za/home/Download/?blobName=ec4dd84a-7e85-429f-9b8c-f2e8624a265d.pdf&amp;downloadedFileName=Advert%20Disposal%20of%20AgriZone%20LunchZone%20assets.pdf</t>
  </si>
  <si>
    <t>E2941GXMPARN</t>
  </si>
  <si>
    <t>The provision of Reserve Feed Water Tank (RFWT) Balance Main Flow Meter Installation Project at Arnot Power Station for a period of 3 years</t>
  </si>
  <si>
    <t>https://www.etenders.gov.za/home/Download/?blobName=b9bb7545-7500-4954-b70c-7430629a6296.pdf&amp;downloadedFileName=Tender%20Advert%20Template%20RFWT%20Flow%20Meters.pdf</t>
  </si>
  <si>
    <t>FMA 0001-2026/27</t>
  </si>
  <si>
    <t>The Department of the Premier wishes to invite potential bidders to submit a bid for the procurement of social media monitoring services (excluding media monitoring) to the Western Cape Government (WCG) for the period of three years (3) (36 months)</t>
  </si>
  <si>
    <t>Western Cape - Office of the Premier</t>
  </si>
  <si>
    <t>https://www.etenders.gov.za/home/Download/?blobName=d5025abb-e7d3-4e73-a237-3617b3b1c27c.pdf&amp;downloadedFileName=FMA%200001-2026.27%20Bid%20Document.pdf</t>
  </si>
  <si>
    <t>EC CETC/HO/01/05/2026</t>
  </si>
  <si>
    <t>APPOINTMENT OF A PANEL OF SERVICE PROVIDERS FOR THE PROVISION OF LEGAL SERVICES FOR EC CET COLLEGE FOR A PERIOD OF 36 MONTHS (3 YEARS)</t>
  </si>
  <si>
    <t>Eastern Cape CET College</t>
  </si>
  <si>
    <t>https://www.etenders.gov.za/home/Download/?blobName=7f43615d-ca2d-4839-a5bb-c0c4f6a99991.pdf&amp;downloadedFileName=BID%20DOCUMENT%20EC%20CETC-HO-01-05-2026%20-%20Panel%20of%20Legal%20Services.pdf</t>
  </si>
  <si>
    <t>E2927NTCSAMWP.</t>
  </si>
  <si>
    <t>The provision of consultancy services for the definition of Synchronous Zones and Optimal Placement of Phasor Measurement Units (PMUs) for Inertia Monitoring and Tracking.</t>
  </si>
  <si>
    <t>Scientific research and development</t>
  </si>
  <si>
    <t>MS Teams, link attached on a word document in the tender advert &amp; Invitation to Tender document</t>
  </si>
  <si>
    <t>https://www.etenders.gov.za/home/Download/?blobName=edcbf829-15fa-4bd4-91af-567554ec8aec.pdf&amp;downloadedFileName=Scope%20of%20Work%20-Definition%20of%20Synchronous%20Zones%20and%20Optimal%20Placement%20of%20Phasor%20Measurement%20Units%20.pdf</t>
  </si>
  <si>
    <t>E2924CXMWP</t>
  </si>
  <si>
    <t>Expression of Interest (EOI) or Request for Information (RFI) Template. Eskom invites financial services providers to provide information on their capability to design, implement, and administer a Shared Value Group Life Insurance Programme to promote and reward physical, mental, and financial health and wellness.</t>
  </si>
  <si>
    <t>https://www.etenders.gov.za/home/Download/?blobName=ea7c69cb-c076-4e61-acbf-afa39c917547.pdf&amp;downloadedFileName=E-tendering%20Help%20Manual%20for%20supplier%20-%2027%20January%202025(1).pdf</t>
  </si>
  <si>
    <t>RFQ2025/26/009</t>
  </si>
  <si>
    <t>SUPPLY AND DELIVERY OF PROTECTIVE CLOTHING</t>
  </si>
  <si>
    <t>Supplies: Clothing/Textiles/Footwear</t>
  </si>
  <si>
    <t>https://www.etenders.gov.za/home/Download/?blobName=8a8eee3b-ddb0-41d4-8d28-f398c88ab5be.pdf&amp;downloadedFileName=Tender%20document%20-%20RFQ2025-26-009.pdf</t>
  </si>
  <si>
    <t>Source</t>
  </si>
  <si>
    <t>Number of New Tenders</t>
  </si>
  <si>
    <t>ICT Tenders</t>
  </si>
  <si>
    <t>RFQs</t>
  </si>
  <si>
    <t>Report Date</t>
  </si>
  <si>
    <t>(T) 20/05/2026</t>
  </si>
  <si>
    <t>eTenders (All)</t>
  </si>
  <si>
    <t>Eskom</t>
  </si>
  <si>
    <t>SITA</t>
  </si>
  <si>
    <t>Transnet</t>
  </si>
  <si>
    <t>JPC</t>
  </si>
  <si>
    <t>Matatiele LM</t>
  </si>
  <si>
    <t>Ntabankulu LM</t>
  </si>
  <si>
    <t>Umzimvubu LM</t>
  </si>
  <si>
    <t>Winnie Mandela LM</t>
  </si>
  <si>
    <t>Mnquma LM</t>
  </si>
  <si>
    <t>Great Kei LM</t>
  </si>
  <si>
    <t>Amahlathi LM</t>
  </si>
  <si>
    <t>Raymond Mhlaba LM</t>
  </si>
  <si>
    <t>JOSHCO</t>
  </si>
  <si>
    <t>GPL</t>
  </si>
  <si>
    <t>RAF</t>
  </si>
  <si>
    <t>MM Trading Company</t>
  </si>
  <si>
    <t>Nelson Mandela Bay MM</t>
  </si>
  <si>
    <t>Buffalo City MM</t>
  </si>
  <si>
    <t>EC DPW</t>
  </si>
  <si>
    <t>DEL</t>
  </si>
  <si>
    <t>SIU</t>
  </si>
  <si>
    <t>GDoH</t>
  </si>
  <si>
    <t>DIRCO</t>
  </si>
  <si>
    <t>CP JHB</t>
  </si>
  <si>
    <t>W JHB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</si>
</sst>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theme="10"/>
      <name val="Calibri"/>
      <family val="2"/>
      <scheme val="minor"/>
    </font>
  </fonts>
  <fills count="3">
    <fill>
      <patternFill patternType="none"/>
    </fill>
    <fill>
      <patternFill patternType="gray125"/>
    </fill>
    <fill>
      <patternFill patternType="solid">
        <fgColor rgb="FF1F4E79"/>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0" applyFont="1" applyFill="1"/>
    <xf numFmtId="14"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tenders.gov.za/home/Download/?blobName=3e758351-0dbf-42b0-bac3-71ce34cd4125.pdf&amp;downloadedFileName=Notice%2015%20of%202025.26.pdf" TargetMode="External"/><Relationship Id="rId21" Type="http://schemas.openxmlformats.org/officeDocument/2006/relationships/hyperlink" Target="https://www.etenders.gov.za/home/Download/?blobName=8c411dcd-7d36-4515-8b50-6acb7fa28e5c.pdf&amp;downloadedFileName=NRWDI%20RFQ%20for%20Laptops.pdf" TargetMode="External"/><Relationship Id="rId42" Type="http://schemas.openxmlformats.org/officeDocument/2006/relationships/hyperlink" Target="https://www.etenders.gov.za/home/Download/?blobName=d4205b2e-1df2-4909-bae5-65c2a91351b5.pdf&amp;downloadedFileName=FILE%20664%20NEW.pdf" TargetMode="External"/><Relationship Id="rId63" Type="http://schemas.openxmlformats.org/officeDocument/2006/relationships/hyperlink" Target="https://www.etenders.gov.za/home/Download/?blobName=e0712b5e-711f-4a14-ac57-a0637633a696.pdf&amp;downloadedFileName=UNIT%203%20MODULE%202%20CLARIFIER%203%20SCUM%20BOX%20REPAIR.pdf" TargetMode="External"/><Relationship Id="rId84" Type="http://schemas.openxmlformats.org/officeDocument/2006/relationships/hyperlink" Target="https://www.etenders.gov.za/home/Download/?blobName=5ea45ae1-5a3d-46d5-9ae1-c6e77ca636ee.pdf&amp;downloadedFileName=BID%20DOCUMENT%20FOR%20VIP%20CATERING%20FOR%20500%20PEOPLE%20ATTENDING%20MPONDO%20REVOLT%20docx.pdf" TargetMode="External"/><Relationship Id="rId138" Type="http://schemas.openxmlformats.org/officeDocument/2006/relationships/hyperlink" Target="https://www.etenders.gov.za/home/Download/?blobName=d22de449-a02a-4785-b887-e3c6519cc81d.pdf&amp;downloadedFileName=RFI%20-Enterprise%20Service%20Management%20Solution.pdf" TargetMode="External"/><Relationship Id="rId159" Type="http://schemas.openxmlformats.org/officeDocument/2006/relationships/hyperlink" Target="https://www.etenders.gov.za/home/Download/?blobName=dae75574-bcf4-42fb-b4eb-490ab0ae160c.pdf&amp;downloadedFileName=TLM10_2025-26%20-%20Leasing%20of%20land%20for%20solar.pdf" TargetMode="External"/><Relationship Id="rId170" Type="http://schemas.openxmlformats.org/officeDocument/2006/relationships/hyperlink" Target="https://www.etenders.gov.za/home/Download/?blobName=2c81d0ad-139f-4480-b2b0-c46aef277448.zip&amp;downloadedFileName=Quality.zip" TargetMode="External"/><Relationship Id="rId191" Type="http://schemas.openxmlformats.org/officeDocument/2006/relationships/hyperlink" Target="https://www.etenders.gov.za/home/Download/?blobName=ea7c69cb-c076-4e61-acbf-afa39c917547.pdf&amp;downloadedFileName=E-tendering%20Help%20Manual%20for%20supplier%20-%2027%20January%202025(1).pdf" TargetMode="External"/><Relationship Id="rId107" Type="http://schemas.openxmlformats.org/officeDocument/2006/relationships/hyperlink" Target="https://www.etenders.gov.za/home/Download/?blobName=2704b40a-9ab5-404e-9f7e-340b08d08c91.pdf&amp;downloadedFileName=SAQA%20RFQ-Provision%20of%20Travel%20%20Management%20Tool.pdf" TargetMode="External"/><Relationship Id="rId11" Type="http://schemas.openxmlformats.org/officeDocument/2006/relationships/hyperlink" Target="https://www.etenders.gov.za/home/Download/?blobName=162fb755-f198-4e7f-94a8-67060b6f9513.pdf&amp;downloadedFileName=BID%20DOCUMENT%20FOR%20PROCUREMENT%20OF%20TORCHES,%20PEPPER%20SPRAYS%20WITH%20POUCHES.pdf" TargetMode="External"/><Relationship Id="rId32" Type="http://schemas.openxmlformats.org/officeDocument/2006/relationships/hyperlink" Target="https://www.etenders.gov.za/home/Download/?blobName=e6ca7df1-0195-4c12-bc30-86da7d3426cc.pdf&amp;downloadedFileName=SASSA-01-26-CS-LP.pdf" TargetMode="External"/><Relationship Id="rId53" Type="http://schemas.openxmlformats.org/officeDocument/2006/relationships/hyperlink" Target="https://www.etenders.gov.za/home/Download/?blobName=ef1ccffc-dfb3-44fd-8a77-89db8ccfe2a5.pdf&amp;downloadedFileName=DQP%20172026%20LG%20%E2%80%93%20REQA60186.pdf" TargetMode="External"/><Relationship Id="rId74" Type="http://schemas.openxmlformats.org/officeDocument/2006/relationships/hyperlink" Target="https://www.etenders.gov.za/home/Download/?blobName=24b2bfa2-24fc-4f09-a264-9e4cce5afb09.pdf&amp;downloadedFileName=MLRF218-26-%20Final%20Bid%20Pack.pdf" TargetMode="External"/><Relationship Id="rId128" Type="http://schemas.openxmlformats.org/officeDocument/2006/relationships/hyperlink" Target="https://www.etenders.gov.za/home/Download/?blobName=de78ac41-4edb-44df-b3d6-f0331952886f.pdf&amp;downloadedFileName=PHP012605RFQ00000010.pdf" TargetMode="External"/><Relationship Id="rId149" Type="http://schemas.openxmlformats.org/officeDocument/2006/relationships/hyperlink" Target="https://www.etenders.gov.za/home/Download/?blobName=c9c6fe41-605e-4211-9d50-1964d384fc47.pdf&amp;downloadedFileName=RFQJW097TN26%20-%20LAB%20REFRIGIRATORS%20(3%20DOOR)-jwhoscm02.pdf" TargetMode="External"/><Relationship Id="rId5" Type="http://schemas.openxmlformats.org/officeDocument/2006/relationships/hyperlink" Target="https://www.etenders.gov.za/home/Download/?blobName=2da0cf9c-b4b6-40e6-807a-8c16c6033212.pdf&amp;downloadedFileName=2026-081%20Attachment%20for%20e-portal%20advert.pdf" TargetMode="External"/><Relationship Id="rId95" Type="http://schemas.openxmlformats.org/officeDocument/2006/relationships/hyperlink" Target="https://www.etenders.gov.za/home/Download/?blobName=5bcbc27f-744a-4322-b0ec-eb68572ead15.pdf&amp;downloadedFileName=LDEB01-2026-27.pdf" TargetMode="External"/><Relationship Id="rId160" Type="http://schemas.openxmlformats.org/officeDocument/2006/relationships/hyperlink" Target="https://www.etenders.gov.za/home/Download/?blobName=2ca032df-4b42-4682-ba88-806a04b24145.pdf&amp;downloadedFileName=REQ0005987-Design%20and%20Space%20Planning.pdf" TargetMode="External"/><Relationship Id="rId181" Type="http://schemas.openxmlformats.org/officeDocument/2006/relationships/hyperlink" Target="https://www.etenders.gov.za/home/Download/?blobName=907541d4-eb18-492b-8a1b-35c0ad14bab3.zip&amp;downloadedFileName=RFP2021001422-ANNUAL%20REPORT.zip" TargetMode="External"/><Relationship Id="rId22" Type="http://schemas.openxmlformats.org/officeDocument/2006/relationships/hyperlink" Target="https://www.etenders.gov.za/home/Download/?blobName=cfc813e9-a278-4058-ae2c-61f53b9bd1e2.pdf&amp;downloadedFileName=Tender%20Cancellation%20Letter%20Template%20-%20Wetland%20Offset.pdf" TargetMode="External"/><Relationship Id="rId43" Type="http://schemas.openxmlformats.org/officeDocument/2006/relationships/hyperlink" Target="https://www.etenders.gov.za/home/Download/?blobName=0911f351-8d14-48c4-9601-0cf42cf9a9b6.pdf&amp;downloadedFileName=Q12-1353%20DOCUMENT.pdf" TargetMode="External"/><Relationship Id="rId64" Type="http://schemas.openxmlformats.org/officeDocument/2006/relationships/hyperlink" Target="https://www.etenders.gov.za/home/Download/?blobName=46d841a0-4246-442b-a089-f51ba1623b40.pdf&amp;downloadedFileName=0010565668%20Tamper%20Evident%20Sealing%20Tape.pdf" TargetMode="External"/><Relationship Id="rId118" Type="http://schemas.openxmlformats.org/officeDocument/2006/relationships/hyperlink" Target="https://www.etenders.gov.za/home/Download/?blobName=fd9a95f6-8313-4a74-9e41-7af20dbccf38.pdf&amp;downloadedFileName=RFP%2003-05-2026-%20RRAMS%20Tender%20Document.pdf" TargetMode="External"/><Relationship Id="rId139" Type="http://schemas.openxmlformats.org/officeDocument/2006/relationships/hyperlink" Target="https://www.etenders.gov.za/home/Download/?blobName=eccbf874-2aeb-4c99-8ff1-70c8c829e2e7.pdf&amp;downloadedFileName=ADDENDUM%20FOR%20MOBILE%20TOILETS..pdf" TargetMode="External"/><Relationship Id="rId85" Type="http://schemas.openxmlformats.org/officeDocument/2006/relationships/hyperlink" Target="https://www.etenders.gov.za/home/Download/?blobName=c9884f45-65b7-4c98-a874-7dd4291a63ec.pdf&amp;downloadedFileName=SUPPLY%20OF%20HOT%20MIX%20%20DOCUMENT%20FINAL%201520252026.pdf" TargetMode="External"/><Relationship Id="rId150" Type="http://schemas.openxmlformats.org/officeDocument/2006/relationships/hyperlink" Target="https://www.etenders.gov.za/home/Download/?blobName=6e1c680b-64c9-4923-99f4-f73f05ef1f41.pdf&amp;downloadedFileName=RT284%20Industry%20Session%20Invitation%20Letter.pdf" TargetMode="External"/><Relationship Id="rId171" Type="http://schemas.openxmlformats.org/officeDocument/2006/relationships/hyperlink" Target="https://www.etenders.gov.za/home/Download/?blobName=1031f596-6b4e-4eee-b013-b58fd3d9232a.xlsx&amp;downloadedFileName=TBH%20510-2026%20-%20PRICING%20SCHEDULE%20FOR%20THE%20RECRUITMENT%20OF%20STAFF%20THROUGH%20AGENCY.xlsx" TargetMode="External"/><Relationship Id="rId192" Type="http://schemas.openxmlformats.org/officeDocument/2006/relationships/hyperlink" Target="https://www.etenders.gov.za/home/Download/?blobName=8a8eee3b-ddb0-41d4-8d28-f398c88ab5be.pdf&amp;downloadedFileName=Tender%20document%20-%20RFQ2025-26-009.pdf" TargetMode="External"/><Relationship Id="rId12" Type="http://schemas.openxmlformats.org/officeDocument/2006/relationships/hyperlink" Target="https://www.etenders.gov.za/home/Download/?blobName=203b6931-43bc-4491-862e-253edee2e4e5.pdf&amp;downloadedFileName=18-05-2026%20TENDER%20ADVERT%20-COMPLETION%20OF%20NTLANGWINI%20LOW%20LEVEL%20BRIDGE%20(%20WARD%2018).pdf" TargetMode="External"/><Relationship Id="rId33" Type="http://schemas.openxmlformats.org/officeDocument/2006/relationships/hyperlink" Target="https://www.etenders.gov.za/home/Download/?blobName=4c222714-27be-4b64-8d24-09434f1d8c57.pdf&amp;downloadedFileName=RFP-HO-04-2026-%20Labour%20Relation%20Service%20Retainer-001.pdf" TargetMode="External"/><Relationship Id="rId108" Type="http://schemas.openxmlformats.org/officeDocument/2006/relationships/hyperlink" Target="https://www.etenders.gov.za/home/Download/?blobName=1a008fb2-c400-427e-ae5f-00ced76b9e75.pdf&amp;downloadedFileName=32-726-06T%20High%20Risk%20Safety%20file%20Evaluation%20Peaking.pdf" TargetMode="External"/><Relationship Id="rId129" Type="http://schemas.openxmlformats.org/officeDocument/2006/relationships/hyperlink" Target="https://www.etenders.gov.za/home/Download/?blobName=7ef3f316-a4c7-401a-885e-257617e6c48f.pdf&amp;downloadedFileName=Iziko%20RFQ-EDU-%20Online%20Tools%20and%20Digital%20Platforms%2005-2026.pdf" TargetMode="External"/><Relationship Id="rId54" Type="http://schemas.openxmlformats.org/officeDocument/2006/relationships/hyperlink" Target="https://www.etenders.gov.za/home/Download/?blobName=aa7f6eb8-fd93-4a25-9a79-c65c2b0639c0.pdf&amp;downloadedFileName=RFP%203730-01-06-2026%20-%20Cyber%20Defence%20Capabilities.pdf" TargetMode="External"/><Relationship Id="rId75" Type="http://schemas.openxmlformats.org/officeDocument/2006/relationships/hyperlink" Target="https://www.etenders.gov.za/home/Download/?blobName=9c92deea-e82d-494b-997a-68570b6e8aa9.pdf&amp;downloadedFileName=RFQJW0051SM2026%20%E2%80%93%20SUPPLY%20AND%20INSPECTION%20OF%20CCTV%20CAMERAS%20FOR%20SEWER%20LINE%20AT%20ENNERDALE%20DEPOT.pdf" TargetMode="External"/><Relationship Id="rId96" Type="http://schemas.openxmlformats.org/officeDocument/2006/relationships/hyperlink" Target="https://www.etenders.gov.za/home/Download/?blobName=37ca14de-3fee-4c7c-9ba0-81e742389860.pdf&amp;downloadedFileName=18%20MAY.pdf" TargetMode="External"/><Relationship Id="rId140" Type="http://schemas.openxmlformats.org/officeDocument/2006/relationships/hyperlink" Target="https://www.etenders.gov.za/home/Download/?blobName=d5ec42a0-7eaa-4b61-a777-cafc05f9d1d1.pdf&amp;downloadedFileName=Advertising%20Agency%20specification%20Print%20Media%201420252026.pdf" TargetMode="External"/><Relationship Id="rId161" Type="http://schemas.openxmlformats.org/officeDocument/2006/relationships/hyperlink" Target="https://www.etenders.gov.za/home/Download/?blobName=963bd021-5088-48f4-9a88-34a5a32aa6ce.pdf&amp;downloadedFileName=ANNEX%204%20-%2025002-HF-ZZ-B1-DR-EE-DD-1005%20(May%202026%20BASEMENT%20WIREWAY%20LAYOUT).pdf" TargetMode="External"/><Relationship Id="rId182" Type="http://schemas.openxmlformats.org/officeDocument/2006/relationships/hyperlink" Target="https://www.etenders.gov.za/home/Download/?blobName=3e61e4ca-d0cc-4097-9f59-429820ea4c11.pdf&amp;downloadedFileName=Internal%20Audit%20System.pdf" TargetMode="External"/><Relationship Id="rId6" Type="http://schemas.openxmlformats.org/officeDocument/2006/relationships/hyperlink" Target="https://www.etenders.gov.za/home/Download/?blobName=d4077650-9f17-4113-9f64-519872f2bd1e.pdf&amp;downloadedFileName=SECU%2026-010%20DOCUMENT.pdf" TargetMode="External"/><Relationship Id="rId23" Type="http://schemas.openxmlformats.org/officeDocument/2006/relationships/hyperlink" Target="https://www.etenders.gov.za/home/Download/?blobName=74d3b7fb-505c-4cfa-9d15-97d1241ba161.pdf&amp;downloadedFileName=RFQ%20Grabouw.pdf" TargetMode="External"/><Relationship Id="rId119" Type="http://schemas.openxmlformats.org/officeDocument/2006/relationships/hyperlink" Target="https://www.etenders.gov.za/home/Download/?blobName=cca3aa6e-9fd9-44ab-8d91-6216e1bbe6ff.pdf&amp;downloadedFileName=DQP%20222026%20LG%20%E2%80%93%20REQA60194.pdf" TargetMode="External"/><Relationship Id="rId44" Type="http://schemas.openxmlformats.org/officeDocument/2006/relationships/hyperlink" Target="https://www.etenders.gov.za/home/Download/?blobName=90d1cf7c-d26d-4faa-93a6-998bd9b288a7.pdf&amp;downloadedFileName=QUOTE%20PACK%20-%20TENDER%20SPECIFICATION%20CITY%20DEEP%20JOHANNESBURG.pdf" TargetMode="External"/><Relationship Id="rId65" Type="http://schemas.openxmlformats.org/officeDocument/2006/relationships/hyperlink" Target="https://www.etenders.gov.za/home/Download/?blobName=559b692f-2527-4e4b-9e07-461d867c0fc5.pdf&amp;downloadedFileName=DQP%20212026%20LG%20%E2%80%93%20REQA60193.pdf" TargetMode="External"/><Relationship Id="rId86" Type="http://schemas.openxmlformats.org/officeDocument/2006/relationships/hyperlink" Target="https://www.etenders.gov.za/home/Download/?blobName=6975a3dc-8b0d-4087-be1a-567163f9dae4.zip&amp;downloadedFileName=Docs%20for%20Adv%2034%20T0N.zip" TargetMode="External"/><Relationship Id="rId130" Type="http://schemas.openxmlformats.org/officeDocument/2006/relationships/hyperlink" Target="https://www.etenders.gov.za/home/Download/?blobName=7af5b205-1526-4332-8618-b84911252f09.pdf&amp;downloadedFileName=TENDER%20DOCUMENT%20PLANT%20HIRE%20FOR%20WARD%209%20INTERNAL%20ROADS.pdf" TargetMode="External"/><Relationship Id="rId151" Type="http://schemas.openxmlformats.org/officeDocument/2006/relationships/hyperlink" Target="https://www.etenders.gov.za/home/Download/?blobName=529229a6-602e-4d70-a9d8-4890cd359117.pdf&amp;downloadedFileName=RFQ%20document%20-RFQ2025-26-008.pdf" TargetMode="External"/><Relationship Id="rId172" Type="http://schemas.openxmlformats.org/officeDocument/2006/relationships/hyperlink" Target="https://www.etenders.gov.za/home/Download/?blobName=fa0e21ff-ef68-4fd1-8d3a-4507ae803c13.docx&amp;downloadedFileName=UGU-06-1722-2026.docx" TargetMode="External"/><Relationship Id="rId13" Type="http://schemas.openxmlformats.org/officeDocument/2006/relationships/hyperlink" Target="https://www.etenders.gov.za/home/Download/?blobName=b2094674-6233-489e-a3b7-332f3b36fba3.pdf&amp;downloadedFileName=Telephone%20tender%20advert05-18-2026-151330.pdf" TargetMode="External"/><Relationship Id="rId18" Type="http://schemas.openxmlformats.org/officeDocument/2006/relationships/hyperlink" Target="https://www.etenders.gov.za/home/Download/?blobName=1b13318d-5497-4736-bc84-e088c2fcfd42.pdf&amp;downloadedFileName=Annexure%20A%20-%20Security%20Measures.pdf" TargetMode="External"/><Relationship Id="rId39" Type="http://schemas.openxmlformats.org/officeDocument/2006/relationships/hyperlink" Target="https://www.etenders.gov.za/home/Download/?blobName=dfe76ef5-0e9c-4d39-abfa-223fb6d652b9.pdf&amp;downloadedFileName=SPECS%20WINE%20BOTTLES%20AND%20CORKS%20INF012506RFQ11.pdf" TargetMode="External"/><Relationship Id="rId109" Type="http://schemas.openxmlformats.org/officeDocument/2006/relationships/hyperlink" Target="https://www.etenders.gov.za/home/Download/?blobName=8064dbc9-b443-40f4-8c8f-e12aeecefd58.docx&amp;downloadedFileName=Advert%20Annual%20Report%2019.05.2026.docx" TargetMode="External"/><Relationship Id="rId34" Type="http://schemas.openxmlformats.org/officeDocument/2006/relationships/hyperlink" Target="https://www.etenders.gov.za/home/Download/?blobName=78f9b89e-032f-47af-8fde-a159a6714d1a.pdf&amp;downloadedFileName=DQP%20202026%20LG%20%E2%80%93%20REQA60192.pdf" TargetMode="External"/><Relationship Id="rId50" Type="http://schemas.openxmlformats.org/officeDocument/2006/relationships/hyperlink" Target="https://www.etenders.gov.za/home/Download/?blobName=faa4b81e-6b79-454d-8f0e-f6556d6218e5.pdf&amp;downloadedFileName=RFQ%20189.pdf" TargetMode="External"/><Relationship Id="rId55" Type="http://schemas.openxmlformats.org/officeDocument/2006/relationships/hyperlink" Target="https://www.etenders.gov.za/home/Download/?blobName=80f8b56e-c034-4064-b31a-2f1486c3b5f7.pdf&amp;downloadedFileName=NEC%20draft-%20Catering%20&amp;%20Cleaning%20Service.Rev06-1-60.pdf" TargetMode="External"/><Relationship Id="rId76" Type="http://schemas.openxmlformats.org/officeDocument/2006/relationships/hyperlink" Target="https://www.etenders.gov.za/home/Download/?blobName=4d5e6a85-c6ce-470f-87b0-11553d33eeae.docx&amp;downloadedFileName=240-106084675%20%20Annexure%20C%203%20OHS%20Tender%20Evaluation%20Template%20(Low%20risk).docx" TargetMode="External"/><Relationship Id="rId97" Type="http://schemas.openxmlformats.org/officeDocument/2006/relationships/hyperlink" Target="https://www.etenders.gov.za/home/Download/?blobName=fbfdfcc4-8490-4826-90c5-5dfabb1268ad.pdf&amp;downloadedFileName=TORAppointment%20for%20service%20provider%20to%20provide%20vidoe%20conference%20support%20and%20maintenance%20in%20boardroom%20108%20144%20and%20145.pdf" TargetMode="External"/><Relationship Id="rId104" Type="http://schemas.openxmlformats.org/officeDocument/2006/relationships/hyperlink" Target="https://www.etenders.gov.za/home/Download/?blobName=f84bee93-65bd-46a2-b681-442b8928ee77.zip&amp;downloadedFileName=Fw__N3_Geotech_tender.zip" TargetMode="External"/><Relationship Id="rId120" Type="http://schemas.openxmlformats.org/officeDocument/2006/relationships/hyperlink" Target="https://www.etenders.gov.za/home/Download/?blobName=42c407b7-b7c2-441c-aad9-27594e1473d7.pdf&amp;downloadedFileName=RFQ%20for%20Supply%20and%20Delivery%20of%20Video%20Conferencing%20Mobile%20Screen.pdf" TargetMode="External"/><Relationship Id="rId125" Type="http://schemas.openxmlformats.org/officeDocument/2006/relationships/hyperlink" Target="https://www.etenders.gov.za/home/Download/?blobName=279fab76-a71a-4f7e-99a9-042b514c5e70.pdf&amp;downloadedFileName=RFQ%20Education%20and%20Awareness%20Workshop%20-%20Catering%20Request%20for%20Rustenburg%20-%20NW.pdf" TargetMode="External"/><Relationship Id="rId141" Type="http://schemas.openxmlformats.org/officeDocument/2006/relationships/hyperlink" Target="https://www.etenders.gov.za/home/Download/?blobName=560a539e-0939-45d3-a798-cd85955670f2.pdf&amp;downloadedFileName=Advert%2018%20May%202026.pdf" TargetMode="External"/><Relationship Id="rId146" Type="http://schemas.openxmlformats.org/officeDocument/2006/relationships/hyperlink" Target="https://www.etenders.gov.za/home/Download/?blobName=3ba58b19-b270-4f72-98a4-0f86319239b4.pdf&amp;downloadedFileName=Dust_Suppression_Technical_Evaluation_07_May__2026.pdf" TargetMode="External"/><Relationship Id="rId167" Type="http://schemas.openxmlformats.org/officeDocument/2006/relationships/hyperlink" Target="https://www.etenders.gov.za/home/Download/?blobName=9018f6c9-9cfa-4c74-91cb-2354be985284.pdf&amp;downloadedFileName=RFQ%20201915%20Supply%20and%20Delivery%20of%20Power%20Supply%20System.pdf" TargetMode="External"/><Relationship Id="rId188" Type="http://schemas.openxmlformats.org/officeDocument/2006/relationships/hyperlink" Target="https://www.etenders.gov.za/home/Download/?blobName=d5025abb-e7d3-4e73-a237-3617b3b1c27c.pdf&amp;downloadedFileName=FMA%200001-2026.27%20Bid%20Document.pdf" TargetMode="External"/><Relationship Id="rId7" Type="http://schemas.openxmlformats.org/officeDocument/2006/relationships/hyperlink" Target="https://www.etenders.gov.za/home/Download/?blobName=f8e54a24-0a99-4221-860c-8f26cd506c32.pdf&amp;downloadedFileName=Expression%20of%20Interest%20for%20Contractors.pdf" TargetMode="External"/><Relationship Id="rId71" Type="http://schemas.openxmlformats.org/officeDocument/2006/relationships/hyperlink" Target="https://www.etenders.gov.za/home/Download/?blobName=9f0c4ccb-641a-4094-8767-c7b7c4c84122.pdf&amp;downloadedFileName=Tender%20Data%20-%20Security%20Services.pdf" TargetMode="External"/><Relationship Id="rId92" Type="http://schemas.openxmlformats.org/officeDocument/2006/relationships/hyperlink" Target="https://www.etenders.gov.za/home/Download/?blobName=cce70372-f8be-47a4-aa60-251effcaaab5.pdf&amp;downloadedFileName=Invitation%20to%20Tender%20for%20the%20Provision%20of%20a%20Comprehensive%20Employee%20Assistance%20Programme%20(EAP)%20transaction.pdf" TargetMode="External"/><Relationship Id="rId162" Type="http://schemas.openxmlformats.org/officeDocument/2006/relationships/hyperlink" Target="https://www.etenders.gov.za/home/Download/?blobName=444d238b-ee05-4221-8a72-6c4974140229.pdf&amp;downloadedFileName=Majuba%20College%2036x4%20(2).pdf" TargetMode="External"/><Relationship Id="rId183" Type="http://schemas.openxmlformats.org/officeDocument/2006/relationships/hyperlink" Target="https://www.etenders.gov.za/home/Download/?blobName=31869579-7dfd-4c2f-9b52-e9c865f5473b.pdf&amp;downloadedFileName=DOH132%202026.27%20LADYBRAND%20DCR%20Refurbishment%20RFQ_.pdf" TargetMode="External"/><Relationship Id="rId2" Type="http://schemas.openxmlformats.org/officeDocument/2006/relationships/hyperlink" Target="https://www.etenders.gov.za/home/Download/?blobName=92d5a67d-a91f-4ab5-a075-681ae3ec000e.pdf&amp;downloadedFileName=RFQ%20Risk%20Calibration%20-%20Mark%20X%20Machines.pdf" TargetMode="External"/><Relationship Id="rId29" Type="http://schemas.openxmlformats.org/officeDocument/2006/relationships/hyperlink" Target="https://www.etenders.gov.za/home/Download/?blobName=a7c09eda-5625-47aa-a1c1-83ada59be118.pdf&amp;downloadedFileName=DQP%20162026%20LG%20%E2%80%93%20REQA60188.pdf" TargetMode="External"/><Relationship Id="rId24" Type="http://schemas.openxmlformats.org/officeDocument/2006/relationships/hyperlink" Target="https://www.etenders.gov.za/home/Download/?blobName=f4f34f2a-01e6-4807-9d1e-b44fb00243fc.zip&amp;downloadedFileName=FOSPHB-RFP-09-2627-ELECTRICAL%20SHUTDOWN%20WORK%202026.zip" TargetMode="External"/><Relationship Id="rId40" Type="http://schemas.openxmlformats.org/officeDocument/2006/relationships/hyperlink" Target="https://www.etenders.gov.za/home/Download/?blobName=50710f73-be2a-45af-9d59-5e5fa3af5a99.pdf&amp;downloadedFileName=Request%20For%20Quotation%20RFQ_Pit%20dewatering%20for%20a%20period%20of%205months%2018-05-2026.pdf" TargetMode="External"/><Relationship Id="rId45" Type="http://schemas.openxmlformats.org/officeDocument/2006/relationships/hyperlink" Target="https://www.etenders.gov.za/home/Download/?blobName=cefcb4df-157b-4550-abf3-0ae13c5de134.pdf&amp;downloadedFileName=ANNEXURE%20C%20Price%20Schedule%20of%20clear%20Perspex%20windowpanes%20and%20translucent%20sheets.pdf" TargetMode="External"/><Relationship Id="rId66" Type="http://schemas.openxmlformats.org/officeDocument/2006/relationships/hyperlink" Target="https://www.etenders.gov.za/home/Download/?blobName=c712dc0f-1816-4323-ad76-3a74928ce0b8.pdf&amp;downloadedFileName=JCPZ-RFQ-FM90-2025.pdf" TargetMode="External"/><Relationship Id="rId87" Type="http://schemas.openxmlformats.org/officeDocument/2006/relationships/hyperlink" Target="https://www.etenders.gov.za/home/Download/?blobName=4896fd70-98e4-4825-af1f-cc31b3b9042b.zip&amp;downloadedFileName=Docs%20for%20adv.zip" TargetMode="External"/><Relationship Id="rId110" Type="http://schemas.openxmlformats.org/officeDocument/2006/relationships/hyperlink" Target="https://www.etenders.gov.za/home/Download/?blobName=29176038-9eef-4787-94b2-eb9d38567c86.pdf&amp;downloadedFileName=TENDER%20DOC-%20APPOINTMENT%20OF%20THREE%20(3)%20SERVICE%20PROVIDERS%20FOR%20THE%20SUPPLY%20&amp;%20DELIVERY%20OF%20WATER%20&amp;%20WASTEWATER%20TREATMENT%20CHEMICALS,%20REAGENTS%20AND%20LABWARE%20FOR%20A%20PERIOD%20OF%20THREE%20(3)%20YEARS..pdf" TargetMode="External"/><Relationship Id="rId115" Type="http://schemas.openxmlformats.org/officeDocument/2006/relationships/hyperlink" Target="https://www.etenders.gov.za/home/Download/?blobName=d3ebc794-97bf-4872-b396-69806f09c902.pdf&amp;downloadedFileName=Advert%2018%20May%202026.pdf" TargetMode="External"/><Relationship Id="rId131" Type="http://schemas.openxmlformats.org/officeDocument/2006/relationships/hyperlink" Target="https://www.etenders.gov.za/home/Download/?blobName=aae84149-9a7a-4221-9518-2369e33aa552.pdf&amp;downloadedFileName=QUOTATION%20DOC%20FOR%20REMOVAL%20OF%20HOUSEHOLD%20GOODS.pdf" TargetMode="External"/><Relationship Id="rId136" Type="http://schemas.openxmlformats.org/officeDocument/2006/relationships/hyperlink" Target="https://www.etenders.gov.za/home/Download/?blobName=2ce05b14-a4ba-4433-a1d4-b6ee4677a05b.pdf&amp;downloadedFileName=Notice%2015%20of%202025.26.pdf" TargetMode="External"/><Relationship Id="rId157" Type="http://schemas.openxmlformats.org/officeDocument/2006/relationships/hyperlink" Target="https://www.etenders.gov.za/home/Download/?blobName=ce345943-acbe-4fbf-bb2f-1632d6664f8a.pdf&amp;downloadedFileName=ANNEX%209%20-%2025002-HF-ZZ-L1-DR-EE-DD-1005%20(May%202026%20UPPER%20GROUND%20WIREWAY%20LAYOUT).pdf" TargetMode="External"/><Relationship Id="rId178" Type="http://schemas.openxmlformats.org/officeDocument/2006/relationships/hyperlink" Target="https://www.etenders.gov.za/home/Download/?blobName=9dbe7a2e-1ee4-47cd-b8bf-d7acf501a334.pdf&amp;downloadedFileName=TENDER%20DOC-PROVISION%20OF%20PHYSICAL%20SECURITY%20-%20MUN001-2026%20MM-CFO%20FINAL.pdf" TargetMode="External"/><Relationship Id="rId61" Type="http://schemas.openxmlformats.org/officeDocument/2006/relationships/hyperlink" Target="https://www.etenders.gov.za/home/Download/?blobName=d7bd67e8-fc02-4dd6-b117-bcea1d8721f4.pdf&amp;downloadedFileName=NCREGIONUNIT-18052026.pdf" TargetMode="External"/><Relationship Id="rId82" Type="http://schemas.openxmlformats.org/officeDocument/2006/relationships/hyperlink" Target="https://www.etenders.gov.za/home/Download/?blobName=47f8cc1d-e0ee-4e27-8ee0-504b23c704da.pdf&amp;downloadedFileName=Employee%20Wellness%20Services%20RFP.pdf" TargetMode="External"/><Relationship Id="rId152" Type="http://schemas.openxmlformats.org/officeDocument/2006/relationships/hyperlink" Target="https://www.etenders.gov.za/home/Download/?blobName=586e9262-60af-4d51-8824-ca8586a39c61.pdf&amp;downloadedFileName=SBD%206.1%20IN%20TERMS%20OF%20PPR2022-%20%20OCT%20-%202024%20(002).pdf" TargetMode="External"/><Relationship Id="rId173" Type="http://schemas.openxmlformats.org/officeDocument/2006/relationships/hyperlink" Target="https://www.etenders.gov.za/home/Download/?blobName=64ac72ba-a537-42ab-b1da-a9770ba299c5.pdf&amp;downloadedFileName=Integrated%20Cloud%20Email%20Licences%20RFP%20-%20Final.pdf" TargetMode="External"/><Relationship Id="rId19" Type="http://schemas.openxmlformats.org/officeDocument/2006/relationships/hyperlink" Target="https://www.etenders.gov.za/home/Download/?blobName=f42418e1-dc39-4aa2-a1f4-d7bd8b093194.pdf&amp;downloadedFileName=RFQ%20144.pdf" TargetMode="External"/><Relationship Id="rId14" Type="http://schemas.openxmlformats.org/officeDocument/2006/relationships/hyperlink" Target="https://www.etenders.gov.za/home/Download/?blobName=f54073e2-f0f6-41ac-a1e8-f92d314404e5.pdf&amp;downloadedFileName=SASSA%2001-26-FAC-NW%20Leasing%20of%20office%20accomodation%20for%20SASSA%20North-West%20Region%20for%20period%20of%20five(05)%20years%20in%20Mogwase%20CBD.pdf" TargetMode="External"/><Relationship Id="rId30" Type="http://schemas.openxmlformats.org/officeDocument/2006/relationships/hyperlink" Target="https://www.etenders.gov.za/home/Download/?blobName=01f3ae46-cf5e-4f7d-8a13-fb32474ae03c.pdf&amp;downloadedFileName=RFQJW36SN26.pdf" TargetMode="External"/><Relationship Id="rId35" Type="http://schemas.openxmlformats.org/officeDocument/2006/relationships/hyperlink" Target="https://www.etenders.gov.za/home/Download/?blobName=82bde937-63ac-4671-99b1-e77920f0de37.pdf&amp;downloadedFileName=ZNT%2001-26-27%20advert.pdf" TargetMode="External"/><Relationship Id="rId56" Type="http://schemas.openxmlformats.org/officeDocument/2006/relationships/hyperlink" Target="https://www.etenders.gov.za/home/Download/?blobName=9a7c91f1-a415-4377-a396-1d24001eef92.pdf&amp;downloadedFileName=WTE1000CE.pdf" TargetMode="External"/><Relationship Id="rId77" Type="http://schemas.openxmlformats.org/officeDocument/2006/relationships/hyperlink" Target="https://www.etenders.gov.za/home/Download/?blobName=9a593aee-040d-4b9e-b66c-7d42800c9582.pdf&amp;downloadedFileName=BLOEMFONTEIN%20OFFICE%20SPACE-%20TERMS%20OF%20REFERENCE%20-%20Advert.pdf" TargetMode="External"/><Relationship Id="rId100" Type="http://schemas.openxmlformats.org/officeDocument/2006/relationships/hyperlink" Target="https://www.etenders.gov.za/home/Download/?blobName=1a381990-ddb7-4134-b057-deec9466572c.xlsx&amp;downloadedFileName=Annexure%20C1%20-%20Technical%20Compliance%20Matrix%20-%20Free%20State%20Rural%20Refresh%20Managed%20Bandwidth%20Links.xlsx" TargetMode="External"/><Relationship Id="rId105" Type="http://schemas.openxmlformats.org/officeDocument/2006/relationships/hyperlink" Target="https://www.etenders.gov.za/home/Download/?blobName=3be9e81d-07e6-47fe-93e2-2a98a1f8584c.pdf&amp;downloadedFileName=ADVERT%20UMH1692%20&amp;%20UMH1693.pdf" TargetMode="External"/><Relationship Id="rId126" Type="http://schemas.openxmlformats.org/officeDocument/2006/relationships/hyperlink" Target="https://www.etenders.gov.za/home/Download/?blobName=53d7caa9-d29a-432a-acb1-c00f1594c2f5.pdf&amp;downloadedFileName=Combined%20tender%20advert%20MO_ADM_512_25%20and%20MO_ADM_515_25.pdf" TargetMode="External"/><Relationship Id="rId147" Type="http://schemas.openxmlformats.org/officeDocument/2006/relationships/hyperlink" Target="https://www.etenders.gov.za/home/Download/?blobName=ad8aa93f-984f-4ab2-847f-541b005cb953.pdf&amp;downloadedFileName=BID%20DOCUMENT%20SUPPLY%20AND%20DELIVERY%20OF%20MGB%20240%20LITRE%20TWO%20WHEELED%20WHEELIE%20BINS%20%20(2).pdf" TargetMode="External"/><Relationship Id="rId168" Type="http://schemas.openxmlformats.org/officeDocument/2006/relationships/hyperlink" Target="https://www.etenders.gov.za/home/Download/?blobName=31d70d8a-1dc3-4891-8416-85107123d197.pdf&amp;downloadedFileName=__RFQ010-26%20Stationery%20for%20FAI.pdf" TargetMode="External"/><Relationship Id="rId8" Type="http://schemas.openxmlformats.org/officeDocument/2006/relationships/hyperlink" Target="https://www.etenders.gov.za/home/Download/?blobName=bc1c5767-4b41-4902-b7ed-6a93ee8cfcab.pdf&amp;downloadedFileName=TES%20Boiler%20Spares%2025.03.2026.pdf" TargetMode="External"/><Relationship Id="rId51" Type="http://schemas.openxmlformats.org/officeDocument/2006/relationships/hyperlink" Target="https://www.etenders.gov.za/home/Download/?blobName=6a56f104-6b65-4012-b385-d54851568f58.pdf&amp;downloadedFileName=Tender%20Multimedia%20Printers%202026.pdf" TargetMode="External"/><Relationship Id="rId72" Type="http://schemas.openxmlformats.org/officeDocument/2006/relationships/hyperlink" Target="https://www.etenders.gov.za/home/Download/?blobName=1f72c720-e288-487b-b4c3-a030fb20c4f0.zip&amp;downloadedFileName=Container%20Document%20to%20the%20market.zip" TargetMode="External"/><Relationship Id="rId93" Type="http://schemas.openxmlformats.org/officeDocument/2006/relationships/hyperlink" Target="https://www.etenders.gov.za/home/Download/?blobName=ee63f60a-9f55-4c37-83bf-0789aeff3a72.pdf&amp;downloadedFileName=BID%20DOCUMENT_%20NERSA-2627-CSM-PCP-BID004.pdf" TargetMode="External"/><Relationship Id="rId98" Type="http://schemas.openxmlformats.org/officeDocument/2006/relationships/hyperlink" Target="https://www.etenders.gov.za/home/Download/?blobName=b9e8d8f9-68ca-43dd-aef0-03cd88e208a4.pdf&amp;downloadedFileName=DQP%20142026%20LG%20%E2%80%93%20REQA60186.pdf" TargetMode="External"/><Relationship Id="rId121" Type="http://schemas.openxmlformats.org/officeDocument/2006/relationships/hyperlink" Target="https://www.etenders.gov.za/home/Download/?blobName=a76ad2d4-872a-497b-aa95-83395d96659c.pdf&amp;downloadedFileName=Pricing%20Schedule%20-%20SAP%20S4%20160426.pdf" TargetMode="External"/><Relationship Id="rId142" Type="http://schemas.openxmlformats.org/officeDocument/2006/relationships/hyperlink" Target="https://www.etenders.gov.za/home/Download/?blobName=87834623-5c76-4514-b469-506a220cbc1d.pdf&amp;downloadedFileName=RFQJW0054SM2026%20%E2%80%93%20Advertising%20Services.pdf" TargetMode="External"/><Relationship Id="rId163" Type="http://schemas.openxmlformats.org/officeDocument/2006/relationships/hyperlink" Target="https://www.etenders.gov.za/home/Download/?blobName=6949b6d7-9624-4364-9d2c-a814c5927b88.pdf&amp;downloadedFileName=1.%20RFP%20Docs-%20ECC%20Cover%20Page%20CPM%202020%20Rev%20001%20Khathu..pdf" TargetMode="External"/><Relationship Id="rId184" Type="http://schemas.openxmlformats.org/officeDocument/2006/relationships/hyperlink" Target="https://www.etenders.gov.za/home/Download/?blobName=3bba49be-5c60-4040-8ff3-f330e1069270.pdf&amp;downloadedFileName=SCM-F-05%20-%20Request%20for%20Quotation%20%20-%20Offensive%20Security%20Certified%20Professional.pdf" TargetMode="External"/><Relationship Id="rId189" Type="http://schemas.openxmlformats.org/officeDocument/2006/relationships/hyperlink" Target="https://www.etenders.gov.za/home/Download/?blobName=7f43615d-ca2d-4839-a5bb-c0c4f6a99991.pdf&amp;downloadedFileName=BID%20DOCUMENT%20EC%20CETC-HO-01-05-2026%20-%20Panel%20of%20Legal%20Services.pdf" TargetMode="External"/><Relationship Id="rId3" Type="http://schemas.openxmlformats.org/officeDocument/2006/relationships/hyperlink" Target="https://www.etenders.gov.za/home/Download/?blobName=2a227aab-ab2d-4962-9ff9-02cdcc1e8b3b.pdf&amp;downloadedFileName=RFQJW0053SM2026%20%E2%80%93%20Service%20of%20meter%20test%20equipment%20at%20Flow%20Lab,%20Ffennell%20Road%20Depot.pdf" TargetMode="External"/><Relationship Id="rId25" Type="http://schemas.openxmlformats.org/officeDocument/2006/relationships/hyperlink" Target="https://www.etenders.gov.za/home/Download/?blobName=2697f098-25db-45ad-9f20-f9529cb2cfa9.xlsx&amp;downloadedFileName=Annexure%20C_Sybrin_Pricing_Schedule_25.03.2026.xlsx" TargetMode="External"/><Relationship Id="rId46" Type="http://schemas.openxmlformats.org/officeDocument/2006/relationships/hyperlink" Target="https://www.etenders.gov.za/home/Download/?blobName=611b8d4b-83d0-4b39-83ca-ba73ba712429.pdf&amp;downloadedFileName=Letter%20to%20Extend%20validity%20period%20of%20Tender%20-%20Lab%20Chemicals.pdf" TargetMode="External"/><Relationship Id="rId67" Type="http://schemas.openxmlformats.org/officeDocument/2006/relationships/hyperlink" Target="https://www.etenders.gov.za/home/Download/?blobName=edba7b9a-c6ce-45c2-a40e-48c0a37d663c.pdf&amp;downloadedFileName=TOR%20Flexible%20Working%20Conditions%20Guidelines.pdf" TargetMode="External"/><Relationship Id="rId116" Type="http://schemas.openxmlformats.org/officeDocument/2006/relationships/hyperlink" Target="https://www.etenders.gov.za/home/Download/?blobName=9ef43707-6277-4aa3-8b28-ee1d230cb9af.pdf&amp;downloadedFileName=18%20MAY.pdf" TargetMode="External"/><Relationship Id="rId137" Type="http://schemas.openxmlformats.org/officeDocument/2006/relationships/hyperlink" Target="https://www.etenders.gov.za/home/Download/?blobName=a3927ab7-de0d-4701-a68d-b54e5c336563.pdf&amp;downloadedFileName=Request%20for%20Quotation%20MBTC-SCM%2086_2026%20_%20Development%20of%20SOPs%20for%20MBTC.pdf" TargetMode="External"/><Relationship Id="rId158" Type="http://schemas.openxmlformats.org/officeDocument/2006/relationships/hyperlink" Target="https://www.etenders.gov.za/home/Download/?blobName=49fe4ed7-fdb4-48ec-a346-d0ce8cc156e6.pdf&amp;downloadedFileName=Request%20for%20quote-CCTV.pdf" TargetMode="External"/><Relationship Id="rId20" Type="http://schemas.openxmlformats.org/officeDocument/2006/relationships/hyperlink" Target="https://www.etenders.gov.za/home/Download/?blobName=af7ec8b4-a635-4f1f-b054-b6227a6fdfd8.pdf&amp;downloadedFileName=SAST-RFQ-2026-360%20-%20Fumigation%20services%20for%2036%20months%20-%20Re-issue.pdf" TargetMode="External"/><Relationship Id="rId41" Type="http://schemas.openxmlformats.org/officeDocument/2006/relationships/hyperlink" Target="https://www.etenders.gov.za/home/Download/?blobName=1e0de177-5042-4bca-854e-830e26a04386.pdf&amp;downloadedFileName=FSDSD%20RFQ%20064%20IIASA%20TRAINING.pdf" TargetMode="External"/><Relationship Id="rId62" Type="http://schemas.openxmlformats.org/officeDocument/2006/relationships/hyperlink" Target="https://www.etenders.gov.za/home/Download/?blobName=5bc381a4-8fbf-4950-8b5f-6c5fb613171e.pdf&amp;downloadedFileName=MLRF217-26-%20Final%20Bid%20Pack.pdf" TargetMode="External"/><Relationship Id="rId83" Type="http://schemas.openxmlformats.org/officeDocument/2006/relationships/hyperlink" Target="https://www.etenders.gov.za/home/Download/?blobName=f7fa297a-eb69-4574-85d6-c304dc59ed9b.pdf&amp;downloadedFileName=Tender%20Cancellation%20Letter%20Template2%20-%20Vacuum%20trucks.pdf" TargetMode="External"/><Relationship Id="rId88" Type="http://schemas.openxmlformats.org/officeDocument/2006/relationships/hyperlink" Target="https://www.etenders.gov.za/home/Download/?blobName=ebf8f680-9d74-4ce5-bd53-d04eec654aed.pdf&amp;downloadedFileName=SASSA-02-26-CS-WC.pdf" TargetMode="External"/><Relationship Id="rId111" Type="http://schemas.openxmlformats.org/officeDocument/2006/relationships/hyperlink" Target="https://www.etenders.gov.za/home/Download/?blobName=339179ac-2f54-4b41-859c-681237eefbd8.pdf&amp;downloadedFileName=SBM%2038-25-26%20Tender%20Document.pdf" TargetMode="External"/><Relationship Id="rId132" Type="http://schemas.openxmlformats.org/officeDocument/2006/relationships/hyperlink" Target="https://www.etenders.gov.za/home/Download/?blobName=84d84940-f7e6-4ca7-9e48-3ab3e48d9fc6.pdf&amp;downloadedFileName=Erratum%20for%20Panel%20of%20Contractors%202026-27.pdf" TargetMode="External"/><Relationship Id="rId153" Type="http://schemas.openxmlformats.org/officeDocument/2006/relationships/hyperlink" Target="https://www.etenders.gov.za/home/Download/?blobName=6fcb1b8b-3650-4e4a-af68-32feaec4e3ac.pdf&amp;downloadedFileName=DOH131-2026.27%20KARATARA%20CLINIC_RFQ.pdf" TargetMode="External"/><Relationship Id="rId174" Type="http://schemas.openxmlformats.org/officeDocument/2006/relationships/hyperlink" Target="https://www.etenders.gov.za/home/Download/?blobName=da97bd97-f7ae-4769-871e-e0e3e471062d.pdf&amp;downloadedFileName=Part%20C2.2%20Bill%20of%20Quantities.pdf" TargetMode="External"/><Relationship Id="rId179" Type="http://schemas.openxmlformats.org/officeDocument/2006/relationships/hyperlink" Target="https://www.etenders.gov.za/home/Download/?blobName=2ead843e-9bba-4918-a41a-b6054630ef16.docx&amp;downloadedFileName=ADDENDUM%204%20-%20TEMPLATE%20-%20SWORN%20AFFIDAVIT%20OF%20BOTH%20EME%20AND%20QSE%20-.docx" TargetMode="External"/><Relationship Id="rId190" Type="http://schemas.openxmlformats.org/officeDocument/2006/relationships/hyperlink" Target="https://www.etenders.gov.za/home/Download/?blobName=edcbf829-15fa-4bd4-91af-567554ec8aec.pdf&amp;downloadedFileName=Scope%20of%20Work%20-Definition%20of%20Synchronous%20Zones%20and%20Optimal%20Placement%20of%20Phasor%20Measurement%20Units%20.pdf" TargetMode="External"/><Relationship Id="rId15" Type="http://schemas.openxmlformats.org/officeDocument/2006/relationships/hyperlink" Target="https://www.etenders.gov.za/home/Download/?blobName=12471aa7-ecdc-4af2-8616-f4de6c55e8fb.pdf&amp;downloadedFileName=Tender%20Data%20-%20HRM%20&amp;%20Payroll.pdf" TargetMode="External"/><Relationship Id="rId36" Type="http://schemas.openxmlformats.org/officeDocument/2006/relationships/hyperlink" Target="https://www.etenders.gov.za/home/Download/?blobName=0eee4ba2-7634-490b-a7b7-6157c9605577.pdf&amp;downloadedFileName=Eskom%20life-saving%20rules.pdf" TargetMode="External"/><Relationship Id="rId57" Type="http://schemas.openxmlformats.org/officeDocument/2006/relationships/hyperlink" Target="https://www.etenders.gov.za/home/Download/?blobName=edee94d9-215f-42fc-b370-f98064afe4b2.pdf&amp;downloadedFileName=Tender%20Document%20%20-%20ELM%20Auction.pdf" TargetMode="External"/><Relationship Id="rId106" Type="http://schemas.openxmlformats.org/officeDocument/2006/relationships/hyperlink" Target="https://www.etenders.gov.za/home/Download/?blobName=b2fd3e67-0654-4f32-95b9-68604e98a9df.pdf&amp;downloadedFileName=Technical%20Investigations%20%20Request%20for%20Information%20(RFI)%20rev%202%20%20-18%20May%202026%20.pdf" TargetMode="External"/><Relationship Id="rId127" Type="http://schemas.openxmlformats.org/officeDocument/2006/relationships/hyperlink" Target="https://www.etenders.gov.za/home/Download/?blobName=4872dbe9-5f1f-4d38-8026-eaeef2b16d4c.pdf&amp;downloadedFileName=Notice%2015%20of%202025.26.pdf" TargetMode="External"/><Relationship Id="rId10" Type="http://schemas.openxmlformats.org/officeDocument/2006/relationships/hyperlink" Target="https://www.etenders.gov.za/home/Download/?blobName=f221b56e-d030-40c6-bf75-e69f391c06d2.pdf&amp;downloadedFileName=General%20Conditions%20of%20Contract-%20Inclusion%20of%20par%2034%20CIBD.pdf" TargetMode="External"/><Relationship Id="rId31" Type="http://schemas.openxmlformats.org/officeDocument/2006/relationships/hyperlink" Target="https://www.etenders.gov.za/home/Download/?blobName=9f1d413d-051c-4650-91b1-f732f4019189.pdf&amp;downloadedFileName=Terms%20of%20Reference%20-%20Purchasing%20of%20Grocery.pdf" TargetMode="External"/><Relationship Id="rId52" Type="http://schemas.openxmlformats.org/officeDocument/2006/relationships/hyperlink" Target="https://www.etenders.gov.za/home/Download/?blobName=d257f26f-91af-4d67-89ea-2297b0133084.pdf&amp;downloadedFileName=Solicitation%20ID%20RFI_OBP001_2026_27%20Request%20for%20Information%20May%2018%202026.pdf" TargetMode="External"/><Relationship Id="rId73" Type="http://schemas.openxmlformats.org/officeDocument/2006/relationships/hyperlink" Target="https://www.etenders.gov.za/home/Download/?blobName=e1b9aa94-99f4-4985-a5c9-76324c9d68e2.pdf&amp;downloadedFileName=RFQ%202085.pdf" TargetMode="External"/><Relationship Id="rId78" Type="http://schemas.openxmlformats.org/officeDocument/2006/relationships/hyperlink" Target="https://www.etenders.gov.za/home/Download/?blobName=6a5cf8fe-8b84-4360-85e5-f0cd98cbd87c.pdf&amp;downloadedFileName=Advert%2018%20May%202026.pdf" TargetMode="External"/><Relationship Id="rId94" Type="http://schemas.openxmlformats.org/officeDocument/2006/relationships/hyperlink" Target="https://www.etenders.gov.za/home/Download/?blobName=a75bf076-4abb-47f0-952c-6785df66b0eb.pdf&amp;downloadedFileName=Advert%2018%20May%202026.pdf" TargetMode="External"/><Relationship Id="rId99" Type="http://schemas.openxmlformats.org/officeDocument/2006/relationships/hyperlink" Target="https://www.etenders.gov.za/home/Download/?blobName=b30d44c1-be74-44b0-a45f-af337c965060.pdf&amp;downloadedFileName=Advert%20for%20Primary%20WAN%20Tender%202026.pdf" TargetMode="External"/><Relationship Id="rId101" Type="http://schemas.openxmlformats.org/officeDocument/2006/relationships/hyperlink" Target="https://www.etenders.gov.za/home/Download/?blobName=88e403ea-3fea-4ec6-bec5-d6fcd386f5da.pdf&amp;downloadedFileName=Advert%20for%20Backup%20WAN%20Tender%202026.pdf" TargetMode="External"/><Relationship Id="rId122" Type="http://schemas.openxmlformats.org/officeDocument/2006/relationships/hyperlink" Target="https://www.etenders.gov.za/home/Download/?blobName=ba23056f-b108-4b98-a90f-6411aabb60d4.pdf&amp;downloadedFileName=18%20MAY.pdf" TargetMode="External"/><Relationship Id="rId143" Type="http://schemas.openxmlformats.org/officeDocument/2006/relationships/hyperlink" Target="https://www.etenders.gov.za/home/Download/?blobName=63fabe30-0f32-4fa3-9435-29e7a4a39e48.pdf&amp;downloadedFileName=RFQJW56SC26%20-%20SUPPLY%20AND%20DELIVERY%20OF%20ELECTRICAL%20PRESSURE%20SWITCH%20.pdf" TargetMode="External"/><Relationship Id="rId148" Type="http://schemas.openxmlformats.org/officeDocument/2006/relationships/hyperlink" Target="https://www.etenders.gov.za/home/Download/?blobName=f794ca0c-5024-4ce3-a6d4-de739ec9ecce.pdf&amp;downloadedFileName=RFQJW0055SM2026%20-%20Supply%20and%20deliver%20rotameters%20at%20Flow%20Laboratory%20(005).pdf" TargetMode="External"/><Relationship Id="rId164" Type="http://schemas.openxmlformats.org/officeDocument/2006/relationships/hyperlink" Target="https://www.etenders.gov.za/home/Download/?blobName=fabe88dc-ec7f-42dd-9a61-bc51af31800e.pdf&amp;downloadedFileName=Drive%20Cam%20Scope%20of%20Work%2016.03.2026.pdf" TargetMode="External"/><Relationship Id="rId169" Type="http://schemas.openxmlformats.org/officeDocument/2006/relationships/hyperlink" Target="https://www.etenders.gov.za/home/Download/?blobName=3dfdbb2d-782d-4417-ab21-994f03350499.pdf&amp;downloadedFileName=SCM-Bid%20documents%20SBD%203.1%20(2).pdf" TargetMode="External"/><Relationship Id="rId185" Type="http://schemas.openxmlformats.org/officeDocument/2006/relationships/hyperlink" Target="https://www.etenders.gov.za/home/Download/?blobName=bea3e749-1a90-4490-bda4-8a8adf23079b.pdf&amp;downloadedFileName=File%20Tender%20Document-%20Office%20Space%2020%20MAY%202026.pdf" TargetMode="External"/><Relationship Id="rId4" Type="http://schemas.openxmlformats.org/officeDocument/2006/relationships/hyperlink" Target="https://www.etenders.gov.za/home/Download/?blobName=e076bf5d-c128-4aeb-bb78-a1529e662e4c.pdf&amp;downloadedFileName=Transport%20(5).pdf" TargetMode="External"/><Relationship Id="rId9" Type="http://schemas.openxmlformats.org/officeDocument/2006/relationships/hyperlink" Target="https://www.etenders.gov.za/home/Download/?blobName=cd49ef16-8d72-4481-a265-78272a3b88dc.pdf&amp;downloadedFileName=LPT%20QUT%20004%202026%20FUMIGATION%20SERVICES.pdf" TargetMode="External"/><Relationship Id="rId180" Type="http://schemas.openxmlformats.org/officeDocument/2006/relationships/hyperlink" Target="https://www.etenders.gov.za/home/Download/?blobName=7adb9033-a5c5-4826-a613-39f87ccf2725.pdf&amp;downloadedFileName=RFB%20002-2026-2027%20Printing%20and%20Distribution%20of%20Braille%20Version%20of%20Vukuzenzele%20Government%20Newspaper.pdf" TargetMode="External"/><Relationship Id="rId26" Type="http://schemas.openxmlformats.org/officeDocument/2006/relationships/hyperlink" Target="https://www.etenders.gov.za/home/Download/?blobName=3df52742-d738-421a-bbfa-9b0f85a8e006.pdf&amp;downloadedFileName=Annexure%205a-Invitation%20Letter-RFB%203238-2026%2018052026.pdf" TargetMode="External"/><Relationship Id="rId47" Type="http://schemas.openxmlformats.org/officeDocument/2006/relationships/hyperlink" Target="https://www.etenders.gov.za/home/Download/?blobName=0c881649-ec81-4d71-97b6-aa347848f8a8.pdf&amp;downloadedFileName=RFQ%20-%2030241-TNP-2026-27.pdf" TargetMode="External"/><Relationship Id="rId68" Type="http://schemas.openxmlformats.org/officeDocument/2006/relationships/hyperlink" Target="https://www.etenders.gov.za/home/Download/?blobName=00ba3775-fd0e-4c96-827d-290e90729d41.pdf&amp;downloadedFileName=Advert%2018%20May%202026.pdf" TargetMode="External"/><Relationship Id="rId89" Type="http://schemas.openxmlformats.org/officeDocument/2006/relationships/hyperlink" Target="https://www.etenders.gov.za/home/Download/?blobName=51484578-87f5-41cb-b7e0-f4713a92d79f.pdf&amp;downloadedFileName=18%20MAY.pdf" TargetMode="External"/><Relationship Id="rId112" Type="http://schemas.openxmlformats.org/officeDocument/2006/relationships/hyperlink" Target="https://www.etenders.gov.za/home/Download/?blobName=a049c764-0bf2-4a73-9b45-dfb60412a4ea.pdf&amp;downloadedFileName=SHORT%20TERM%20INSURANCE%20AD.pdf" TargetMode="External"/><Relationship Id="rId133" Type="http://schemas.openxmlformats.org/officeDocument/2006/relationships/hyperlink" Target="https://www.etenders.gov.za/home/Download/?blobName=2f07ea4a-a802-4c74-a337-895d74ac73af.pdf&amp;downloadedFileName=Advert%2018%20May%202026.pdf" TargetMode="External"/><Relationship Id="rId154" Type="http://schemas.openxmlformats.org/officeDocument/2006/relationships/hyperlink" Target="https://www.etenders.gov.za/home/Download/?blobName=7d2bfe61-f4dc-422a-b559-0908d38d482a.xlsx&amp;downloadedFileName=ANNEXURE%20A%20-%20PRICING%20SCHEDULE.xlsx" TargetMode="External"/><Relationship Id="rId175" Type="http://schemas.openxmlformats.org/officeDocument/2006/relationships/hyperlink" Target="https://www.etenders.gov.za/home/Download/?blobName=4856c2cd-06bc-469b-9e36-00bc8d332089.pdf&amp;downloadedFileName=RFQ-026C-25.pdf" TargetMode="External"/><Relationship Id="rId16" Type="http://schemas.openxmlformats.org/officeDocument/2006/relationships/hyperlink" Target="https://www.etenders.gov.za/home/Download/?blobName=74f6f1e7-37a7-470b-88e6-bcd8d7ce16d9.pdf&amp;downloadedFileName=RFQJW112NS26-Supply,%20installation%20and%20Training%20of%20Wastewater%20Mathematical%20Modelling%20Software(18-25%20MAY.pdf" TargetMode="External"/><Relationship Id="rId37" Type="http://schemas.openxmlformats.org/officeDocument/2006/relationships/hyperlink" Target="https://www.etenders.gov.za/home/Download/?blobName=277073aa-62b7-4fb0-b755-cf2742cec093.pdf&amp;downloadedFileName=ATA%20-%20RFQ%20for%20Supply%20and%20Delivery%20of%20Colling%20Fans%20and%20Hardrives.pdf" TargetMode="External"/><Relationship Id="rId58" Type="http://schemas.openxmlformats.org/officeDocument/2006/relationships/hyperlink" Target="https://www.etenders.gov.za/home/Download/?blobName=e33ce730-8bed-42dd-af0e-e24b6275e1e5.pdf&amp;downloadedFileName=SCMU5-26-27-0016%20AMR%20INF%20PROVISION%20OF%20PROFESSIONAL%20ARCHITECTURAL%20SERVICES%20AND%20PRINCIPAL%20AGENCY%20FOR%20THE%20CONSTRUCTION%20OF%20NEWLANDS%20CLINIC.pdf" TargetMode="External"/><Relationship Id="rId79" Type="http://schemas.openxmlformats.org/officeDocument/2006/relationships/hyperlink" Target="https://www.etenders.gov.za/home/Download/?blobName=3e612a6e-20c5-47fe-a94f-ab88d226e78d.pdf&amp;downloadedFileName=18%20MAY.pdf" TargetMode="External"/><Relationship Id="rId102" Type="http://schemas.openxmlformats.org/officeDocument/2006/relationships/hyperlink" Target="https://www.etenders.gov.za/home/Download/?blobName=662df99a-05f9-476a-923a-0b82807918bc.pdf&amp;downloadedFileName=EFAC_2026_05.pdf" TargetMode="External"/><Relationship Id="rId123" Type="http://schemas.openxmlformats.org/officeDocument/2006/relationships/hyperlink" Target="https://www.etenders.gov.za/home/Download/?blobName=f42b9928-bc05-4b23-8bed-17f272486056.pdf&amp;downloadedFileName=18%20MAY.pdf" TargetMode="External"/><Relationship Id="rId144" Type="http://schemas.openxmlformats.org/officeDocument/2006/relationships/hyperlink" Target="https://www.etenders.gov.za/home/Download/?blobName=51ba91ca-c086-4500-aa1e-1349df881853.docx&amp;downloadedFileName=ADDENDUM%204%20-%20TEMPLATE%20-%20SWORN%20AFFIDAVIT%20OF%20BOTH%20EME%20AND%20QSE%20-.docx" TargetMode="External"/><Relationship Id="rId90" Type="http://schemas.openxmlformats.org/officeDocument/2006/relationships/hyperlink" Target="https://www.etenders.gov.za/home/Download/?blobName=2ebd8519-8044-4f75-a6a1-04cc464f95a8.pdf&amp;downloadedFileName=RFQ%20Abby%20Fine%20reader.pdf" TargetMode="External"/><Relationship Id="rId165" Type="http://schemas.openxmlformats.org/officeDocument/2006/relationships/hyperlink" Target="https://www.etenders.gov.za/home/Download/?blobName=ecffd0c0-d215-4827-854b-42aff91b9559.pdf&amp;downloadedFileName=RFQ%20for%20Once%20off%20Surveying%20Services.pdf" TargetMode="External"/><Relationship Id="rId186" Type="http://schemas.openxmlformats.org/officeDocument/2006/relationships/hyperlink" Target="https://www.etenders.gov.za/home/Download/?blobName=ec4dd84a-7e85-429f-9b8c-f2e8624a265d.pdf&amp;downloadedFileName=Advert%20Disposal%20of%20AgriZone%20LunchZone%20assets.pdf" TargetMode="External"/><Relationship Id="rId27" Type="http://schemas.openxmlformats.org/officeDocument/2006/relationships/hyperlink" Target="https://www.etenders.gov.za/home/Download/?blobName=c1913a2b-db57-436e-957c-fad403f66573.pdf&amp;downloadedFileName=Standard%20Bidding%20Document%20(SDB)%204.pdf" TargetMode="External"/><Relationship Id="rId48" Type="http://schemas.openxmlformats.org/officeDocument/2006/relationships/hyperlink" Target="https://www.etenders.gov.za/home/Download/?blobName=b495af31-2f2c-4351-8f33-91eb17594717.pdf&amp;downloadedFileName=RFQJW0052SM2026%20%E2%80%93%20Supply,%20deliver%20and%20install%20high-precision%20floor%20scale%20with%20display.pdf" TargetMode="External"/><Relationship Id="rId69" Type="http://schemas.openxmlformats.org/officeDocument/2006/relationships/hyperlink" Target="https://www.etenders.gov.za/home/Download/?blobName=d786dc4f-8281-41f4-8563-582c4738c95f.pdf&amp;downloadedFileName=Publication%20of%20Names%20of%20Bidders%20iro%20advertised%20Competitive%20Bids.pdf" TargetMode="External"/><Relationship Id="rId113" Type="http://schemas.openxmlformats.org/officeDocument/2006/relationships/hyperlink" Target="https://www.etenders.gov.za/home/Download/?blobName=08695dcd-9bee-4813-a695-80bdc8baecf8.pdf&amp;downloadedFileName=Q26-256DM(A)%20SUPPLY%20%20DELIVERY%20%20COMMISSIONING%20%20OF%20WIRELESS%20WI-FI%20TEMPERATURE%20DATA%20LOGGING%20SYSTEM%20WITH%20PROBES%20FOR%20UUW.pdf" TargetMode="External"/><Relationship Id="rId134" Type="http://schemas.openxmlformats.org/officeDocument/2006/relationships/hyperlink" Target="https://www.etenders.gov.za/home/Download/?blobName=aba21e67-33b2-4a05-b3e4-80a934358f6d.pdf&amp;downloadedFileName=ToR_Risk%20Management%20training_Board_Final.pdf" TargetMode="External"/><Relationship Id="rId80" Type="http://schemas.openxmlformats.org/officeDocument/2006/relationships/hyperlink" Target="https://www.etenders.gov.za/home/Download/?blobName=eea4e3ba-1e7b-4632-9c7b-80f95539c85f.pdf&amp;downloadedFileName=RFQ%20Hard%20cases%20updated.pdf" TargetMode="External"/><Relationship Id="rId155" Type="http://schemas.openxmlformats.org/officeDocument/2006/relationships/hyperlink" Target="https://www.etenders.gov.za/home/Download/?blobName=131969a4-365d-499c-b58c-8bea8f266531.pdf&amp;downloadedFileName=RFQ%20201979%20Fan%20Heaters.pdf" TargetMode="External"/><Relationship Id="rId176" Type="http://schemas.openxmlformats.org/officeDocument/2006/relationships/hyperlink" Target="https://www.etenders.gov.za/home/Download/?blobName=85531adc-49f7-40d7-952c-cd1278432400.pdf&amp;downloadedFileName=Bid%20016-2025-2026%20Upgrading%20of%20Sports%20Ground%20in%20Qalabothja-%20%20Ablution%20Facilities%20Tender%20Document%20Final.pdf" TargetMode="External"/><Relationship Id="rId17" Type="http://schemas.openxmlformats.org/officeDocument/2006/relationships/hyperlink" Target="https://www.etenders.gov.za/home/Download/?blobName=934c0a04-1f5c-4809-8486-429e03b0fd75.zip&amp;downloadedFileName=RFP2021001419-ARCHITECTURE%20ENTERPRISE.zip" TargetMode="External"/><Relationship Id="rId38" Type="http://schemas.openxmlformats.org/officeDocument/2006/relationships/hyperlink" Target="https://www.etenders.gov.za/home/Download/?blobName=f4b095fe-ffd4-4c56-a00a-dfceef02c00c.pdf&amp;downloadedFileName=TOR%20RIDE%20ON%20ROAD%20MARKING%20MACHINE.pdf" TargetMode="External"/><Relationship Id="rId59" Type="http://schemas.openxmlformats.org/officeDocument/2006/relationships/hyperlink" Target="https://www.etenders.gov.za/home/Download/?blobName=3cd569b1-f5a9-4cf0-a595-bc91c40a0da8.pdf&amp;downloadedFileName=RFQJW095TN26%20-%20LAB%20REFRIGIRATORS.pdf" TargetMode="External"/><Relationship Id="rId103" Type="http://schemas.openxmlformats.org/officeDocument/2006/relationships/hyperlink" Target="https://www.etenders.gov.za/home/Download/?blobName=5cebdac4-325b-463d-9791-7feace61ba0b.pdf&amp;downloadedFileName=RFQ%204246b%20Webcams.advert.pdf" TargetMode="External"/><Relationship Id="rId124" Type="http://schemas.openxmlformats.org/officeDocument/2006/relationships/hyperlink" Target="https://www.etenders.gov.za/home/Download/?blobName=daa0fc10-0520-4f77-adaa-56cb078540b3.pdf&amp;downloadedFileName=Suppliers%20Bidder%20List.pdf" TargetMode="External"/><Relationship Id="rId70" Type="http://schemas.openxmlformats.org/officeDocument/2006/relationships/hyperlink" Target="https://www.etenders.gov.za/home/Download/?blobName=4f99308a-f26c-4b3e-9750-3ac882cb5acf.pdf&amp;downloadedFileName=MIG%20ADVERT%202026%2027.pdf" TargetMode="External"/><Relationship Id="rId91" Type="http://schemas.openxmlformats.org/officeDocument/2006/relationships/hyperlink" Target="https://www.etenders.gov.za/home/Download/?blobName=5a59e698-813c-47e6-b17e-8d13442b637a.pdf&amp;downloadedFileName=18%20MAY.pdf" TargetMode="External"/><Relationship Id="rId145" Type="http://schemas.openxmlformats.org/officeDocument/2006/relationships/hyperlink" Target="https://www.etenders.gov.za/home/Download/?blobName=75b9979c-b09f-4c11-a8b5-6f17f33982ce.pdf&amp;downloadedFileName=ADVERT%20SUPPLY%20AND%20DELIVERY%20OF%20TWIN%20UNI-PLANT%20AND%20UNI%20HYDRAULIC%20PLANT.pdf" TargetMode="External"/><Relationship Id="rId166" Type="http://schemas.openxmlformats.org/officeDocument/2006/relationships/hyperlink" Target="https://www.etenders.gov.za/home/Download/?blobName=ad52abf8-2bae-4ca6-b1d1-06e26e5e609f.pdf&amp;downloadedFileName=RFP-Acid%20Hydrolysis.pdf" TargetMode="External"/><Relationship Id="rId187" Type="http://schemas.openxmlformats.org/officeDocument/2006/relationships/hyperlink" Target="https://www.etenders.gov.za/home/Download/?blobName=b9bb7545-7500-4954-b70c-7430629a6296.pdf&amp;downloadedFileName=Tender%20Advert%20Template%20RFWT%20Flow%20Meters.pdf" TargetMode="External"/><Relationship Id="rId1" Type="http://schemas.openxmlformats.org/officeDocument/2006/relationships/hyperlink" Target="https://www.etenders.gov.za/home/Download/?blobName=22c59f90-f466-44ed-98b2-de07b0485ccc.pdf&amp;downloadedFileName=Solicitation%20ID%20RFQ_OBP026_2026_27%20Request%20for%20Quote%20May%2018%202026%20(1).pdf" TargetMode="External"/><Relationship Id="rId28" Type="http://schemas.openxmlformats.org/officeDocument/2006/relationships/hyperlink" Target="https://www.etenders.gov.za/home/Download/?blobName=a2bbd5df-eba8-43c0-9b83-f6a3c043ab11.pdf&amp;downloadedFileName=guidelines%20for%20local%20content.pdf" TargetMode="External"/><Relationship Id="rId49" Type="http://schemas.openxmlformats.org/officeDocument/2006/relationships/hyperlink" Target="https://www.etenders.gov.za/home/Download/?blobName=237ad044-b02e-4c35-8399-bae303f168ee.pdf&amp;downloadedFileName=FINAL_AR-RFQ%202026-27%20SO%20(002).pdf" TargetMode="External"/><Relationship Id="rId114" Type="http://schemas.openxmlformats.org/officeDocument/2006/relationships/hyperlink" Target="https://www.etenders.gov.za/home/Download/?blobName=9f2e3e63-71e8-437a-b306-4665fad658d8.pdf&amp;downloadedFileName=TENDER%20DOCUMENT%20PROVISION%20OF%20THIRD-PARTY%20ELECTRICITY%20VENDING%20SYSTEM.pdf" TargetMode="External"/><Relationship Id="rId60" Type="http://schemas.openxmlformats.org/officeDocument/2006/relationships/hyperlink" Target="https://www.etenders.gov.za/home/Download/?blobName=2e15839c-814f-4a3b-b38c-b7cbc0f672e9.docx&amp;downloadedFileName=POS9767.docx" TargetMode="External"/><Relationship Id="rId81" Type="http://schemas.openxmlformats.org/officeDocument/2006/relationships/hyperlink" Target="https://www.etenders.gov.za/home/Download/?blobName=c1b6fd0f-846a-4cdf-aceb-dc7622b0ed1b.pdf&amp;downloadedFileName=Specification%20Tender%20Notice%20134-2026.pdf" TargetMode="External"/><Relationship Id="rId135" Type="http://schemas.openxmlformats.org/officeDocument/2006/relationships/hyperlink" Target="https://www.etenders.gov.za/home/Download/?blobName=fc886133-4770-477f-a051-b63cc4530daf.pdf&amp;downloadedFileName=SBM%2043%2025%2026%20%20Tender%20Document.pdf" TargetMode="External"/><Relationship Id="rId156" Type="http://schemas.openxmlformats.org/officeDocument/2006/relationships/hyperlink" Target="https://www.etenders.gov.za/home/Download/?blobName=e46ba8f8-7bee-4cd2-84c9-fb6198f21604.pdf&amp;downloadedFileName=Public%20Notice%20-%20Scam%20Alert%20(1).pdf" TargetMode="External"/><Relationship Id="rId177" Type="http://schemas.openxmlformats.org/officeDocument/2006/relationships/hyperlink" Target="https://www.etenders.gov.za/home/Download/?blobName=f558b55b-c9ca-41d8-9a68-87575516a647.pdf&amp;downloadedFileName=Public%20Notice%20-%20Scam%20Alert%2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3"/>
  <sheetViews>
    <sheetView tabSelected="1" topLeftCell="A184" workbookViewId="0"/>
  </sheetViews>
  <sheetFormatPr defaultRowHeight="14.4" x14ac:dyDescent="0.3"/>
  <cols>
    <col min="1" max="1" width="13.21875" bestFit="1" customWidth="1"/>
    <col min="4" max="4" width="18.33203125" bestFit="1" customWidth="1"/>
    <col min="5" max="5" width="14.10937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15.6" x14ac:dyDescent="0.3">
      <c r="A2" s="2">
        <v>46163</v>
      </c>
      <c r="B2">
        <v>192</v>
      </c>
      <c r="C2" t="s">
        <v>23</v>
      </c>
      <c r="D2" s="2">
        <v>46160</v>
      </c>
      <c r="E2" s="2">
        <v>46168</v>
      </c>
      <c r="F2" t="s">
        <v>24</v>
      </c>
      <c r="G2" t="s">
        <v>25</v>
      </c>
      <c r="H2" t="s">
        <v>26</v>
      </c>
      <c r="I2" t="s">
        <v>27</v>
      </c>
      <c r="J2" t="s">
        <v>28</v>
      </c>
      <c r="K2" t="s">
        <v>29</v>
      </c>
      <c r="L2" t="s">
        <v>30</v>
      </c>
      <c r="M2" t="s">
        <v>31</v>
      </c>
      <c r="N2" t="s">
        <v>30</v>
      </c>
      <c r="O2" t="s">
        <v>32</v>
      </c>
      <c r="P2" t="s">
        <v>30</v>
      </c>
      <c r="Q2" t="s">
        <v>32</v>
      </c>
      <c r="R2" s="3" t="s">
        <v>33</v>
      </c>
    </row>
    <row r="3" spans="1:23" ht="15.6" x14ac:dyDescent="0.3">
      <c r="A3" s="2">
        <v>46163</v>
      </c>
      <c r="B3">
        <v>191</v>
      </c>
      <c r="C3" t="s">
        <v>34</v>
      </c>
      <c r="D3" s="2">
        <v>46160</v>
      </c>
      <c r="E3" s="2">
        <v>46164</v>
      </c>
      <c r="F3" t="s">
        <v>24</v>
      </c>
      <c r="G3" t="s">
        <v>25</v>
      </c>
      <c r="H3" t="s">
        <v>35</v>
      </c>
      <c r="I3" t="s">
        <v>27</v>
      </c>
      <c r="J3" t="s">
        <v>36</v>
      </c>
      <c r="K3" t="s">
        <v>37</v>
      </c>
      <c r="L3" t="s">
        <v>30</v>
      </c>
      <c r="M3" t="s">
        <v>38</v>
      </c>
      <c r="N3" t="s">
        <v>39</v>
      </c>
      <c r="O3" t="s">
        <v>32</v>
      </c>
      <c r="P3" t="s">
        <v>39</v>
      </c>
      <c r="Q3" t="s">
        <v>32</v>
      </c>
      <c r="R3" s="3" t="s">
        <v>40</v>
      </c>
    </row>
    <row r="4" spans="1:23" ht="15.6" x14ac:dyDescent="0.3">
      <c r="A4" s="2">
        <v>46163</v>
      </c>
      <c r="B4">
        <v>190</v>
      </c>
      <c r="C4" t="s">
        <v>41</v>
      </c>
      <c r="D4" s="2">
        <v>46160</v>
      </c>
      <c r="E4" s="2">
        <v>46167</v>
      </c>
      <c r="F4" t="s">
        <v>42</v>
      </c>
      <c r="G4" t="s">
        <v>25</v>
      </c>
      <c r="H4" t="s">
        <v>43</v>
      </c>
      <c r="I4" t="s">
        <v>27</v>
      </c>
      <c r="J4" t="s">
        <v>44</v>
      </c>
      <c r="K4" t="s">
        <v>29</v>
      </c>
      <c r="L4" t="s">
        <v>30</v>
      </c>
      <c r="M4" t="s">
        <v>45</v>
      </c>
      <c r="N4" t="s">
        <v>30</v>
      </c>
      <c r="O4" t="s">
        <v>32</v>
      </c>
      <c r="P4" t="s">
        <v>30</v>
      </c>
      <c r="Q4" t="s">
        <v>32</v>
      </c>
      <c r="R4" s="3" t="s">
        <v>46</v>
      </c>
    </row>
    <row r="5" spans="1:23" ht="15.6" x14ac:dyDescent="0.3">
      <c r="A5" s="2">
        <v>46163</v>
      </c>
      <c r="B5">
        <v>189</v>
      </c>
      <c r="C5" t="s">
        <v>47</v>
      </c>
      <c r="D5" s="2">
        <v>46160</v>
      </c>
      <c r="E5" s="2">
        <v>46198</v>
      </c>
      <c r="F5" t="s">
        <v>24</v>
      </c>
      <c r="G5" t="s">
        <v>48</v>
      </c>
      <c r="H5" t="s">
        <v>49</v>
      </c>
      <c r="I5" t="s">
        <v>27</v>
      </c>
      <c r="J5" t="s">
        <v>50</v>
      </c>
      <c r="K5" t="s">
        <v>51</v>
      </c>
      <c r="L5" t="s">
        <v>30</v>
      </c>
      <c r="M5" t="s">
        <v>52</v>
      </c>
      <c r="N5" t="s">
        <v>39</v>
      </c>
      <c r="O5" s="2">
        <v>46168</v>
      </c>
      <c r="P5" t="s">
        <v>30</v>
      </c>
      <c r="Q5" t="s">
        <v>53</v>
      </c>
      <c r="R5" s="3" t="s">
        <v>54</v>
      </c>
    </row>
    <row r="6" spans="1:23" ht="15.6" x14ac:dyDescent="0.3">
      <c r="A6" s="2">
        <v>46163</v>
      </c>
      <c r="B6">
        <v>188</v>
      </c>
      <c r="C6" t="s">
        <v>55</v>
      </c>
      <c r="D6" s="2">
        <v>46160</v>
      </c>
      <c r="E6" s="2">
        <v>46191</v>
      </c>
      <c r="F6" t="s">
        <v>24</v>
      </c>
      <c r="G6" t="s">
        <v>48</v>
      </c>
      <c r="H6" t="s">
        <v>56</v>
      </c>
      <c r="I6" t="s">
        <v>27</v>
      </c>
      <c r="J6" t="s">
        <v>57</v>
      </c>
      <c r="K6" t="s">
        <v>58</v>
      </c>
      <c r="L6" t="s">
        <v>30</v>
      </c>
      <c r="M6" t="s">
        <v>31</v>
      </c>
      <c r="N6" t="s">
        <v>39</v>
      </c>
      <c r="O6" s="2">
        <v>46171</v>
      </c>
      <c r="P6" t="s">
        <v>39</v>
      </c>
      <c r="Q6" t="s">
        <v>59</v>
      </c>
      <c r="R6" s="3" t="s">
        <v>60</v>
      </c>
    </row>
    <row r="7" spans="1:23" ht="15.6" x14ac:dyDescent="0.3">
      <c r="A7" s="2">
        <v>46163</v>
      </c>
      <c r="B7">
        <v>187</v>
      </c>
      <c r="C7" t="s">
        <v>61</v>
      </c>
      <c r="D7" s="2">
        <v>46160</v>
      </c>
      <c r="E7" s="2">
        <v>46163</v>
      </c>
      <c r="F7" t="s">
        <v>62</v>
      </c>
      <c r="G7" t="s">
        <v>25</v>
      </c>
      <c r="H7" t="s">
        <v>63</v>
      </c>
      <c r="I7" t="s">
        <v>27</v>
      </c>
      <c r="J7" t="s">
        <v>64</v>
      </c>
      <c r="K7" t="s">
        <v>65</v>
      </c>
      <c r="L7" t="s">
        <v>30</v>
      </c>
      <c r="M7" t="s">
        <v>66</v>
      </c>
      <c r="N7" t="s">
        <v>30</v>
      </c>
      <c r="O7" t="s">
        <v>32</v>
      </c>
      <c r="P7" t="s">
        <v>30</v>
      </c>
      <c r="Q7" t="s">
        <v>32</v>
      </c>
      <c r="R7" s="3" t="s">
        <v>67</v>
      </c>
    </row>
    <row r="8" spans="1:23" ht="15.6" x14ac:dyDescent="0.3">
      <c r="A8" s="2">
        <v>46163</v>
      </c>
      <c r="B8">
        <v>186</v>
      </c>
      <c r="C8" t="s">
        <v>68</v>
      </c>
      <c r="D8" s="2">
        <v>46160</v>
      </c>
      <c r="E8" s="2">
        <v>46181</v>
      </c>
      <c r="F8" t="s">
        <v>62</v>
      </c>
      <c r="G8" t="s">
        <v>69</v>
      </c>
      <c r="H8" t="s">
        <v>70</v>
      </c>
      <c r="I8" t="s">
        <v>27</v>
      </c>
      <c r="J8" t="s">
        <v>71</v>
      </c>
      <c r="K8" t="s">
        <v>37</v>
      </c>
      <c r="L8" t="s">
        <v>30</v>
      </c>
      <c r="M8" t="s">
        <v>72</v>
      </c>
      <c r="N8" t="s">
        <v>30</v>
      </c>
      <c r="O8" t="s">
        <v>32</v>
      </c>
      <c r="P8" t="s">
        <v>30</v>
      </c>
      <c r="Q8" t="s">
        <v>32</v>
      </c>
      <c r="R8" s="3" t="s">
        <v>73</v>
      </c>
    </row>
    <row r="9" spans="1:23" ht="15.6" x14ac:dyDescent="0.3">
      <c r="A9" s="2">
        <v>46163</v>
      </c>
      <c r="B9">
        <v>185</v>
      </c>
      <c r="C9" t="s">
        <v>74</v>
      </c>
      <c r="D9" s="2">
        <v>46160</v>
      </c>
      <c r="E9" s="2">
        <v>46174</v>
      </c>
      <c r="F9" t="s">
        <v>75</v>
      </c>
      <c r="G9" t="s">
        <v>25</v>
      </c>
      <c r="H9" t="s">
        <v>76</v>
      </c>
      <c r="I9" t="s">
        <v>27</v>
      </c>
      <c r="J9" t="s">
        <v>77</v>
      </c>
      <c r="K9" t="s">
        <v>51</v>
      </c>
      <c r="L9" t="s">
        <v>30</v>
      </c>
      <c r="M9" t="s">
        <v>78</v>
      </c>
      <c r="N9" t="s">
        <v>39</v>
      </c>
      <c r="O9" t="s">
        <v>32</v>
      </c>
      <c r="P9" t="s">
        <v>39</v>
      </c>
      <c r="Q9" t="s">
        <v>79</v>
      </c>
      <c r="R9" s="3" t="s">
        <v>80</v>
      </c>
    </row>
    <row r="10" spans="1:23" ht="15.6" x14ac:dyDescent="0.3">
      <c r="A10" s="2">
        <v>46163</v>
      </c>
      <c r="B10">
        <v>184</v>
      </c>
      <c r="C10" t="s">
        <v>81</v>
      </c>
      <c r="D10" s="2">
        <v>46160</v>
      </c>
      <c r="E10" s="2">
        <v>46178</v>
      </c>
      <c r="F10" t="s">
        <v>62</v>
      </c>
      <c r="G10" t="s">
        <v>25</v>
      </c>
      <c r="H10" t="s">
        <v>82</v>
      </c>
      <c r="I10" t="s">
        <v>27</v>
      </c>
      <c r="J10" t="s">
        <v>83</v>
      </c>
      <c r="K10" t="s">
        <v>84</v>
      </c>
      <c r="L10" t="s">
        <v>30</v>
      </c>
      <c r="M10" t="s">
        <v>85</v>
      </c>
      <c r="N10" t="s">
        <v>39</v>
      </c>
      <c r="O10" s="2">
        <v>46170</v>
      </c>
      <c r="P10" t="s">
        <v>39</v>
      </c>
      <c r="Q10" t="s">
        <v>86</v>
      </c>
      <c r="R10" s="3" t="s">
        <v>87</v>
      </c>
    </row>
    <row r="11" spans="1:23" ht="15.6" x14ac:dyDescent="0.3">
      <c r="A11" s="2">
        <v>46163</v>
      </c>
      <c r="B11">
        <v>183</v>
      </c>
      <c r="C11" t="s">
        <v>88</v>
      </c>
      <c r="D11" s="2">
        <v>46160</v>
      </c>
      <c r="E11" s="2">
        <v>46178</v>
      </c>
      <c r="F11" t="s">
        <v>62</v>
      </c>
      <c r="G11" t="s">
        <v>25</v>
      </c>
      <c r="H11" t="s">
        <v>89</v>
      </c>
      <c r="I11" t="s">
        <v>27</v>
      </c>
      <c r="J11" t="s">
        <v>90</v>
      </c>
      <c r="K11" t="s">
        <v>91</v>
      </c>
      <c r="L11" t="s">
        <v>30</v>
      </c>
      <c r="M11" t="s">
        <v>92</v>
      </c>
      <c r="N11" t="s">
        <v>30</v>
      </c>
      <c r="O11" t="s">
        <v>32</v>
      </c>
      <c r="P11" t="s">
        <v>30</v>
      </c>
      <c r="Q11" t="s">
        <v>32</v>
      </c>
      <c r="R11" s="3" t="s">
        <v>93</v>
      </c>
    </row>
    <row r="12" spans="1:23" ht="15.6" x14ac:dyDescent="0.3">
      <c r="A12" s="2">
        <v>46163</v>
      </c>
      <c r="B12">
        <v>182</v>
      </c>
      <c r="C12" t="s">
        <v>94</v>
      </c>
      <c r="D12" s="2">
        <v>46160</v>
      </c>
      <c r="E12" s="2">
        <v>46169</v>
      </c>
      <c r="F12" t="s">
        <v>24</v>
      </c>
      <c r="G12" t="s">
        <v>25</v>
      </c>
      <c r="H12" t="s">
        <v>95</v>
      </c>
      <c r="I12" t="s">
        <v>27</v>
      </c>
      <c r="J12" t="s">
        <v>96</v>
      </c>
      <c r="K12" t="s">
        <v>37</v>
      </c>
      <c r="L12" t="s">
        <v>30</v>
      </c>
      <c r="M12" t="s">
        <v>78</v>
      </c>
      <c r="N12" t="s">
        <v>30</v>
      </c>
      <c r="O12" t="s">
        <v>32</v>
      </c>
      <c r="P12" t="s">
        <v>30</v>
      </c>
      <c r="Q12" t="s">
        <v>32</v>
      </c>
      <c r="R12" s="3" t="s">
        <v>97</v>
      </c>
    </row>
    <row r="13" spans="1:23" ht="15.6" x14ac:dyDescent="0.3">
      <c r="A13" s="2">
        <v>46163</v>
      </c>
      <c r="B13">
        <v>181</v>
      </c>
      <c r="C13" t="s">
        <v>98</v>
      </c>
      <c r="D13" s="2">
        <v>46160</v>
      </c>
      <c r="E13" s="2">
        <v>46178</v>
      </c>
      <c r="F13" t="s">
        <v>24</v>
      </c>
      <c r="G13" t="s">
        <v>48</v>
      </c>
      <c r="H13" t="s">
        <v>99</v>
      </c>
      <c r="I13" t="s">
        <v>27</v>
      </c>
      <c r="J13" t="s">
        <v>100</v>
      </c>
      <c r="K13" t="s">
        <v>91</v>
      </c>
      <c r="L13" t="s">
        <v>30</v>
      </c>
      <c r="M13" t="s">
        <v>72</v>
      </c>
      <c r="N13" t="s">
        <v>39</v>
      </c>
      <c r="O13" s="2">
        <v>46171</v>
      </c>
      <c r="P13" t="s">
        <v>39</v>
      </c>
      <c r="Q13" t="s">
        <v>101</v>
      </c>
      <c r="R13" s="3" t="s">
        <v>102</v>
      </c>
    </row>
    <row r="14" spans="1:23" ht="15.6" x14ac:dyDescent="0.3">
      <c r="A14" s="2">
        <v>46163</v>
      </c>
      <c r="B14">
        <v>180</v>
      </c>
      <c r="C14" t="s">
        <v>103</v>
      </c>
      <c r="D14" s="2">
        <v>46160</v>
      </c>
      <c r="E14" s="2">
        <v>46191</v>
      </c>
      <c r="F14" t="s">
        <v>62</v>
      </c>
      <c r="G14" t="s">
        <v>48</v>
      </c>
      <c r="H14" t="s">
        <v>104</v>
      </c>
      <c r="I14" t="s">
        <v>27</v>
      </c>
      <c r="J14" t="s">
        <v>105</v>
      </c>
      <c r="K14" t="s">
        <v>84</v>
      </c>
      <c r="L14" t="s">
        <v>30</v>
      </c>
      <c r="M14" t="s">
        <v>106</v>
      </c>
      <c r="N14" t="s">
        <v>30</v>
      </c>
      <c r="O14" t="s">
        <v>32</v>
      </c>
      <c r="P14" t="s">
        <v>30</v>
      </c>
      <c r="Q14" t="s">
        <v>32</v>
      </c>
      <c r="R14" s="3" t="s">
        <v>107</v>
      </c>
    </row>
    <row r="15" spans="1:23" ht="15.6" x14ac:dyDescent="0.3">
      <c r="A15" s="2">
        <v>46163</v>
      </c>
      <c r="B15">
        <v>179</v>
      </c>
      <c r="C15" t="s">
        <v>108</v>
      </c>
      <c r="D15" s="2">
        <v>46160</v>
      </c>
      <c r="E15" s="2">
        <v>46183</v>
      </c>
      <c r="F15" t="s">
        <v>62</v>
      </c>
      <c r="G15" t="s">
        <v>109</v>
      </c>
      <c r="H15" t="s">
        <v>110</v>
      </c>
      <c r="I15" t="s">
        <v>27</v>
      </c>
      <c r="J15" t="s">
        <v>111</v>
      </c>
      <c r="K15" t="s">
        <v>112</v>
      </c>
      <c r="L15" t="s">
        <v>30</v>
      </c>
      <c r="M15" t="s">
        <v>113</v>
      </c>
      <c r="N15" t="s">
        <v>30</v>
      </c>
      <c r="O15" t="s">
        <v>32</v>
      </c>
      <c r="P15" t="s">
        <v>30</v>
      </c>
      <c r="Q15" t="s">
        <v>32</v>
      </c>
      <c r="R15" s="3" t="s">
        <v>114</v>
      </c>
    </row>
    <row r="16" spans="1:23" ht="15.6" x14ac:dyDescent="0.3">
      <c r="A16" s="2">
        <v>46163</v>
      </c>
      <c r="B16">
        <v>178</v>
      </c>
      <c r="C16" t="s">
        <v>115</v>
      </c>
      <c r="D16" s="2">
        <v>46160</v>
      </c>
      <c r="E16" s="2">
        <v>46188</v>
      </c>
      <c r="F16" t="s">
        <v>24</v>
      </c>
      <c r="G16" t="s">
        <v>48</v>
      </c>
      <c r="H16" t="s">
        <v>116</v>
      </c>
      <c r="I16" t="s">
        <v>27</v>
      </c>
      <c r="J16" t="s">
        <v>117</v>
      </c>
      <c r="K16" t="s">
        <v>51</v>
      </c>
      <c r="L16" t="s">
        <v>30</v>
      </c>
      <c r="M16" t="s">
        <v>31</v>
      </c>
      <c r="N16" t="s">
        <v>30</v>
      </c>
      <c r="O16" t="s">
        <v>32</v>
      </c>
      <c r="P16" t="s">
        <v>30</v>
      </c>
      <c r="Q16" t="s">
        <v>32</v>
      </c>
      <c r="R16" s="3" t="s">
        <v>118</v>
      </c>
    </row>
    <row r="17" spans="1:18" ht="15.6" x14ac:dyDescent="0.3">
      <c r="A17" s="2">
        <v>46163</v>
      </c>
      <c r="B17">
        <v>177</v>
      </c>
      <c r="C17" t="s">
        <v>119</v>
      </c>
      <c r="D17" s="2">
        <v>46160</v>
      </c>
      <c r="E17" s="2">
        <v>46167</v>
      </c>
      <c r="F17" t="s">
        <v>42</v>
      </c>
      <c r="G17" t="s">
        <v>25</v>
      </c>
      <c r="H17" t="s">
        <v>120</v>
      </c>
      <c r="I17" t="s">
        <v>27</v>
      </c>
      <c r="J17" t="s">
        <v>44</v>
      </c>
      <c r="K17" t="s">
        <v>29</v>
      </c>
      <c r="L17" t="s">
        <v>30</v>
      </c>
      <c r="M17" t="s">
        <v>121</v>
      </c>
      <c r="N17" t="s">
        <v>30</v>
      </c>
      <c r="O17" t="s">
        <v>32</v>
      </c>
      <c r="P17" t="s">
        <v>30</v>
      </c>
      <c r="Q17" t="s">
        <v>32</v>
      </c>
      <c r="R17" s="3" t="s">
        <v>122</v>
      </c>
    </row>
    <row r="18" spans="1:18" ht="15.6" x14ac:dyDescent="0.3">
      <c r="A18" s="2">
        <v>46163</v>
      </c>
      <c r="B18">
        <v>176</v>
      </c>
      <c r="C18" t="s">
        <v>123</v>
      </c>
      <c r="D18" s="2">
        <v>46160</v>
      </c>
      <c r="E18" s="2">
        <v>46174</v>
      </c>
      <c r="F18" t="s">
        <v>62</v>
      </c>
      <c r="G18" t="s">
        <v>25</v>
      </c>
      <c r="H18" t="s">
        <v>124</v>
      </c>
      <c r="I18" t="s">
        <v>27</v>
      </c>
      <c r="J18" t="s">
        <v>125</v>
      </c>
      <c r="K18" t="s">
        <v>29</v>
      </c>
      <c r="L18" t="s">
        <v>30</v>
      </c>
      <c r="M18" t="s">
        <v>31</v>
      </c>
      <c r="N18" t="s">
        <v>39</v>
      </c>
      <c r="O18" s="2">
        <v>46167</v>
      </c>
      <c r="P18" t="s">
        <v>39</v>
      </c>
      <c r="Q18" t="s">
        <v>126</v>
      </c>
      <c r="R18" s="3" t="s">
        <v>127</v>
      </c>
    </row>
    <row r="19" spans="1:18" ht="15.6" x14ac:dyDescent="0.3">
      <c r="A19" s="2">
        <v>46163</v>
      </c>
      <c r="B19">
        <v>175</v>
      </c>
      <c r="C19" t="s">
        <v>128</v>
      </c>
      <c r="D19" s="2">
        <v>46160</v>
      </c>
      <c r="E19" s="2">
        <v>46164</v>
      </c>
      <c r="F19" t="s">
        <v>129</v>
      </c>
      <c r="G19" t="s">
        <v>25</v>
      </c>
      <c r="H19" t="s">
        <v>130</v>
      </c>
      <c r="I19" t="s">
        <v>27</v>
      </c>
      <c r="J19" t="s">
        <v>131</v>
      </c>
      <c r="K19" t="s">
        <v>29</v>
      </c>
      <c r="L19" t="s">
        <v>30</v>
      </c>
      <c r="M19" t="s">
        <v>31</v>
      </c>
      <c r="N19" t="s">
        <v>30</v>
      </c>
      <c r="O19" t="s">
        <v>32</v>
      </c>
      <c r="P19" t="s">
        <v>30</v>
      </c>
      <c r="Q19" t="s">
        <v>32</v>
      </c>
      <c r="R19" s="3" t="s">
        <v>132</v>
      </c>
    </row>
    <row r="20" spans="1:18" ht="15.6" x14ac:dyDescent="0.3">
      <c r="A20" s="2">
        <v>46163</v>
      </c>
      <c r="B20">
        <v>174</v>
      </c>
      <c r="C20" t="s">
        <v>133</v>
      </c>
      <c r="D20" s="2">
        <v>46160</v>
      </c>
      <c r="E20" s="2">
        <v>46168</v>
      </c>
      <c r="F20" t="s">
        <v>24</v>
      </c>
      <c r="G20" t="s">
        <v>25</v>
      </c>
      <c r="H20" t="s">
        <v>134</v>
      </c>
      <c r="I20" t="s">
        <v>27</v>
      </c>
      <c r="J20" t="s">
        <v>135</v>
      </c>
      <c r="K20" t="s">
        <v>29</v>
      </c>
      <c r="L20" t="s">
        <v>30</v>
      </c>
      <c r="M20" t="s">
        <v>136</v>
      </c>
      <c r="N20" t="s">
        <v>30</v>
      </c>
      <c r="O20" t="s">
        <v>32</v>
      </c>
      <c r="P20" t="s">
        <v>30</v>
      </c>
      <c r="Q20" t="s">
        <v>32</v>
      </c>
      <c r="R20" s="3" t="s">
        <v>137</v>
      </c>
    </row>
    <row r="21" spans="1:18" ht="15.6" x14ac:dyDescent="0.3">
      <c r="A21" s="2">
        <v>46163</v>
      </c>
      <c r="B21">
        <v>173</v>
      </c>
      <c r="C21" t="s">
        <v>138</v>
      </c>
      <c r="D21" s="2">
        <v>46160</v>
      </c>
      <c r="E21" s="2">
        <v>46171</v>
      </c>
      <c r="F21" t="s">
        <v>62</v>
      </c>
      <c r="G21" t="s">
        <v>25</v>
      </c>
      <c r="H21" t="s">
        <v>139</v>
      </c>
      <c r="I21" t="s">
        <v>27</v>
      </c>
      <c r="J21" t="s">
        <v>140</v>
      </c>
      <c r="K21" t="s">
        <v>29</v>
      </c>
      <c r="L21" t="s">
        <v>30</v>
      </c>
      <c r="M21" t="s">
        <v>45</v>
      </c>
      <c r="N21" t="s">
        <v>30</v>
      </c>
      <c r="O21" t="s">
        <v>32</v>
      </c>
      <c r="P21" t="s">
        <v>30</v>
      </c>
      <c r="Q21" t="s">
        <v>32</v>
      </c>
      <c r="R21" s="3" t="s">
        <v>141</v>
      </c>
    </row>
    <row r="22" spans="1:18" ht="15.6" x14ac:dyDescent="0.3">
      <c r="A22" s="2">
        <v>46163</v>
      </c>
      <c r="B22">
        <v>172</v>
      </c>
      <c r="C22" t="s">
        <v>142</v>
      </c>
      <c r="D22" s="2">
        <v>46160</v>
      </c>
      <c r="E22" s="2">
        <v>46163</v>
      </c>
      <c r="F22" t="s">
        <v>143</v>
      </c>
      <c r="G22" t="s">
        <v>25</v>
      </c>
      <c r="H22" t="s">
        <v>144</v>
      </c>
      <c r="I22" t="s">
        <v>27</v>
      </c>
      <c r="J22" t="s">
        <v>145</v>
      </c>
      <c r="K22" t="s">
        <v>112</v>
      </c>
      <c r="L22" t="s">
        <v>30</v>
      </c>
      <c r="M22" t="s">
        <v>146</v>
      </c>
      <c r="N22" t="s">
        <v>30</v>
      </c>
      <c r="O22" t="s">
        <v>32</v>
      </c>
      <c r="P22" t="s">
        <v>30</v>
      </c>
      <c r="Q22" t="s">
        <v>32</v>
      </c>
      <c r="R22" s="3" t="s">
        <v>147</v>
      </c>
    </row>
    <row r="23" spans="1:18" ht="15.6" x14ac:dyDescent="0.3">
      <c r="A23" s="2">
        <v>46163</v>
      </c>
      <c r="B23">
        <v>171</v>
      </c>
      <c r="C23" t="s">
        <v>148</v>
      </c>
      <c r="D23" s="2">
        <v>46160</v>
      </c>
      <c r="E23" s="2">
        <v>46203</v>
      </c>
      <c r="F23" t="s">
        <v>62</v>
      </c>
      <c r="G23" t="s">
        <v>48</v>
      </c>
      <c r="H23" t="s">
        <v>149</v>
      </c>
      <c r="I23" t="s">
        <v>27</v>
      </c>
      <c r="J23" t="s">
        <v>77</v>
      </c>
      <c r="K23" t="s">
        <v>51</v>
      </c>
      <c r="L23" t="s">
        <v>30</v>
      </c>
      <c r="M23" t="s">
        <v>150</v>
      </c>
      <c r="N23" t="s">
        <v>30</v>
      </c>
      <c r="O23" t="s">
        <v>32</v>
      </c>
      <c r="P23" t="s">
        <v>30</v>
      </c>
      <c r="Q23" t="s">
        <v>32</v>
      </c>
      <c r="R23" s="3" t="s">
        <v>151</v>
      </c>
    </row>
    <row r="24" spans="1:18" ht="15.6" x14ac:dyDescent="0.3">
      <c r="A24" s="2">
        <v>46163</v>
      </c>
      <c r="B24">
        <v>170</v>
      </c>
      <c r="C24" t="s">
        <v>152</v>
      </c>
      <c r="D24" s="2">
        <v>46160</v>
      </c>
      <c r="E24" s="2">
        <v>46178</v>
      </c>
      <c r="F24" t="s">
        <v>42</v>
      </c>
      <c r="G24" t="s">
        <v>25</v>
      </c>
      <c r="H24" t="s">
        <v>153</v>
      </c>
      <c r="I24" t="s">
        <v>27</v>
      </c>
      <c r="J24" t="s">
        <v>154</v>
      </c>
      <c r="K24" t="s">
        <v>155</v>
      </c>
      <c r="L24" t="s">
        <v>30</v>
      </c>
      <c r="M24" t="s">
        <v>38</v>
      </c>
      <c r="N24" t="s">
        <v>39</v>
      </c>
      <c r="O24" s="2">
        <v>46170</v>
      </c>
      <c r="P24" t="s">
        <v>39</v>
      </c>
      <c r="Q24" t="s">
        <v>156</v>
      </c>
      <c r="R24" s="3" t="s">
        <v>157</v>
      </c>
    </row>
    <row r="25" spans="1:18" ht="15.6" x14ac:dyDescent="0.3">
      <c r="A25" s="2">
        <v>46163</v>
      </c>
      <c r="B25">
        <v>169</v>
      </c>
      <c r="C25" t="s">
        <v>158</v>
      </c>
      <c r="D25" s="2">
        <v>46160</v>
      </c>
      <c r="E25" s="2">
        <v>46175</v>
      </c>
      <c r="F25" t="s">
        <v>24</v>
      </c>
      <c r="G25" t="s">
        <v>109</v>
      </c>
      <c r="H25" t="s">
        <v>159</v>
      </c>
      <c r="I25" t="s">
        <v>27</v>
      </c>
      <c r="J25" t="s">
        <v>160</v>
      </c>
      <c r="K25" t="s">
        <v>84</v>
      </c>
      <c r="L25" t="s">
        <v>30</v>
      </c>
      <c r="M25" t="s">
        <v>78</v>
      </c>
      <c r="N25" t="s">
        <v>39</v>
      </c>
      <c r="O25" s="2">
        <v>46163</v>
      </c>
      <c r="P25" t="s">
        <v>39</v>
      </c>
      <c r="Q25" t="s">
        <v>161</v>
      </c>
      <c r="R25" s="3" t="s">
        <v>162</v>
      </c>
    </row>
    <row r="26" spans="1:18" ht="15.6" x14ac:dyDescent="0.3">
      <c r="A26" s="2">
        <v>46163</v>
      </c>
      <c r="B26">
        <v>168</v>
      </c>
      <c r="C26" t="s">
        <v>163</v>
      </c>
      <c r="D26" s="2">
        <v>46160</v>
      </c>
      <c r="E26" s="2">
        <v>46184</v>
      </c>
      <c r="F26" t="s">
        <v>62</v>
      </c>
      <c r="G26" t="s">
        <v>109</v>
      </c>
      <c r="H26" t="s">
        <v>164</v>
      </c>
      <c r="I26" t="s">
        <v>27</v>
      </c>
      <c r="J26" t="s">
        <v>165</v>
      </c>
      <c r="K26" t="s">
        <v>58</v>
      </c>
      <c r="L26" t="s">
        <v>30</v>
      </c>
      <c r="M26" t="s">
        <v>166</v>
      </c>
      <c r="N26" t="s">
        <v>39</v>
      </c>
      <c r="O26" s="2">
        <v>46171</v>
      </c>
      <c r="P26" t="s">
        <v>39</v>
      </c>
      <c r="Q26" t="s">
        <v>167</v>
      </c>
      <c r="R26" s="3" t="s">
        <v>168</v>
      </c>
    </row>
    <row r="27" spans="1:18" ht="15.6" x14ac:dyDescent="0.3">
      <c r="A27" s="2">
        <v>46163</v>
      </c>
      <c r="B27">
        <v>167</v>
      </c>
      <c r="C27" t="s">
        <v>169</v>
      </c>
      <c r="D27" s="2">
        <v>46160</v>
      </c>
      <c r="E27" s="2">
        <v>46188</v>
      </c>
      <c r="F27" t="s">
        <v>62</v>
      </c>
      <c r="G27" t="s">
        <v>48</v>
      </c>
      <c r="H27" t="s">
        <v>170</v>
      </c>
      <c r="I27" t="s">
        <v>27</v>
      </c>
      <c r="J27" t="s">
        <v>171</v>
      </c>
      <c r="K27" t="s">
        <v>155</v>
      </c>
      <c r="L27" t="s">
        <v>30</v>
      </c>
      <c r="M27" t="s">
        <v>166</v>
      </c>
      <c r="N27" t="s">
        <v>39</v>
      </c>
      <c r="O27" s="2">
        <v>46175</v>
      </c>
      <c r="P27" t="s">
        <v>39</v>
      </c>
      <c r="Q27" t="s">
        <v>172</v>
      </c>
      <c r="R27" s="3" t="s">
        <v>173</v>
      </c>
    </row>
    <row r="28" spans="1:18" ht="15.6" x14ac:dyDescent="0.3">
      <c r="A28" s="2">
        <v>46163</v>
      </c>
      <c r="B28">
        <v>166</v>
      </c>
      <c r="C28" t="s">
        <v>174</v>
      </c>
      <c r="D28" s="2">
        <v>46160</v>
      </c>
      <c r="E28" s="2">
        <v>46164</v>
      </c>
      <c r="F28" t="s">
        <v>62</v>
      </c>
      <c r="G28" t="s">
        <v>25</v>
      </c>
      <c r="H28" t="s">
        <v>175</v>
      </c>
      <c r="I28" t="s">
        <v>27</v>
      </c>
      <c r="J28" t="s">
        <v>131</v>
      </c>
      <c r="K28" t="s">
        <v>65</v>
      </c>
      <c r="L28" t="s">
        <v>30</v>
      </c>
      <c r="M28" t="s">
        <v>38</v>
      </c>
      <c r="N28" t="s">
        <v>30</v>
      </c>
      <c r="O28" t="s">
        <v>32</v>
      </c>
      <c r="P28" t="s">
        <v>30</v>
      </c>
      <c r="Q28" t="s">
        <v>32</v>
      </c>
      <c r="R28" s="3" t="s">
        <v>176</v>
      </c>
    </row>
    <row r="29" spans="1:18" ht="15.6" x14ac:dyDescent="0.3">
      <c r="A29" s="2">
        <v>46163</v>
      </c>
      <c r="B29">
        <v>165</v>
      </c>
      <c r="C29" t="s">
        <v>177</v>
      </c>
      <c r="D29" s="2">
        <v>46160</v>
      </c>
      <c r="E29" s="2">
        <v>46178</v>
      </c>
      <c r="F29" t="s">
        <v>62</v>
      </c>
      <c r="G29" t="s">
        <v>25</v>
      </c>
      <c r="H29" t="s">
        <v>178</v>
      </c>
      <c r="I29" t="s">
        <v>27</v>
      </c>
      <c r="J29" t="s">
        <v>90</v>
      </c>
      <c r="K29" t="s">
        <v>91</v>
      </c>
      <c r="L29" t="s">
        <v>30</v>
      </c>
      <c r="M29" t="s">
        <v>78</v>
      </c>
      <c r="N29" t="s">
        <v>30</v>
      </c>
      <c r="O29" t="s">
        <v>32</v>
      </c>
      <c r="P29" t="s">
        <v>30</v>
      </c>
      <c r="Q29" t="s">
        <v>32</v>
      </c>
      <c r="R29" s="3" t="s">
        <v>179</v>
      </c>
    </row>
    <row r="30" spans="1:18" ht="15.6" x14ac:dyDescent="0.3">
      <c r="A30" s="2">
        <v>46163</v>
      </c>
      <c r="B30">
        <v>164</v>
      </c>
      <c r="C30" t="s">
        <v>180</v>
      </c>
      <c r="D30" s="2">
        <v>46160</v>
      </c>
      <c r="E30" s="2">
        <v>46167</v>
      </c>
      <c r="F30" t="s">
        <v>62</v>
      </c>
      <c r="G30" t="s">
        <v>25</v>
      </c>
      <c r="H30" t="s">
        <v>181</v>
      </c>
      <c r="I30" t="s">
        <v>27</v>
      </c>
      <c r="J30" t="s">
        <v>182</v>
      </c>
      <c r="K30" t="s">
        <v>91</v>
      </c>
      <c r="L30" t="s">
        <v>30</v>
      </c>
      <c r="M30" t="s">
        <v>31</v>
      </c>
      <c r="N30" t="s">
        <v>30</v>
      </c>
      <c r="O30" t="s">
        <v>32</v>
      </c>
      <c r="P30" t="s">
        <v>30</v>
      </c>
      <c r="Q30" t="s">
        <v>32</v>
      </c>
      <c r="R30" s="3" t="s">
        <v>183</v>
      </c>
    </row>
    <row r="31" spans="1:18" ht="15.6" x14ac:dyDescent="0.3">
      <c r="A31" s="2">
        <v>46163</v>
      </c>
      <c r="B31">
        <v>163</v>
      </c>
      <c r="C31" t="s">
        <v>184</v>
      </c>
      <c r="D31" s="2">
        <v>46160</v>
      </c>
      <c r="E31" s="2">
        <v>46167</v>
      </c>
      <c r="F31" t="s">
        <v>42</v>
      </c>
      <c r="G31" t="s">
        <v>25</v>
      </c>
      <c r="H31" t="s">
        <v>185</v>
      </c>
      <c r="I31" t="s">
        <v>27</v>
      </c>
      <c r="J31" t="s">
        <v>44</v>
      </c>
      <c r="K31" t="s">
        <v>29</v>
      </c>
      <c r="L31" t="s">
        <v>30</v>
      </c>
      <c r="M31" t="s">
        <v>186</v>
      </c>
      <c r="N31" t="s">
        <v>39</v>
      </c>
      <c r="O31" s="2">
        <v>46163</v>
      </c>
      <c r="P31" t="s">
        <v>39</v>
      </c>
      <c r="Q31" t="s">
        <v>187</v>
      </c>
      <c r="R31" s="3" t="s">
        <v>188</v>
      </c>
    </row>
    <row r="32" spans="1:18" ht="15.6" x14ac:dyDescent="0.3">
      <c r="A32" s="2">
        <v>46163</v>
      </c>
      <c r="B32">
        <v>162</v>
      </c>
      <c r="C32" t="s">
        <v>189</v>
      </c>
      <c r="D32" s="2">
        <v>46160</v>
      </c>
      <c r="E32" s="2">
        <v>46167</v>
      </c>
      <c r="F32" t="s">
        <v>24</v>
      </c>
      <c r="G32" t="s">
        <v>25</v>
      </c>
      <c r="H32" t="s">
        <v>190</v>
      </c>
      <c r="I32" t="s">
        <v>27</v>
      </c>
      <c r="J32" t="s">
        <v>191</v>
      </c>
      <c r="K32" t="s">
        <v>58</v>
      </c>
      <c r="L32" t="s">
        <v>30</v>
      </c>
      <c r="M32" t="s">
        <v>192</v>
      </c>
      <c r="N32" t="s">
        <v>30</v>
      </c>
      <c r="O32" t="s">
        <v>32</v>
      </c>
      <c r="P32" t="s">
        <v>30</v>
      </c>
      <c r="Q32" t="s">
        <v>32</v>
      </c>
      <c r="R32" s="3" t="s">
        <v>193</v>
      </c>
    </row>
    <row r="33" spans="1:18" ht="15.6" x14ac:dyDescent="0.3">
      <c r="A33" s="2">
        <v>46163</v>
      </c>
      <c r="B33">
        <v>161</v>
      </c>
      <c r="C33" t="s">
        <v>194</v>
      </c>
      <c r="D33" s="2">
        <v>46160</v>
      </c>
      <c r="E33" s="2">
        <v>46181</v>
      </c>
      <c r="F33" t="s">
        <v>62</v>
      </c>
      <c r="G33" t="s">
        <v>109</v>
      </c>
      <c r="H33" t="s">
        <v>195</v>
      </c>
      <c r="I33" t="s">
        <v>27</v>
      </c>
      <c r="J33" t="s">
        <v>111</v>
      </c>
      <c r="K33" t="s">
        <v>84</v>
      </c>
      <c r="L33" t="s">
        <v>30</v>
      </c>
      <c r="M33" t="s">
        <v>113</v>
      </c>
      <c r="N33" t="s">
        <v>39</v>
      </c>
      <c r="O33" s="2">
        <v>46167</v>
      </c>
      <c r="P33" t="s">
        <v>30</v>
      </c>
      <c r="Q33" t="s">
        <v>196</v>
      </c>
      <c r="R33" s="3" t="s">
        <v>197</v>
      </c>
    </row>
    <row r="34" spans="1:18" ht="15.6" x14ac:dyDescent="0.3">
      <c r="A34" s="2">
        <v>46163</v>
      </c>
      <c r="B34">
        <v>160</v>
      </c>
      <c r="C34" t="s">
        <v>198</v>
      </c>
      <c r="D34" s="2">
        <v>46160</v>
      </c>
      <c r="E34" s="2">
        <v>46169</v>
      </c>
      <c r="F34" t="s">
        <v>62</v>
      </c>
      <c r="G34" t="s">
        <v>109</v>
      </c>
      <c r="H34" t="s">
        <v>199</v>
      </c>
      <c r="I34" t="s">
        <v>27</v>
      </c>
      <c r="J34" t="s">
        <v>200</v>
      </c>
      <c r="K34" t="s">
        <v>29</v>
      </c>
      <c r="L34" t="s">
        <v>30</v>
      </c>
      <c r="M34" t="s">
        <v>201</v>
      </c>
      <c r="N34" t="s">
        <v>39</v>
      </c>
      <c r="O34" s="2">
        <v>46163</v>
      </c>
      <c r="P34" t="s">
        <v>30</v>
      </c>
      <c r="Q34" t="s">
        <v>202</v>
      </c>
      <c r="R34" s="3" t="s">
        <v>203</v>
      </c>
    </row>
    <row r="35" spans="1:18" ht="15.6" x14ac:dyDescent="0.3">
      <c r="A35" s="2">
        <v>46163</v>
      </c>
      <c r="B35">
        <v>159</v>
      </c>
      <c r="C35" t="s">
        <v>204</v>
      </c>
      <c r="D35" s="2">
        <v>46160</v>
      </c>
      <c r="E35" s="2">
        <v>46167</v>
      </c>
      <c r="F35" t="s">
        <v>62</v>
      </c>
      <c r="G35" t="s">
        <v>25</v>
      </c>
      <c r="H35" t="s">
        <v>205</v>
      </c>
      <c r="I35" t="s">
        <v>27</v>
      </c>
      <c r="J35" t="s">
        <v>182</v>
      </c>
      <c r="K35" t="s">
        <v>91</v>
      </c>
      <c r="L35" t="s">
        <v>30</v>
      </c>
      <c r="M35" t="s">
        <v>31</v>
      </c>
      <c r="N35" t="s">
        <v>30</v>
      </c>
      <c r="O35" t="s">
        <v>32</v>
      </c>
      <c r="P35" t="s">
        <v>30</v>
      </c>
      <c r="Q35" t="s">
        <v>32</v>
      </c>
      <c r="R35" s="3" t="s">
        <v>206</v>
      </c>
    </row>
    <row r="36" spans="1:18" ht="15.6" x14ac:dyDescent="0.3">
      <c r="A36" s="2">
        <v>46163</v>
      </c>
      <c r="B36">
        <v>158</v>
      </c>
      <c r="C36" t="s">
        <v>207</v>
      </c>
      <c r="D36" s="2">
        <v>46160</v>
      </c>
      <c r="E36" s="2">
        <v>46195</v>
      </c>
      <c r="F36" t="s">
        <v>62</v>
      </c>
      <c r="G36" t="s">
        <v>48</v>
      </c>
      <c r="H36" t="s">
        <v>208</v>
      </c>
      <c r="I36" t="s">
        <v>27</v>
      </c>
      <c r="J36" t="s">
        <v>209</v>
      </c>
      <c r="K36" t="s">
        <v>91</v>
      </c>
      <c r="L36" t="s">
        <v>30</v>
      </c>
      <c r="M36" t="s">
        <v>210</v>
      </c>
      <c r="N36" t="s">
        <v>30</v>
      </c>
      <c r="O36" t="s">
        <v>32</v>
      </c>
      <c r="P36" t="s">
        <v>30</v>
      </c>
      <c r="Q36" t="s">
        <v>32</v>
      </c>
      <c r="R36" s="3" t="s">
        <v>211</v>
      </c>
    </row>
    <row r="37" spans="1:18" ht="15.6" x14ac:dyDescent="0.3">
      <c r="A37" s="2">
        <v>46163</v>
      </c>
      <c r="B37">
        <v>157</v>
      </c>
      <c r="C37" t="s">
        <v>212</v>
      </c>
      <c r="D37" s="2">
        <v>46160</v>
      </c>
      <c r="E37" s="2">
        <v>46168</v>
      </c>
      <c r="F37" t="s">
        <v>75</v>
      </c>
      <c r="G37" t="s">
        <v>109</v>
      </c>
      <c r="H37" t="s">
        <v>213</v>
      </c>
      <c r="I37" t="s">
        <v>27</v>
      </c>
      <c r="J37" t="s">
        <v>77</v>
      </c>
      <c r="K37" t="s">
        <v>51</v>
      </c>
      <c r="L37" t="s">
        <v>30</v>
      </c>
      <c r="M37" t="s">
        <v>214</v>
      </c>
      <c r="N37" t="s">
        <v>30</v>
      </c>
      <c r="O37" t="s">
        <v>32</v>
      </c>
      <c r="P37" t="s">
        <v>30</v>
      </c>
      <c r="Q37" t="s">
        <v>32</v>
      </c>
      <c r="R37" s="3" t="s">
        <v>215</v>
      </c>
    </row>
    <row r="38" spans="1:18" ht="15.6" x14ac:dyDescent="0.3">
      <c r="A38" s="2">
        <v>46163</v>
      </c>
      <c r="B38">
        <v>156</v>
      </c>
      <c r="C38" t="s">
        <v>216</v>
      </c>
      <c r="D38" s="2">
        <v>46160</v>
      </c>
      <c r="E38" s="2">
        <v>46163</v>
      </c>
      <c r="F38" t="s">
        <v>62</v>
      </c>
      <c r="G38" t="s">
        <v>25</v>
      </c>
      <c r="H38" t="s">
        <v>217</v>
      </c>
      <c r="I38" t="s">
        <v>27</v>
      </c>
      <c r="J38" t="s">
        <v>218</v>
      </c>
      <c r="K38" t="s">
        <v>29</v>
      </c>
      <c r="L38" t="s">
        <v>30</v>
      </c>
      <c r="M38" t="s">
        <v>146</v>
      </c>
      <c r="N38" t="s">
        <v>30</v>
      </c>
      <c r="O38" t="s">
        <v>32</v>
      </c>
      <c r="P38" t="s">
        <v>30</v>
      </c>
      <c r="Q38" t="s">
        <v>32</v>
      </c>
      <c r="R38" s="3" t="s">
        <v>219</v>
      </c>
    </row>
    <row r="39" spans="1:18" ht="15.6" x14ac:dyDescent="0.3">
      <c r="A39" s="2">
        <v>46163</v>
      </c>
      <c r="B39">
        <v>155</v>
      </c>
      <c r="C39" t="s">
        <v>220</v>
      </c>
      <c r="D39" s="2">
        <v>46160</v>
      </c>
      <c r="E39" s="2">
        <v>46175</v>
      </c>
      <c r="F39" t="s">
        <v>24</v>
      </c>
      <c r="G39" t="s">
        <v>48</v>
      </c>
      <c r="H39" t="s">
        <v>221</v>
      </c>
      <c r="I39" t="s">
        <v>27</v>
      </c>
      <c r="J39" t="s">
        <v>222</v>
      </c>
      <c r="K39" t="s">
        <v>91</v>
      </c>
      <c r="L39" t="s">
        <v>30</v>
      </c>
      <c r="M39" t="s">
        <v>78</v>
      </c>
      <c r="N39" t="s">
        <v>30</v>
      </c>
      <c r="O39" t="s">
        <v>32</v>
      </c>
      <c r="P39" t="s">
        <v>30</v>
      </c>
      <c r="Q39" t="s">
        <v>32</v>
      </c>
      <c r="R39" s="3" t="s">
        <v>223</v>
      </c>
    </row>
    <row r="40" spans="1:18" ht="15.6" x14ac:dyDescent="0.3">
      <c r="A40" s="2">
        <v>46163</v>
      </c>
      <c r="B40">
        <v>154</v>
      </c>
      <c r="C40" t="s">
        <v>224</v>
      </c>
      <c r="D40" s="2">
        <v>46160</v>
      </c>
      <c r="E40" s="2">
        <v>46167</v>
      </c>
      <c r="F40" t="s">
        <v>62</v>
      </c>
      <c r="G40" t="s">
        <v>25</v>
      </c>
      <c r="H40" t="s">
        <v>225</v>
      </c>
      <c r="I40" t="s">
        <v>27</v>
      </c>
      <c r="J40" t="s">
        <v>226</v>
      </c>
      <c r="K40" t="s">
        <v>155</v>
      </c>
      <c r="L40" t="s">
        <v>30</v>
      </c>
      <c r="M40" t="s">
        <v>78</v>
      </c>
      <c r="N40" t="s">
        <v>30</v>
      </c>
      <c r="O40" t="s">
        <v>32</v>
      </c>
      <c r="P40" t="s">
        <v>30</v>
      </c>
      <c r="Q40" t="s">
        <v>32</v>
      </c>
      <c r="R40" s="3" t="s">
        <v>227</v>
      </c>
    </row>
    <row r="41" spans="1:18" ht="15.6" x14ac:dyDescent="0.3">
      <c r="A41" s="2">
        <v>46163</v>
      </c>
      <c r="B41">
        <v>153</v>
      </c>
      <c r="C41" t="s">
        <v>228</v>
      </c>
      <c r="D41" s="2">
        <v>46160</v>
      </c>
      <c r="E41" s="2">
        <v>46170</v>
      </c>
      <c r="F41" t="s">
        <v>24</v>
      </c>
      <c r="G41" t="s">
        <v>25</v>
      </c>
      <c r="H41" t="s">
        <v>229</v>
      </c>
      <c r="I41" t="s">
        <v>27</v>
      </c>
      <c r="J41" t="s">
        <v>230</v>
      </c>
      <c r="K41" t="s">
        <v>51</v>
      </c>
      <c r="L41" t="s">
        <v>30</v>
      </c>
      <c r="M41" t="s">
        <v>231</v>
      </c>
      <c r="N41" t="s">
        <v>30</v>
      </c>
      <c r="O41" t="s">
        <v>32</v>
      </c>
      <c r="P41" t="s">
        <v>30</v>
      </c>
      <c r="Q41" t="s">
        <v>32</v>
      </c>
      <c r="R41" s="3" t="s">
        <v>232</v>
      </c>
    </row>
    <row r="42" spans="1:18" ht="15.6" x14ac:dyDescent="0.3">
      <c r="A42" s="2">
        <v>46163</v>
      </c>
      <c r="B42">
        <v>152</v>
      </c>
      <c r="C42" t="s">
        <v>233</v>
      </c>
      <c r="D42" s="2">
        <v>46160</v>
      </c>
      <c r="E42" s="2">
        <v>46167</v>
      </c>
      <c r="F42" t="s">
        <v>62</v>
      </c>
      <c r="G42" t="s">
        <v>25</v>
      </c>
      <c r="H42" t="s">
        <v>234</v>
      </c>
      <c r="I42" t="s">
        <v>27</v>
      </c>
      <c r="J42" t="s">
        <v>235</v>
      </c>
      <c r="K42" t="s">
        <v>65</v>
      </c>
      <c r="L42" t="s">
        <v>30</v>
      </c>
      <c r="M42" t="s">
        <v>45</v>
      </c>
      <c r="N42" t="s">
        <v>30</v>
      </c>
      <c r="O42" t="s">
        <v>32</v>
      </c>
      <c r="P42" t="s">
        <v>30</v>
      </c>
      <c r="Q42" t="s">
        <v>32</v>
      </c>
      <c r="R42" s="3" t="s">
        <v>236</v>
      </c>
    </row>
    <row r="43" spans="1:18" ht="15.6" x14ac:dyDescent="0.3">
      <c r="A43" s="2">
        <v>46163</v>
      </c>
      <c r="B43">
        <v>151</v>
      </c>
      <c r="C43" t="s">
        <v>237</v>
      </c>
      <c r="D43" s="2">
        <v>46160</v>
      </c>
      <c r="E43" s="2">
        <v>46168</v>
      </c>
      <c r="F43" t="s">
        <v>62</v>
      </c>
      <c r="G43" t="s">
        <v>25</v>
      </c>
      <c r="H43" t="s">
        <v>238</v>
      </c>
      <c r="I43" t="s">
        <v>27</v>
      </c>
      <c r="J43" t="s">
        <v>239</v>
      </c>
      <c r="K43" t="s">
        <v>58</v>
      </c>
      <c r="L43" t="s">
        <v>30</v>
      </c>
      <c r="M43" t="s">
        <v>45</v>
      </c>
      <c r="N43" t="s">
        <v>30</v>
      </c>
      <c r="O43" t="s">
        <v>32</v>
      </c>
      <c r="P43" t="s">
        <v>30</v>
      </c>
      <c r="Q43" t="s">
        <v>32</v>
      </c>
      <c r="R43" s="3" t="s">
        <v>240</v>
      </c>
    </row>
    <row r="44" spans="1:18" ht="15.6" x14ac:dyDescent="0.3">
      <c r="A44" s="2">
        <v>46163</v>
      </c>
      <c r="B44">
        <v>150</v>
      </c>
      <c r="C44" t="s">
        <v>241</v>
      </c>
      <c r="D44" s="2">
        <v>46160</v>
      </c>
      <c r="E44" s="2">
        <v>46169</v>
      </c>
      <c r="F44" t="s">
        <v>62</v>
      </c>
      <c r="G44" t="s">
        <v>25</v>
      </c>
      <c r="H44" t="s">
        <v>242</v>
      </c>
      <c r="I44" t="s">
        <v>27</v>
      </c>
      <c r="J44" t="s">
        <v>243</v>
      </c>
      <c r="K44" t="s">
        <v>91</v>
      </c>
      <c r="L44" t="s">
        <v>30</v>
      </c>
      <c r="M44" t="s">
        <v>244</v>
      </c>
      <c r="N44" t="s">
        <v>30</v>
      </c>
      <c r="O44" t="s">
        <v>32</v>
      </c>
      <c r="P44" t="s">
        <v>30</v>
      </c>
      <c r="Q44" t="s">
        <v>32</v>
      </c>
      <c r="R44" s="3" t="s">
        <v>245</v>
      </c>
    </row>
    <row r="45" spans="1:18" ht="15.6" x14ac:dyDescent="0.3">
      <c r="A45" s="2">
        <v>46163</v>
      </c>
      <c r="B45">
        <v>149</v>
      </c>
      <c r="C45" t="s">
        <v>246</v>
      </c>
      <c r="D45" s="2">
        <v>46160</v>
      </c>
      <c r="E45" s="2">
        <v>46175</v>
      </c>
      <c r="F45" t="s">
        <v>62</v>
      </c>
      <c r="G45" t="s">
        <v>25</v>
      </c>
      <c r="H45" t="s">
        <v>247</v>
      </c>
      <c r="I45" t="s">
        <v>27</v>
      </c>
      <c r="J45" t="s">
        <v>248</v>
      </c>
      <c r="K45" t="s">
        <v>29</v>
      </c>
      <c r="L45" t="s">
        <v>30</v>
      </c>
      <c r="M45" t="s">
        <v>85</v>
      </c>
      <c r="N45" t="s">
        <v>39</v>
      </c>
      <c r="O45" s="2">
        <v>46168</v>
      </c>
      <c r="P45" t="s">
        <v>39</v>
      </c>
      <c r="Q45" t="s">
        <v>249</v>
      </c>
      <c r="R45" s="3" t="s">
        <v>250</v>
      </c>
    </row>
    <row r="46" spans="1:18" ht="15.6" x14ac:dyDescent="0.3">
      <c r="A46" s="2">
        <v>46163</v>
      </c>
      <c r="B46">
        <v>148</v>
      </c>
      <c r="C46" t="s">
        <v>251</v>
      </c>
      <c r="D46" s="2">
        <v>46160</v>
      </c>
      <c r="E46" s="2">
        <v>46188</v>
      </c>
      <c r="F46" t="s">
        <v>24</v>
      </c>
      <c r="G46" t="s">
        <v>25</v>
      </c>
      <c r="H46" t="s">
        <v>252</v>
      </c>
      <c r="I46" t="s">
        <v>27</v>
      </c>
      <c r="J46" t="s">
        <v>253</v>
      </c>
      <c r="K46" t="s">
        <v>65</v>
      </c>
      <c r="L46" t="s">
        <v>30</v>
      </c>
      <c r="M46" t="s">
        <v>254</v>
      </c>
      <c r="N46" t="s">
        <v>39</v>
      </c>
      <c r="O46" s="2">
        <v>46168</v>
      </c>
      <c r="P46" t="s">
        <v>39</v>
      </c>
      <c r="Q46" t="s">
        <v>255</v>
      </c>
      <c r="R46" s="3" t="s">
        <v>256</v>
      </c>
    </row>
    <row r="47" spans="1:18" ht="15.6" x14ac:dyDescent="0.3">
      <c r="A47" s="2">
        <v>46163</v>
      </c>
      <c r="B47">
        <v>147</v>
      </c>
      <c r="C47" t="s">
        <v>257</v>
      </c>
      <c r="D47" s="2">
        <v>46160</v>
      </c>
      <c r="E47" s="2">
        <v>46167</v>
      </c>
      <c r="F47" t="s">
        <v>75</v>
      </c>
      <c r="G47" t="s">
        <v>25</v>
      </c>
      <c r="H47" t="s">
        <v>258</v>
      </c>
      <c r="I47" t="s">
        <v>27</v>
      </c>
      <c r="J47" t="s">
        <v>77</v>
      </c>
      <c r="K47" t="s">
        <v>51</v>
      </c>
      <c r="L47" t="s">
        <v>30</v>
      </c>
      <c r="M47" t="s">
        <v>78</v>
      </c>
      <c r="N47" t="s">
        <v>30</v>
      </c>
      <c r="O47" t="s">
        <v>32</v>
      </c>
      <c r="P47" t="s">
        <v>30</v>
      </c>
      <c r="Q47" t="s">
        <v>32</v>
      </c>
      <c r="R47" s="3" t="s">
        <v>259</v>
      </c>
    </row>
    <row r="48" spans="1:18" ht="15.6" x14ac:dyDescent="0.3">
      <c r="A48" s="2">
        <v>46163</v>
      </c>
      <c r="B48">
        <v>146</v>
      </c>
      <c r="C48" t="s">
        <v>260</v>
      </c>
      <c r="D48" s="2">
        <v>46160</v>
      </c>
      <c r="E48" s="2">
        <v>46168</v>
      </c>
      <c r="F48" t="s">
        <v>62</v>
      </c>
      <c r="G48" t="s">
        <v>25</v>
      </c>
      <c r="H48" t="s">
        <v>261</v>
      </c>
      <c r="I48" t="s">
        <v>27</v>
      </c>
      <c r="J48" t="s">
        <v>262</v>
      </c>
      <c r="K48" t="s">
        <v>37</v>
      </c>
      <c r="L48" t="s">
        <v>30</v>
      </c>
      <c r="M48" t="s">
        <v>66</v>
      </c>
      <c r="N48" t="s">
        <v>39</v>
      </c>
      <c r="O48" s="2">
        <v>46163</v>
      </c>
      <c r="P48" t="s">
        <v>39</v>
      </c>
      <c r="Q48" t="s">
        <v>263</v>
      </c>
      <c r="R48" s="3" t="s">
        <v>264</v>
      </c>
    </row>
    <row r="49" spans="1:18" ht="15.6" x14ac:dyDescent="0.3">
      <c r="A49" s="2">
        <v>46163</v>
      </c>
      <c r="B49">
        <v>145</v>
      </c>
      <c r="C49" t="s">
        <v>265</v>
      </c>
      <c r="D49" s="2">
        <v>46160</v>
      </c>
      <c r="E49" s="2">
        <v>46167</v>
      </c>
      <c r="F49" t="s">
        <v>42</v>
      </c>
      <c r="G49" t="s">
        <v>25</v>
      </c>
      <c r="H49" t="s">
        <v>266</v>
      </c>
      <c r="I49" t="s">
        <v>27</v>
      </c>
      <c r="J49" t="s">
        <v>44</v>
      </c>
      <c r="K49" t="s">
        <v>29</v>
      </c>
      <c r="L49" t="s">
        <v>30</v>
      </c>
      <c r="M49" t="s">
        <v>45</v>
      </c>
      <c r="N49" t="s">
        <v>30</v>
      </c>
      <c r="O49" t="s">
        <v>32</v>
      </c>
      <c r="P49" t="s">
        <v>30</v>
      </c>
      <c r="Q49" t="s">
        <v>32</v>
      </c>
      <c r="R49" s="3" t="s">
        <v>267</v>
      </c>
    </row>
    <row r="50" spans="1:18" ht="15.6" x14ac:dyDescent="0.3">
      <c r="A50" s="2">
        <v>46163</v>
      </c>
      <c r="B50">
        <v>144</v>
      </c>
      <c r="C50" t="s">
        <v>268</v>
      </c>
      <c r="D50" s="2">
        <v>46160</v>
      </c>
      <c r="E50" s="2">
        <v>46168</v>
      </c>
      <c r="F50" t="s">
        <v>62</v>
      </c>
      <c r="G50" t="s">
        <v>25</v>
      </c>
      <c r="H50" t="s">
        <v>269</v>
      </c>
      <c r="I50" t="s">
        <v>27</v>
      </c>
      <c r="J50" t="s">
        <v>270</v>
      </c>
      <c r="K50" t="s">
        <v>155</v>
      </c>
      <c r="L50" t="s">
        <v>30</v>
      </c>
      <c r="M50" t="s">
        <v>271</v>
      </c>
      <c r="N50" t="s">
        <v>30</v>
      </c>
      <c r="O50" t="s">
        <v>32</v>
      </c>
      <c r="P50" t="s">
        <v>30</v>
      </c>
      <c r="Q50" t="s">
        <v>32</v>
      </c>
      <c r="R50" s="3" t="s">
        <v>272</v>
      </c>
    </row>
    <row r="51" spans="1:18" ht="15.6" x14ac:dyDescent="0.3">
      <c r="A51" s="2">
        <v>46163</v>
      </c>
      <c r="B51">
        <v>143</v>
      </c>
      <c r="C51" t="s">
        <v>273</v>
      </c>
      <c r="D51" s="2">
        <v>46160</v>
      </c>
      <c r="E51" s="2">
        <v>46168</v>
      </c>
      <c r="F51" t="s">
        <v>24</v>
      </c>
      <c r="G51" t="s">
        <v>25</v>
      </c>
      <c r="H51" t="s">
        <v>274</v>
      </c>
      <c r="I51" t="s">
        <v>27</v>
      </c>
      <c r="J51" t="s">
        <v>135</v>
      </c>
      <c r="K51" t="s">
        <v>29</v>
      </c>
      <c r="L51" t="s">
        <v>30</v>
      </c>
      <c r="M51" t="s">
        <v>136</v>
      </c>
      <c r="N51" t="s">
        <v>30</v>
      </c>
      <c r="O51" t="s">
        <v>32</v>
      </c>
      <c r="P51" t="s">
        <v>30</v>
      </c>
      <c r="Q51" t="s">
        <v>32</v>
      </c>
      <c r="R51" s="3" t="s">
        <v>275</v>
      </c>
    </row>
    <row r="52" spans="1:18" ht="15.6" x14ac:dyDescent="0.3">
      <c r="A52" s="2">
        <v>46163</v>
      </c>
      <c r="B52">
        <v>142</v>
      </c>
      <c r="C52" t="s">
        <v>276</v>
      </c>
      <c r="D52" s="2">
        <v>46160</v>
      </c>
      <c r="E52" s="2">
        <v>46203</v>
      </c>
      <c r="F52" t="s">
        <v>24</v>
      </c>
      <c r="G52" t="s">
        <v>48</v>
      </c>
      <c r="H52" t="s">
        <v>277</v>
      </c>
      <c r="I52" t="s">
        <v>27</v>
      </c>
      <c r="J52" t="s">
        <v>50</v>
      </c>
      <c r="K52" t="s">
        <v>51</v>
      </c>
      <c r="L52" t="s">
        <v>30</v>
      </c>
      <c r="M52" t="s">
        <v>278</v>
      </c>
      <c r="N52" t="s">
        <v>39</v>
      </c>
      <c r="O52" s="2">
        <v>46168</v>
      </c>
      <c r="P52" t="s">
        <v>39</v>
      </c>
      <c r="Q52" t="s">
        <v>53</v>
      </c>
      <c r="R52" s="3" t="s">
        <v>279</v>
      </c>
    </row>
    <row r="53" spans="1:18" ht="15.6" x14ac:dyDescent="0.3">
      <c r="A53" s="2">
        <v>46163</v>
      </c>
      <c r="B53">
        <v>141</v>
      </c>
      <c r="C53" t="s">
        <v>280</v>
      </c>
      <c r="D53" s="2">
        <v>46160</v>
      </c>
      <c r="E53" s="2">
        <v>46174</v>
      </c>
      <c r="F53" t="s">
        <v>281</v>
      </c>
      <c r="G53" t="s">
        <v>282</v>
      </c>
      <c r="H53" t="s">
        <v>283</v>
      </c>
      <c r="I53" t="s">
        <v>27</v>
      </c>
      <c r="J53" t="s">
        <v>28</v>
      </c>
      <c r="K53" t="s">
        <v>29</v>
      </c>
      <c r="L53" t="s">
        <v>30</v>
      </c>
      <c r="M53" t="s">
        <v>31</v>
      </c>
      <c r="N53" t="s">
        <v>39</v>
      </c>
      <c r="O53" s="2">
        <v>46167</v>
      </c>
      <c r="P53" t="s">
        <v>39</v>
      </c>
      <c r="Q53" t="s">
        <v>284</v>
      </c>
      <c r="R53" s="3" t="s">
        <v>285</v>
      </c>
    </row>
    <row r="54" spans="1:18" ht="15.6" x14ac:dyDescent="0.3">
      <c r="A54" s="2">
        <v>46163</v>
      </c>
      <c r="B54">
        <v>140</v>
      </c>
      <c r="C54" t="s">
        <v>286</v>
      </c>
      <c r="D54" s="2">
        <v>46160</v>
      </c>
      <c r="E54" s="2">
        <v>46167</v>
      </c>
      <c r="F54" t="s">
        <v>62</v>
      </c>
      <c r="G54" t="s">
        <v>25</v>
      </c>
      <c r="H54" t="s">
        <v>287</v>
      </c>
      <c r="I54" t="s">
        <v>27</v>
      </c>
      <c r="J54" t="s">
        <v>182</v>
      </c>
      <c r="K54" t="s">
        <v>91</v>
      </c>
      <c r="L54" t="s">
        <v>30</v>
      </c>
      <c r="M54" t="s">
        <v>31</v>
      </c>
      <c r="N54" t="s">
        <v>30</v>
      </c>
      <c r="O54" t="s">
        <v>32</v>
      </c>
      <c r="P54" t="s">
        <v>30</v>
      </c>
      <c r="Q54" t="s">
        <v>32</v>
      </c>
      <c r="R54" s="3" t="s">
        <v>288</v>
      </c>
    </row>
    <row r="55" spans="1:18" ht="15.6" x14ac:dyDescent="0.3">
      <c r="A55" s="2">
        <v>46163</v>
      </c>
      <c r="B55">
        <v>139</v>
      </c>
      <c r="C55" t="s">
        <v>289</v>
      </c>
      <c r="D55" s="2">
        <v>46160</v>
      </c>
      <c r="E55" s="2">
        <v>46174</v>
      </c>
      <c r="F55" t="s">
        <v>290</v>
      </c>
      <c r="G55" t="s">
        <v>109</v>
      </c>
      <c r="H55" t="s">
        <v>291</v>
      </c>
      <c r="I55" t="s">
        <v>27</v>
      </c>
      <c r="J55" t="s">
        <v>292</v>
      </c>
      <c r="K55" t="s">
        <v>58</v>
      </c>
      <c r="L55" t="s">
        <v>30</v>
      </c>
      <c r="M55" t="s">
        <v>293</v>
      </c>
      <c r="N55" t="s">
        <v>30</v>
      </c>
      <c r="O55" t="s">
        <v>32</v>
      </c>
      <c r="P55" t="s">
        <v>30</v>
      </c>
      <c r="Q55" t="s">
        <v>32</v>
      </c>
      <c r="R55" s="3" t="s">
        <v>294</v>
      </c>
    </row>
    <row r="56" spans="1:18" ht="15.6" x14ac:dyDescent="0.3">
      <c r="A56" s="2">
        <v>46163</v>
      </c>
      <c r="B56">
        <v>138</v>
      </c>
      <c r="C56" t="s">
        <v>295</v>
      </c>
      <c r="D56" s="2">
        <v>46160</v>
      </c>
      <c r="E56" s="2">
        <v>46175</v>
      </c>
      <c r="F56" t="s">
        <v>75</v>
      </c>
      <c r="G56" t="s">
        <v>48</v>
      </c>
      <c r="H56" t="s">
        <v>296</v>
      </c>
      <c r="I56" t="s">
        <v>27</v>
      </c>
      <c r="J56" t="s">
        <v>77</v>
      </c>
      <c r="K56" t="s">
        <v>51</v>
      </c>
      <c r="L56" t="s">
        <v>30</v>
      </c>
      <c r="M56" t="s">
        <v>45</v>
      </c>
      <c r="N56" t="s">
        <v>39</v>
      </c>
      <c r="O56" s="2">
        <v>46167</v>
      </c>
      <c r="P56" t="s">
        <v>30</v>
      </c>
      <c r="Q56" t="s">
        <v>297</v>
      </c>
      <c r="R56" s="3" t="s">
        <v>298</v>
      </c>
    </row>
    <row r="57" spans="1:18" ht="15.6" x14ac:dyDescent="0.3">
      <c r="A57" s="2">
        <v>46163</v>
      </c>
      <c r="B57">
        <v>137</v>
      </c>
      <c r="C57" t="s">
        <v>299</v>
      </c>
      <c r="D57" s="2">
        <v>46160</v>
      </c>
      <c r="E57" s="2">
        <v>46175</v>
      </c>
      <c r="F57" t="s">
        <v>62</v>
      </c>
      <c r="G57" t="s">
        <v>25</v>
      </c>
      <c r="H57" t="s">
        <v>300</v>
      </c>
      <c r="I57" t="s">
        <v>27</v>
      </c>
      <c r="J57" t="s">
        <v>90</v>
      </c>
      <c r="K57" t="s">
        <v>37</v>
      </c>
      <c r="L57" t="s">
        <v>30</v>
      </c>
      <c r="M57" t="s">
        <v>301</v>
      </c>
      <c r="N57" t="s">
        <v>39</v>
      </c>
      <c r="O57" s="2">
        <v>46168</v>
      </c>
      <c r="P57" t="s">
        <v>39</v>
      </c>
      <c r="Q57" t="s">
        <v>302</v>
      </c>
      <c r="R57" s="3" t="s">
        <v>303</v>
      </c>
    </row>
    <row r="58" spans="1:18" ht="15.6" x14ac:dyDescent="0.3">
      <c r="A58" s="2">
        <v>46163</v>
      </c>
      <c r="B58">
        <v>136</v>
      </c>
      <c r="C58" t="s">
        <v>304</v>
      </c>
      <c r="D58" s="2">
        <v>46160</v>
      </c>
      <c r="E58" s="2">
        <v>46188</v>
      </c>
      <c r="F58" t="s">
        <v>24</v>
      </c>
      <c r="G58" t="s">
        <v>48</v>
      </c>
      <c r="H58" t="s">
        <v>305</v>
      </c>
      <c r="I58" t="s">
        <v>27</v>
      </c>
      <c r="J58" t="s">
        <v>117</v>
      </c>
      <c r="K58" t="s">
        <v>51</v>
      </c>
      <c r="L58" t="s">
        <v>30</v>
      </c>
      <c r="M58" t="s">
        <v>31</v>
      </c>
      <c r="N58" t="s">
        <v>30</v>
      </c>
      <c r="O58" t="s">
        <v>32</v>
      </c>
      <c r="P58" t="s">
        <v>30</v>
      </c>
      <c r="Q58" t="s">
        <v>32</v>
      </c>
      <c r="R58" s="3" t="s">
        <v>306</v>
      </c>
    </row>
    <row r="59" spans="1:18" ht="15.6" x14ac:dyDescent="0.3">
      <c r="A59" s="2">
        <v>46163</v>
      </c>
      <c r="B59">
        <v>135</v>
      </c>
      <c r="C59" t="s">
        <v>307</v>
      </c>
      <c r="D59" s="2">
        <v>46160</v>
      </c>
      <c r="E59" s="2">
        <v>46191</v>
      </c>
      <c r="F59" t="s">
        <v>62</v>
      </c>
      <c r="G59" t="s">
        <v>48</v>
      </c>
      <c r="H59" t="s">
        <v>308</v>
      </c>
      <c r="I59" t="s">
        <v>27</v>
      </c>
      <c r="J59" t="s">
        <v>309</v>
      </c>
      <c r="K59" t="s">
        <v>37</v>
      </c>
      <c r="L59" t="s">
        <v>30</v>
      </c>
      <c r="M59" t="s">
        <v>310</v>
      </c>
      <c r="N59" t="s">
        <v>30</v>
      </c>
      <c r="O59" t="s">
        <v>32</v>
      </c>
      <c r="P59" t="s">
        <v>30</v>
      </c>
      <c r="Q59" t="s">
        <v>32</v>
      </c>
      <c r="R59" s="3" t="s">
        <v>311</v>
      </c>
    </row>
    <row r="60" spans="1:18" ht="15.6" x14ac:dyDescent="0.3">
      <c r="A60" s="2">
        <v>46163</v>
      </c>
      <c r="B60">
        <v>134</v>
      </c>
      <c r="C60" t="s">
        <v>312</v>
      </c>
      <c r="D60" s="2">
        <v>46160</v>
      </c>
      <c r="E60" s="2">
        <v>46167</v>
      </c>
      <c r="F60" t="s">
        <v>42</v>
      </c>
      <c r="G60" t="s">
        <v>25</v>
      </c>
      <c r="H60" t="s">
        <v>313</v>
      </c>
      <c r="I60" t="s">
        <v>27</v>
      </c>
      <c r="J60" t="s">
        <v>44</v>
      </c>
      <c r="K60" t="s">
        <v>29</v>
      </c>
      <c r="L60" t="s">
        <v>30</v>
      </c>
      <c r="M60" t="s">
        <v>38</v>
      </c>
      <c r="N60" t="s">
        <v>30</v>
      </c>
      <c r="O60" t="s">
        <v>32</v>
      </c>
      <c r="P60" t="s">
        <v>30</v>
      </c>
      <c r="Q60" t="s">
        <v>32</v>
      </c>
      <c r="R60" s="3" t="s">
        <v>314</v>
      </c>
    </row>
    <row r="61" spans="1:18" ht="15.6" x14ac:dyDescent="0.3">
      <c r="A61" s="2">
        <v>46163</v>
      </c>
      <c r="B61">
        <v>133</v>
      </c>
      <c r="C61" t="s">
        <v>315</v>
      </c>
      <c r="D61" s="2">
        <v>46160</v>
      </c>
      <c r="E61" s="2">
        <v>46167</v>
      </c>
      <c r="F61" t="s">
        <v>316</v>
      </c>
      <c r="G61" t="s">
        <v>25</v>
      </c>
      <c r="H61" t="s">
        <v>317</v>
      </c>
      <c r="I61" t="s">
        <v>27</v>
      </c>
      <c r="J61" t="s">
        <v>318</v>
      </c>
      <c r="K61" t="s">
        <v>58</v>
      </c>
      <c r="L61" t="s">
        <v>30</v>
      </c>
      <c r="M61" t="s">
        <v>106</v>
      </c>
      <c r="N61" t="s">
        <v>30</v>
      </c>
      <c r="O61" t="s">
        <v>32</v>
      </c>
      <c r="P61" t="s">
        <v>30</v>
      </c>
      <c r="Q61" t="s">
        <v>32</v>
      </c>
      <c r="R61" s="3" t="s">
        <v>319</v>
      </c>
    </row>
    <row r="62" spans="1:18" ht="15.6" x14ac:dyDescent="0.3">
      <c r="A62" s="2">
        <v>46163</v>
      </c>
      <c r="B62">
        <v>132</v>
      </c>
      <c r="C62" t="s">
        <v>320</v>
      </c>
      <c r="D62" s="2">
        <v>46160</v>
      </c>
      <c r="E62" s="2">
        <v>46178</v>
      </c>
      <c r="F62" t="s">
        <v>24</v>
      </c>
      <c r="G62" t="s">
        <v>25</v>
      </c>
      <c r="H62" t="s">
        <v>321</v>
      </c>
      <c r="I62" t="s">
        <v>27</v>
      </c>
      <c r="J62" t="s">
        <v>322</v>
      </c>
      <c r="K62" t="s">
        <v>29</v>
      </c>
      <c r="L62" t="s">
        <v>30</v>
      </c>
      <c r="M62" t="s">
        <v>210</v>
      </c>
      <c r="N62" t="s">
        <v>39</v>
      </c>
      <c r="O62" t="s">
        <v>32</v>
      </c>
      <c r="P62" t="s">
        <v>39</v>
      </c>
      <c r="Q62" t="s">
        <v>323</v>
      </c>
      <c r="R62" s="3" t="s">
        <v>324</v>
      </c>
    </row>
    <row r="63" spans="1:18" ht="15.6" x14ac:dyDescent="0.3">
      <c r="A63" s="2">
        <v>46163</v>
      </c>
      <c r="B63">
        <v>131</v>
      </c>
      <c r="C63" t="s">
        <v>325</v>
      </c>
      <c r="D63" s="2">
        <v>46160</v>
      </c>
      <c r="E63" s="2">
        <v>46182</v>
      </c>
      <c r="F63" t="s">
        <v>62</v>
      </c>
      <c r="G63" t="s">
        <v>48</v>
      </c>
      <c r="H63" t="s">
        <v>326</v>
      </c>
      <c r="I63" t="s">
        <v>27</v>
      </c>
      <c r="J63" t="s">
        <v>327</v>
      </c>
      <c r="K63" t="s">
        <v>155</v>
      </c>
      <c r="L63" t="s">
        <v>30</v>
      </c>
      <c r="M63" t="s">
        <v>31</v>
      </c>
      <c r="N63" t="s">
        <v>39</v>
      </c>
      <c r="O63" s="2">
        <v>46169</v>
      </c>
      <c r="P63" t="s">
        <v>39</v>
      </c>
      <c r="Q63" t="s">
        <v>328</v>
      </c>
      <c r="R63" s="3" t="s">
        <v>329</v>
      </c>
    </row>
    <row r="64" spans="1:18" ht="15.6" x14ac:dyDescent="0.3">
      <c r="A64" s="2">
        <v>46163</v>
      </c>
      <c r="B64">
        <v>130</v>
      </c>
      <c r="C64" t="s">
        <v>330</v>
      </c>
      <c r="D64" s="2">
        <v>46160</v>
      </c>
      <c r="E64" s="2">
        <v>46167</v>
      </c>
      <c r="F64" t="s">
        <v>42</v>
      </c>
      <c r="G64" t="s">
        <v>25</v>
      </c>
      <c r="H64" t="s">
        <v>331</v>
      </c>
      <c r="I64" t="s">
        <v>27</v>
      </c>
      <c r="J64" t="s">
        <v>44</v>
      </c>
      <c r="K64" t="s">
        <v>29</v>
      </c>
      <c r="L64" t="s">
        <v>30</v>
      </c>
      <c r="M64" t="s">
        <v>45</v>
      </c>
      <c r="N64" t="s">
        <v>39</v>
      </c>
      <c r="O64" s="2">
        <v>46163</v>
      </c>
      <c r="P64" t="s">
        <v>39</v>
      </c>
      <c r="Q64" t="s">
        <v>187</v>
      </c>
      <c r="R64" s="3" t="s">
        <v>332</v>
      </c>
    </row>
    <row r="65" spans="1:18" ht="15.6" x14ac:dyDescent="0.3">
      <c r="A65" s="2">
        <v>46163</v>
      </c>
      <c r="B65">
        <v>129</v>
      </c>
      <c r="C65" t="s">
        <v>333</v>
      </c>
      <c r="D65" s="2">
        <v>46160</v>
      </c>
      <c r="E65" s="2">
        <v>46182</v>
      </c>
      <c r="F65" t="s">
        <v>62</v>
      </c>
      <c r="G65" t="s">
        <v>48</v>
      </c>
      <c r="H65" t="s">
        <v>334</v>
      </c>
      <c r="I65" t="s">
        <v>27</v>
      </c>
      <c r="J65" t="s">
        <v>335</v>
      </c>
      <c r="K65" t="s">
        <v>58</v>
      </c>
      <c r="L65" t="s">
        <v>30</v>
      </c>
      <c r="M65" t="s">
        <v>78</v>
      </c>
      <c r="N65" t="s">
        <v>39</v>
      </c>
      <c r="O65" s="2">
        <v>46169</v>
      </c>
      <c r="P65" t="s">
        <v>30</v>
      </c>
      <c r="Q65" t="s">
        <v>336</v>
      </c>
      <c r="R65" s="3" t="s">
        <v>337</v>
      </c>
    </row>
    <row r="66" spans="1:18" ht="15.6" x14ac:dyDescent="0.3">
      <c r="A66" s="2">
        <v>46163</v>
      </c>
      <c r="B66">
        <v>128</v>
      </c>
      <c r="C66" t="s">
        <v>338</v>
      </c>
      <c r="D66" s="2">
        <v>46161</v>
      </c>
      <c r="E66" s="2">
        <v>46169</v>
      </c>
      <c r="F66" t="s">
        <v>62</v>
      </c>
      <c r="G66" t="s">
        <v>25</v>
      </c>
      <c r="H66" t="s">
        <v>339</v>
      </c>
      <c r="I66" t="s">
        <v>27</v>
      </c>
      <c r="J66" t="s">
        <v>182</v>
      </c>
      <c r="K66" t="s">
        <v>91</v>
      </c>
      <c r="L66" t="s">
        <v>30</v>
      </c>
      <c r="M66" t="s">
        <v>31</v>
      </c>
      <c r="N66" t="s">
        <v>30</v>
      </c>
      <c r="O66" t="s">
        <v>32</v>
      </c>
      <c r="P66" t="s">
        <v>30</v>
      </c>
      <c r="Q66" t="s">
        <v>32</v>
      </c>
      <c r="R66" s="3" t="s">
        <v>340</v>
      </c>
    </row>
    <row r="67" spans="1:18" ht="15.6" x14ac:dyDescent="0.3">
      <c r="A67" s="2">
        <v>46163</v>
      </c>
      <c r="B67">
        <v>127</v>
      </c>
      <c r="C67" t="s">
        <v>341</v>
      </c>
      <c r="D67" s="2">
        <v>46161</v>
      </c>
      <c r="E67" s="2">
        <v>46168</v>
      </c>
      <c r="F67" t="s">
        <v>24</v>
      </c>
      <c r="G67" t="s">
        <v>25</v>
      </c>
      <c r="H67" t="s">
        <v>342</v>
      </c>
      <c r="I67" t="s">
        <v>27</v>
      </c>
      <c r="J67" t="s">
        <v>343</v>
      </c>
      <c r="K67" t="s">
        <v>58</v>
      </c>
      <c r="L67" t="s">
        <v>30</v>
      </c>
      <c r="M67" t="s">
        <v>45</v>
      </c>
      <c r="N67" t="s">
        <v>30</v>
      </c>
      <c r="O67" t="s">
        <v>32</v>
      </c>
      <c r="P67" t="s">
        <v>30</v>
      </c>
      <c r="Q67" t="s">
        <v>32</v>
      </c>
      <c r="R67" s="3" t="s">
        <v>344</v>
      </c>
    </row>
    <row r="68" spans="1:18" ht="15.6" x14ac:dyDescent="0.3">
      <c r="A68" s="2">
        <v>46163</v>
      </c>
      <c r="B68">
        <v>126</v>
      </c>
      <c r="C68" t="s">
        <v>345</v>
      </c>
      <c r="D68" s="2">
        <v>46161</v>
      </c>
      <c r="E68" s="2">
        <v>46167</v>
      </c>
      <c r="F68" t="s">
        <v>346</v>
      </c>
      <c r="G68" t="s">
        <v>109</v>
      </c>
      <c r="H68" t="s">
        <v>347</v>
      </c>
      <c r="I68" t="s">
        <v>27</v>
      </c>
      <c r="J68" t="s">
        <v>348</v>
      </c>
      <c r="K68" t="s">
        <v>29</v>
      </c>
      <c r="L68" t="s">
        <v>30</v>
      </c>
      <c r="M68" t="s">
        <v>271</v>
      </c>
      <c r="N68" t="s">
        <v>39</v>
      </c>
      <c r="O68" s="2">
        <v>46163</v>
      </c>
      <c r="P68" t="s">
        <v>30</v>
      </c>
      <c r="Q68" t="s">
        <v>349</v>
      </c>
      <c r="R68" s="3" t="s">
        <v>350</v>
      </c>
    </row>
    <row r="69" spans="1:18" ht="15.6" x14ac:dyDescent="0.3">
      <c r="A69" s="2">
        <v>46163</v>
      </c>
      <c r="B69">
        <v>125</v>
      </c>
      <c r="C69" t="s">
        <v>351</v>
      </c>
      <c r="D69" s="2">
        <v>46161</v>
      </c>
      <c r="E69" s="2">
        <v>46204</v>
      </c>
      <c r="F69" t="s">
        <v>24</v>
      </c>
      <c r="G69" t="s">
        <v>48</v>
      </c>
      <c r="H69" t="s">
        <v>352</v>
      </c>
      <c r="I69" t="s">
        <v>27</v>
      </c>
      <c r="J69" t="s">
        <v>353</v>
      </c>
      <c r="K69" t="s">
        <v>84</v>
      </c>
      <c r="L69" t="s">
        <v>30</v>
      </c>
      <c r="M69" t="s">
        <v>72</v>
      </c>
      <c r="N69" t="s">
        <v>30</v>
      </c>
      <c r="O69" t="s">
        <v>32</v>
      </c>
      <c r="P69" t="s">
        <v>30</v>
      </c>
      <c r="Q69" t="s">
        <v>32</v>
      </c>
      <c r="R69" s="3" t="s">
        <v>354</v>
      </c>
    </row>
    <row r="70" spans="1:18" ht="15.6" x14ac:dyDescent="0.3">
      <c r="A70" s="2">
        <v>46163</v>
      </c>
      <c r="B70">
        <v>124</v>
      </c>
      <c r="C70" t="s">
        <v>355</v>
      </c>
      <c r="D70" s="2">
        <v>46161</v>
      </c>
      <c r="E70" s="2">
        <v>46192</v>
      </c>
      <c r="F70" t="s">
        <v>75</v>
      </c>
      <c r="G70" t="s">
        <v>48</v>
      </c>
      <c r="H70" t="s">
        <v>356</v>
      </c>
      <c r="I70" t="s">
        <v>27</v>
      </c>
      <c r="J70" t="s">
        <v>77</v>
      </c>
      <c r="K70" t="s">
        <v>51</v>
      </c>
      <c r="L70" t="s">
        <v>30</v>
      </c>
      <c r="M70" t="s">
        <v>192</v>
      </c>
      <c r="N70" t="s">
        <v>30</v>
      </c>
      <c r="O70" t="s">
        <v>32</v>
      </c>
      <c r="P70" t="s">
        <v>30</v>
      </c>
      <c r="Q70" t="s">
        <v>32</v>
      </c>
      <c r="R70" s="3" t="s">
        <v>357</v>
      </c>
    </row>
    <row r="71" spans="1:18" ht="15.6" x14ac:dyDescent="0.3">
      <c r="A71" s="2">
        <v>46163</v>
      </c>
      <c r="B71">
        <v>123</v>
      </c>
      <c r="C71" t="s">
        <v>358</v>
      </c>
      <c r="D71" s="2">
        <v>46161</v>
      </c>
      <c r="E71" s="2">
        <v>46182</v>
      </c>
      <c r="F71" t="s">
        <v>24</v>
      </c>
      <c r="G71" t="s">
        <v>48</v>
      </c>
      <c r="H71" t="s">
        <v>359</v>
      </c>
      <c r="I71" t="s">
        <v>27</v>
      </c>
      <c r="J71" t="s">
        <v>360</v>
      </c>
      <c r="K71" t="s">
        <v>91</v>
      </c>
      <c r="L71" t="s">
        <v>30</v>
      </c>
      <c r="M71" t="s">
        <v>150</v>
      </c>
      <c r="N71" t="s">
        <v>39</v>
      </c>
      <c r="O71" s="2">
        <v>46167</v>
      </c>
      <c r="P71" t="s">
        <v>39</v>
      </c>
      <c r="Q71" t="s">
        <v>361</v>
      </c>
      <c r="R71" s="3" t="s">
        <v>362</v>
      </c>
    </row>
    <row r="72" spans="1:18" ht="15.6" x14ac:dyDescent="0.3">
      <c r="A72" s="2">
        <v>46163</v>
      </c>
      <c r="B72">
        <v>122</v>
      </c>
      <c r="C72" t="s">
        <v>363</v>
      </c>
      <c r="D72" s="2">
        <v>46161</v>
      </c>
      <c r="E72" s="2">
        <v>46188</v>
      </c>
      <c r="F72" t="s">
        <v>24</v>
      </c>
      <c r="G72" t="s">
        <v>48</v>
      </c>
      <c r="H72" t="s">
        <v>364</v>
      </c>
      <c r="I72" t="s">
        <v>27</v>
      </c>
      <c r="J72" t="s">
        <v>117</v>
      </c>
      <c r="K72" t="s">
        <v>51</v>
      </c>
      <c r="L72" t="s">
        <v>30</v>
      </c>
      <c r="M72" t="s">
        <v>365</v>
      </c>
      <c r="N72" t="s">
        <v>30</v>
      </c>
      <c r="O72" t="s">
        <v>32</v>
      </c>
      <c r="P72" t="s">
        <v>30</v>
      </c>
      <c r="Q72" t="s">
        <v>32</v>
      </c>
      <c r="R72" s="3" t="s">
        <v>366</v>
      </c>
    </row>
    <row r="73" spans="1:18" ht="15.6" x14ac:dyDescent="0.3">
      <c r="A73" s="2">
        <v>46163</v>
      </c>
      <c r="B73">
        <v>121</v>
      </c>
      <c r="C73" t="s">
        <v>367</v>
      </c>
      <c r="D73" s="2">
        <v>46161</v>
      </c>
      <c r="E73" s="2">
        <v>46182</v>
      </c>
      <c r="F73" t="s">
        <v>75</v>
      </c>
      <c r="G73" t="s">
        <v>48</v>
      </c>
      <c r="H73" t="s">
        <v>368</v>
      </c>
      <c r="I73" t="s">
        <v>27</v>
      </c>
      <c r="J73" t="s">
        <v>369</v>
      </c>
      <c r="K73" t="s">
        <v>84</v>
      </c>
      <c r="L73" t="s">
        <v>30</v>
      </c>
      <c r="M73" t="s">
        <v>72</v>
      </c>
      <c r="N73" t="s">
        <v>39</v>
      </c>
      <c r="O73" t="s">
        <v>32</v>
      </c>
      <c r="P73" t="s">
        <v>39</v>
      </c>
      <c r="Q73" t="s">
        <v>370</v>
      </c>
      <c r="R73" s="3" t="s">
        <v>371</v>
      </c>
    </row>
    <row r="74" spans="1:18" ht="15.6" x14ac:dyDescent="0.3">
      <c r="A74" s="2">
        <v>46163</v>
      </c>
      <c r="B74">
        <v>120</v>
      </c>
      <c r="C74" t="s">
        <v>372</v>
      </c>
      <c r="D74" s="2">
        <v>46161</v>
      </c>
      <c r="E74" s="2">
        <v>46167</v>
      </c>
      <c r="F74" t="s">
        <v>62</v>
      </c>
      <c r="G74" t="s">
        <v>25</v>
      </c>
      <c r="H74" t="s">
        <v>373</v>
      </c>
      <c r="I74" t="s">
        <v>27</v>
      </c>
      <c r="J74" t="s">
        <v>374</v>
      </c>
      <c r="K74" t="s">
        <v>58</v>
      </c>
      <c r="L74" t="s">
        <v>30</v>
      </c>
      <c r="M74" t="s">
        <v>38</v>
      </c>
      <c r="N74" t="s">
        <v>30</v>
      </c>
      <c r="O74" t="s">
        <v>32</v>
      </c>
      <c r="P74" t="s">
        <v>30</v>
      </c>
      <c r="Q74" t="s">
        <v>32</v>
      </c>
      <c r="R74" s="3" t="s">
        <v>375</v>
      </c>
    </row>
    <row r="75" spans="1:18" ht="15.6" x14ac:dyDescent="0.3">
      <c r="A75" s="2">
        <v>46163</v>
      </c>
      <c r="B75">
        <v>119</v>
      </c>
      <c r="C75" t="s">
        <v>376</v>
      </c>
      <c r="D75" s="2">
        <v>46161</v>
      </c>
      <c r="E75" s="2">
        <v>46185</v>
      </c>
      <c r="F75" t="s">
        <v>62</v>
      </c>
      <c r="G75" t="s">
        <v>48</v>
      </c>
      <c r="H75" t="s">
        <v>377</v>
      </c>
      <c r="I75" t="s">
        <v>27</v>
      </c>
      <c r="J75" t="s">
        <v>327</v>
      </c>
      <c r="K75" t="s">
        <v>37</v>
      </c>
      <c r="L75" t="s">
        <v>30</v>
      </c>
      <c r="M75" t="s">
        <v>31</v>
      </c>
      <c r="N75" t="s">
        <v>39</v>
      </c>
      <c r="O75" s="2">
        <v>46176</v>
      </c>
      <c r="P75" t="s">
        <v>39</v>
      </c>
      <c r="Q75" t="s">
        <v>328</v>
      </c>
      <c r="R75" s="3" t="s">
        <v>378</v>
      </c>
    </row>
    <row r="76" spans="1:18" ht="15.6" x14ac:dyDescent="0.3">
      <c r="A76" s="2">
        <v>46163</v>
      </c>
      <c r="B76">
        <v>118</v>
      </c>
      <c r="C76" t="s">
        <v>379</v>
      </c>
      <c r="D76" s="2">
        <v>46161</v>
      </c>
      <c r="E76" s="2">
        <v>46171</v>
      </c>
      <c r="F76" t="s">
        <v>42</v>
      </c>
      <c r="G76" t="s">
        <v>25</v>
      </c>
      <c r="H76" t="s">
        <v>380</v>
      </c>
      <c r="I76" t="s">
        <v>27</v>
      </c>
      <c r="J76" t="s">
        <v>44</v>
      </c>
      <c r="K76" t="s">
        <v>29</v>
      </c>
      <c r="L76" t="s">
        <v>30</v>
      </c>
      <c r="M76" t="s">
        <v>45</v>
      </c>
      <c r="N76" t="s">
        <v>39</v>
      </c>
      <c r="O76" s="2">
        <v>46164</v>
      </c>
      <c r="P76" t="s">
        <v>39</v>
      </c>
      <c r="Q76" t="s">
        <v>381</v>
      </c>
      <c r="R76" s="3" t="s">
        <v>382</v>
      </c>
    </row>
    <row r="77" spans="1:18" ht="15.6" x14ac:dyDescent="0.3">
      <c r="A77" s="2">
        <v>46163</v>
      </c>
      <c r="B77">
        <v>117</v>
      </c>
      <c r="C77" t="s">
        <v>383</v>
      </c>
      <c r="D77" s="2">
        <v>46161</v>
      </c>
      <c r="E77" s="2">
        <v>46185</v>
      </c>
      <c r="F77" t="s">
        <v>75</v>
      </c>
      <c r="G77" t="s">
        <v>25</v>
      </c>
      <c r="H77" t="s">
        <v>384</v>
      </c>
      <c r="I77" t="s">
        <v>27</v>
      </c>
      <c r="J77" t="s">
        <v>77</v>
      </c>
      <c r="K77" t="s">
        <v>385</v>
      </c>
      <c r="L77" t="s">
        <v>30</v>
      </c>
      <c r="M77" t="s">
        <v>38</v>
      </c>
      <c r="N77" t="s">
        <v>39</v>
      </c>
      <c r="O77" t="s">
        <v>32</v>
      </c>
      <c r="P77" t="s">
        <v>39</v>
      </c>
      <c r="Q77" t="s">
        <v>386</v>
      </c>
      <c r="R77" s="3" t="s">
        <v>387</v>
      </c>
    </row>
    <row r="78" spans="1:18" ht="15.6" x14ac:dyDescent="0.3">
      <c r="A78" s="2">
        <v>46163</v>
      </c>
      <c r="B78">
        <v>116</v>
      </c>
      <c r="C78" t="s">
        <v>388</v>
      </c>
      <c r="D78" s="2">
        <v>46161</v>
      </c>
      <c r="E78" s="2">
        <v>46196</v>
      </c>
      <c r="F78" t="s">
        <v>62</v>
      </c>
      <c r="G78" t="s">
        <v>48</v>
      </c>
      <c r="H78" t="s">
        <v>389</v>
      </c>
      <c r="I78" t="s">
        <v>27</v>
      </c>
      <c r="J78" t="s">
        <v>390</v>
      </c>
      <c r="K78" t="s">
        <v>65</v>
      </c>
      <c r="L78" t="s">
        <v>30</v>
      </c>
      <c r="M78" t="s">
        <v>113</v>
      </c>
      <c r="N78" t="s">
        <v>39</v>
      </c>
      <c r="O78" s="2">
        <v>46177</v>
      </c>
      <c r="P78" t="s">
        <v>30</v>
      </c>
      <c r="Q78" t="s">
        <v>391</v>
      </c>
      <c r="R78" s="3" t="s">
        <v>392</v>
      </c>
    </row>
    <row r="79" spans="1:18" ht="15.6" x14ac:dyDescent="0.3">
      <c r="A79" s="2">
        <v>46163</v>
      </c>
      <c r="B79">
        <v>115</v>
      </c>
      <c r="C79" t="s">
        <v>393</v>
      </c>
      <c r="D79" s="2">
        <v>46161</v>
      </c>
      <c r="E79" s="2">
        <v>46196</v>
      </c>
      <c r="F79" t="s">
        <v>24</v>
      </c>
      <c r="G79" t="s">
        <v>48</v>
      </c>
      <c r="H79" t="s">
        <v>394</v>
      </c>
      <c r="I79" t="s">
        <v>27</v>
      </c>
      <c r="J79" t="s">
        <v>353</v>
      </c>
      <c r="K79" t="s">
        <v>84</v>
      </c>
      <c r="L79" t="s">
        <v>30</v>
      </c>
      <c r="M79" t="s">
        <v>72</v>
      </c>
      <c r="N79" t="s">
        <v>30</v>
      </c>
      <c r="O79" t="s">
        <v>32</v>
      </c>
      <c r="P79" t="s">
        <v>30</v>
      </c>
      <c r="Q79" t="s">
        <v>32</v>
      </c>
      <c r="R79" s="3" t="s">
        <v>395</v>
      </c>
    </row>
    <row r="80" spans="1:18" ht="15.6" x14ac:dyDescent="0.3">
      <c r="A80" s="2">
        <v>46163</v>
      </c>
      <c r="B80">
        <v>114</v>
      </c>
      <c r="C80" t="s">
        <v>396</v>
      </c>
      <c r="D80" s="2">
        <v>46161</v>
      </c>
      <c r="E80" s="2">
        <v>46190</v>
      </c>
      <c r="F80" t="s">
        <v>24</v>
      </c>
      <c r="G80" t="s">
        <v>25</v>
      </c>
      <c r="H80" t="s">
        <v>397</v>
      </c>
      <c r="I80" t="s">
        <v>27</v>
      </c>
      <c r="J80" t="s">
        <v>398</v>
      </c>
      <c r="K80" t="s">
        <v>91</v>
      </c>
      <c r="L80" t="s">
        <v>30</v>
      </c>
      <c r="M80" t="s">
        <v>45</v>
      </c>
      <c r="N80" t="s">
        <v>30</v>
      </c>
      <c r="O80" t="s">
        <v>32</v>
      </c>
      <c r="P80" t="s">
        <v>30</v>
      </c>
      <c r="Q80" t="s">
        <v>32</v>
      </c>
      <c r="R80" s="3" t="s">
        <v>399</v>
      </c>
    </row>
    <row r="81" spans="1:18" ht="15.6" x14ac:dyDescent="0.3">
      <c r="A81" s="2">
        <v>46163</v>
      </c>
      <c r="B81">
        <v>113</v>
      </c>
      <c r="C81" t="s">
        <v>400</v>
      </c>
      <c r="D81" s="2">
        <v>46161</v>
      </c>
      <c r="E81" s="2">
        <v>46169</v>
      </c>
      <c r="F81" t="s">
        <v>62</v>
      </c>
      <c r="G81" t="s">
        <v>25</v>
      </c>
      <c r="H81" t="s">
        <v>401</v>
      </c>
      <c r="I81" t="s">
        <v>27</v>
      </c>
      <c r="J81" t="s">
        <v>402</v>
      </c>
      <c r="K81" t="s">
        <v>29</v>
      </c>
      <c r="L81" t="s">
        <v>30</v>
      </c>
      <c r="M81" t="s">
        <v>78</v>
      </c>
      <c r="N81" t="s">
        <v>30</v>
      </c>
      <c r="O81" t="s">
        <v>32</v>
      </c>
      <c r="P81" t="s">
        <v>30</v>
      </c>
      <c r="Q81" t="s">
        <v>32</v>
      </c>
      <c r="R81" s="3" t="s">
        <v>403</v>
      </c>
    </row>
    <row r="82" spans="1:18" ht="15.6" x14ac:dyDescent="0.3">
      <c r="A82" s="2">
        <v>46163</v>
      </c>
      <c r="B82">
        <v>112</v>
      </c>
      <c r="C82" t="s">
        <v>404</v>
      </c>
      <c r="D82" s="2">
        <v>46161</v>
      </c>
      <c r="E82" s="2">
        <v>46192</v>
      </c>
      <c r="F82" t="s">
        <v>24</v>
      </c>
      <c r="G82" t="s">
        <v>48</v>
      </c>
      <c r="H82" t="s">
        <v>405</v>
      </c>
      <c r="I82" t="s">
        <v>27</v>
      </c>
      <c r="J82" t="s">
        <v>406</v>
      </c>
      <c r="K82" t="s">
        <v>37</v>
      </c>
      <c r="L82" t="s">
        <v>30</v>
      </c>
      <c r="M82" t="s">
        <v>244</v>
      </c>
      <c r="N82" t="s">
        <v>39</v>
      </c>
      <c r="O82" s="2">
        <v>46175</v>
      </c>
      <c r="P82" t="s">
        <v>39</v>
      </c>
      <c r="Q82" t="s">
        <v>407</v>
      </c>
      <c r="R82" s="3" t="s">
        <v>408</v>
      </c>
    </row>
    <row r="83" spans="1:18" ht="15.6" x14ac:dyDescent="0.3">
      <c r="A83" s="2">
        <v>46163</v>
      </c>
      <c r="B83">
        <v>111</v>
      </c>
      <c r="C83" t="s">
        <v>409</v>
      </c>
      <c r="D83" s="2">
        <v>46161</v>
      </c>
      <c r="E83" s="2">
        <v>46192</v>
      </c>
      <c r="F83" t="s">
        <v>24</v>
      </c>
      <c r="G83" t="s">
        <v>109</v>
      </c>
      <c r="H83" t="s">
        <v>410</v>
      </c>
      <c r="I83" t="s">
        <v>27</v>
      </c>
      <c r="J83" t="s">
        <v>411</v>
      </c>
      <c r="K83" t="s">
        <v>37</v>
      </c>
      <c r="L83" t="s">
        <v>30</v>
      </c>
      <c r="M83" t="s">
        <v>31</v>
      </c>
      <c r="N83" t="s">
        <v>39</v>
      </c>
      <c r="O83" s="2">
        <v>46169</v>
      </c>
      <c r="P83" t="s">
        <v>39</v>
      </c>
      <c r="Q83" t="s">
        <v>412</v>
      </c>
      <c r="R83" s="3" t="s">
        <v>413</v>
      </c>
    </row>
    <row r="84" spans="1:18" ht="15.6" x14ac:dyDescent="0.3">
      <c r="A84" s="2">
        <v>46163</v>
      </c>
      <c r="B84">
        <v>110</v>
      </c>
      <c r="C84" t="s">
        <v>414</v>
      </c>
      <c r="D84" s="2">
        <v>46161</v>
      </c>
      <c r="E84" s="2">
        <v>46195</v>
      </c>
      <c r="F84" t="s">
        <v>75</v>
      </c>
      <c r="G84" t="s">
        <v>48</v>
      </c>
      <c r="H84" t="s">
        <v>415</v>
      </c>
      <c r="I84" t="s">
        <v>27</v>
      </c>
      <c r="J84" t="s">
        <v>77</v>
      </c>
      <c r="K84" t="s">
        <v>51</v>
      </c>
      <c r="L84" t="s">
        <v>30</v>
      </c>
      <c r="M84" t="s">
        <v>38</v>
      </c>
      <c r="N84" t="s">
        <v>30</v>
      </c>
      <c r="O84" t="s">
        <v>32</v>
      </c>
      <c r="P84" t="s">
        <v>30</v>
      </c>
      <c r="Q84" t="s">
        <v>32</v>
      </c>
      <c r="R84" s="3" t="s">
        <v>416</v>
      </c>
    </row>
    <row r="85" spans="1:18" ht="15.6" x14ac:dyDescent="0.3">
      <c r="A85" s="2">
        <v>46163</v>
      </c>
      <c r="B85">
        <v>109</v>
      </c>
      <c r="C85" t="s">
        <v>417</v>
      </c>
      <c r="D85" s="2">
        <v>46161</v>
      </c>
      <c r="E85" s="2">
        <v>46168</v>
      </c>
      <c r="F85" t="s">
        <v>24</v>
      </c>
      <c r="G85" t="s">
        <v>25</v>
      </c>
      <c r="H85" t="s">
        <v>418</v>
      </c>
      <c r="I85" t="s">
        <v>27</v>
      </c>
      <c r="J85" t="s">
        <v>96</v>
      </c>
      <c r="K85" t="s">
        <v>37</v>
      </c>
      <c r="L85" t="s">
        <v>30</v>
      </c>
      <c r="M85" t="s">
        <v>38</v>
      </c>
      <c r="N85" t="s">
        <v>30</v>
      </c>
      <c r="O85" t="s">
        <v>32</v>
      </c>
      <c r="P85" t="s">
        <v>30</v>
      </c>
      <c r="Q85" t="s">
        <v>32</v>
      </c>
      <c r="R85" s="3" t="s">
        <v>419</v>
      </c>
    </row>
    <row r="86" spans="1:18" ht="15.6" x14ac:dyDescent="0.3">
      <c r="A86" s="2">
        <v>46163</v>
      </c>
      <c r="B86">
        <v>108</v>
      </c>
      <c r="C86" t="s">
        <v>420</v>
      </c>
      <c r="D86" s="2">
        <v>46161</v>
      </c>
      <c r="E86" s="2">
        <v>46174</v>
      </c>
      <c r="F86" t="s">
        <v>75</v>
      </c>
      <c r="G86" t="s">
        <v>48</v>
      </c>
      <c r="H86" t="s">
        <v>421</v>
      </c>
      <c r="I86" t="s">
        <v>27</v>
      </c>
      <c r="J86" t="s">
        <v>422</v>
      </c>
      <c r="K86" t="s">
        <v>91</v>
      </c>
      <c r="L86" t="s">
        <v>30</v>
      </c>
      <c r="M86" t="s">
        <v>38</v>
      </c>
      <c r="N86" t="s">
        <v>39</v>
      </c>
      <c r="O86" s="2">
        <v>46164</v>
      </c>
      <c r="P86" t="s">
        <v>39</v>
      </c>
      <c r="Q86" t="s">
        <v>423</v>
      </c>
      <c r="R86" s="3" t="s">
        <v>424</v>
      </c>
    </row>
    <row r="87" spans="1:18" ht="15.6" x14ac:dyDescent="0.3">
      <c r="A87" s="2">
        <v>46163</v>
      </c>
      <c r="B87">
        <v>107</v>
      </c>
      <c r="C87" t="s">
        <v>425</v>
      </c>
      <c r="D87" s="2">
        <v>46161</v>
      </c>
      <c r="E87" s="2">
        <v>46183</v>
      </c>
      <c r="F87" t="s">
        <v>75</v>
      </c>
      <c r="G87" t="s">
        <v>48</v>
      </c>
      <c r="H87" t="s">
        <v>426</v>
      </c>
      <c r="I87" t="s">
        <v>27</v>
      </c>
      <c r="J87" t="s">
        <v>77</v>
      </c>
      <c r="K87" t="s">
        <v>58</v>
      </c>
      <c r="L87" t="s">
        <v>30</v>
      </c>
      <c r="M87" t="s">
        <v>38</v>
      </c>
      <c r="N87" t="s">
        <v>39</v>
      </c>
      <c r="O87" s="2">
        <v>46168</v>
      </c>
      <c r="P87" t="s">
        <v>30</v>
      </c>
      <c r="Q87" t="s">
        <v>386</v>
      </c>
      <c r="R87" s="3" t="s">
        <v>427</v>
      </c>
    </row>
    <row r="88" spans="1:18" ht="15.6" x14ac:dyDescent="0.3">
      <c r="A88" s="2">
        <v>46163</v>
      </c>
      <c r="B88">
        <v>106</v>
      </c>
      <c r="C88" t="s">
        <v>428</v>
      </c>
      <c r="D88" s="2">
        <v>46161</v>
      </c>
      <c r="E88" s="2">
        <v>46183</v>
      </c>
      <c r="F88" t="s">
        <v>75</v>
      </c>
      <c r="G88" t="s">
        <v>48</v>
      </c>
      <c r="H88" t="s">
        <v>429</v>
      </c>
      <c r="I88" t="s">
        <v>27</v>
      </c>
      <c r="J88" t="s">
        <v>77</v>
      </c>
      <c r="K88" t="s">
        <v>58</v>
      </c>
      <c r="L88" t="s">
        <v>30</v>
      </c>
      <c r="M88" t="s">
        <v>38</v>
      </c>
      <c r="N88" t="s">
        <v>39</v>
      </c>
      <c r="O88" t="s">
        <v>32</v>
      </c>
      <c r="P88" t="s">
        <v>30</v>
      </c>
      <c r="Q88" t="s">
        <v>386</v>
      </c>
      <c r="R88" s="3" t="s">
        <v>430</v>
      </c>
    </row>
    <row r="89" spans="1:18" ht="15.6" x14ac:dyDescent="0.3">
      <c r="A89" s="2">
        <v>46163</v>
      </c>
      <c r="B89">
        <v>105</v>
      </c>
      <c r="C89" t="s">
        <v>431</v>
      </c>
      <c r="D89" s="2">
        <v>46161</v>
      </c>
      <c r="E89" s="2">
        <v>46185</v>
      </c>
      <c r="F89" t="s">
        <v>62</v>
      </c>
      <c r="G89" t="s">
        <v>109</v>
      </c>
      <c r="H89" t="s">
        <v>432</v>
      </c>
      <c r="I89" t="s">
        <v>27</v>
      </c>
      <c r="J89" t="s">
        <v>111</v>
      </c>
      <c r="K89" t="s">
        <v>155</v>
      </c>
      <c r="L89" t="s">
        <v>30</v>
      </c>
      <c r="M89" t="s">
        <v>113</v>
      </c>
      <c r="N89" t="s">
        <v>30</v>
      </c>
      <c r="O89" t="s">
        <v>32</v>
      </c>
      <c r="P89" t="s">
        <v>30</v>
      </c>
      <c r="Q89" t="s">
        <v>32</v>
      </c>
      <c r="R89" s="3" t="s">
        <v>433</v>
      </c>
    </row>
    <row r="90" spans="1:18" ht="15.6" x14ac:dyDescent="0.3">
      <c r="A90" s="2">
        <v>46163</v>
      </c>
      <c r="B90">
        <v>104</v>
      </c>
      <c r="C90" t="s">
        <v>434</v>
      </c>
      <c r="D90" s="2">
        <v>46161</v>
      </c>
      <c r="E90" s="2">
        <v>46190</v>
      </c>
      <c r="F90" t="s">
        <v>24</v>
      </c>
      <c r="G90" t="s">
        <v>25</v>
      </c>
      <c r="H90" t="s">
        <v>435</v>
      </c>
      <c r="I90" t="s">
        <v>27</v>
      </c>
      <c r="J90" t="s">
        <v>398</v>
      </c>
      <c r="K90" t="s">
        <v>91</v>
      </c>
      <c r="L90" t="s">
        <v>30</v>
      </c>
      <c r="M90" t="s">
        <v>186</v>
      </c>
      <c r="N90" t="s">
        <v>30</v>
      </c>
      <c r="O90" t="s">
        <v>32</v>
      </c>
      <c r="P90" t="s">
        <v>30</v>
      </c>
      <c r="Q90" t="s">
        <v>32</v>
      </c>
      <c r="R90" s="3" t="s">
        <v>436</v>
      </c>
    </row>
    <row r="91" spans="1:18" ht="15.6" x14ac:dyDescent="0.3">
      <c r="A91" s="2">
        <v>46163</v>
      </c>
      <c r="B91">
        <v>103</v>
      </c>
      <c r="C91" t="s">
        <v>437</v>
      </c>
      <c r="D91" s="2">
        <v>46161</v>
      </c>
      <c r="E91" s="2">
        <v>46168</v>
      </c>
      <c r="F91" t="s">
        <v>62</v>
      </c>
      <c r="G91" t="s">
        <v>25</v>
      </c>
      <c r="H91" t="s">
        <v>438</v>
      </c>
      <c r="I91" t="s">
        <v>27</v>
      </c>
      <c r="J91" t="s">
        <v>402</v>
      </c>
      <c r="K91" t="s">
        <v>29</v>
      </c>
      <c r="L91" t="s">
        <v>30</v>
      </c>
      <c r="M91" t="s">
        <v>146</v>
      </c>
      <c r="N91" t="s">
        <v>30</v>
      </c>
      <c r="O91" t="s">
        <v>32</v>
      </c>
      <c r="P91" t="s">
        <v>30</v>
      </c>
      <c r="Q91" t="s">
        <v>32</v>
      </c>
      <c r="R91" s="3" t="s">
        <v>439</v>
      </c>
    </row>
    <row r="92" spans="1:18" ht="15.6" x14ac:dyDescent="0.3">
      <c r="A92" s="2">
        <v>46163</v>
      </c>
      <c r="B92">
        <v>102</v>
      </c>
      <c r="C92" t="s">
        <v>440</v>
      </c>
      <c r="D92" s="2">
        <v>46161</v>
      </c>
      <c r="E92" s="2">
        <v>46190</v>
      </c>
      <c r="F92" t="s">
        <v>24</v>
      </c>
      <c r="G92" t="s">
        <v>25</v>
      </c>
      <c r="H92" t="s">
        <v>441</v>
      </c>
      <c r="I92" t="s">
        <v>27</v>
      </c>
      <c r="J92" t="s">
        <v>398</v>
      </c>
      <c r="K92" t="s">
        <v>91</v>
      </c>
      <c r="L92" t="s">
        <v>30</v>
      </c>
      <c r="M92" t="s">
        <v>45</v>
      </c>
      <c r="N92" t="s">
        <v>30</v>
      </c>
      <c r="O92" t="s">
        <v>32</v>
      </c>
      <c r="P92" t="s">
        <v>30</v>
      </c>
      <c r="Q92" t="s">
        <v>32</v>
      </c>
      <c r="R92" s="3" t="s">
        <v>442</v>
      </c>
    </row>
    <row r="93" spans="1:18" ht="15.6" x14ac:dyDescent="0.3">
      <c r="A93" s="2">
        <v>46163</v>
      </c>
      <c r="B93">
        <v>101</v>
      </c>
      <c r="C93" t="s">
        <v>443</v>
      </c>
      <c r="D93" s="2">
        <v>46161</v>
      </c>
      <c r="E93" s="2">
        <v>46192</v>
      </c>
      <c r="F93" t="s">
        <v>75</v>
      </c>
      <c r="G93" t="s">
        <v>25</v>
      </c>
      <c r="H93" t="s">
        <v>444</v>
      </c>
      <c r="I93" t="s">
        <v>27</v>
      </c>
      <c r="J93" t="s">
        <v>77</v>
      </c>
      <c r="K93" t="s">
        <v>29</v>
      </c>
      <c r="L93" t="s">
        <v>30</v>
      </c>
      <c r="M93" t="s">
        <v>31</v>
      </c>
      <c r="N93" t="s">
        <v>39</v>
      </c>
      <c r="O93" t="s">
        <v>32</v>
      </c>
      <c r="P93" t="s">
        <v>39</v>
      </c>
      <c r="Q93" t="s">
        <v>386</v>
      </c>
      <c r="R93" s="3" t="s">
        <v>445</v>
      </c>
    </row>
    <row r="94" spans="1:18" ht="15.6" x14ac:dyDescent="0.3">
      <c r="A94" s="2">
        <v>46163</v>
      </c>
      <c r="B94">
        <v>100</v>
      </c>
      <c r="C94" t="s">
        <v>446</v>
      </c>
      <c r="D94" s="2">
        <v>46161</v>
      </c>
      <c r="E94" s="2">
        <v>46185</v>
      </c>
      <c r="F94" t="s">
        <v>62</v>
      </c>
      <c r="G94" t="s">
        <v>109</v>
      </c>
      <c r="H94" t="s">
        <v>447</v>
      </c>
      <c r="I94" t="s">
        <v>27</v>
      </c>
      <c r="J94" t="s">
        <v>448</v>
      </c>
      <c r="K94" t="s">
        <v>58</v>
      </c>
      <c r="L94" t="s">
        <v>30</v>
      </c>
      <c r="M94" t="s">
        <v>31</v>
      </c>
      <c r="N94" t="s">
        <v>39</v>
      </c>
      <c r="O94" s="2">
        <v>46168</v>
      </c>
      <c r="P94" t="s">
        <v>30</v>
      </c>
      <c r="Q94" t="s">
        <v>449</v>
      </c>
      <c r="R94" s="3" t="s">
        <v>450</v>
      </c>
    </row>
    <row r="95" spans="1:18" ht="15.6" x14ac:dyDescent="0.3">
      <c r="A95" s="2">
        <v>46163</v>
      </c>
      <c r="B95">
        <v>99</v>
      </c>
      <c r="C95" t="s">
        <v>451</v>
      </c>
      <c r="D95" s="2">
        <v>46161</v>
      </c>
      <c r="E95" s="2">
        <v>46204</v>
      </c>
      <c r="F95" t="s">
        <v>24</v>
      </c>
      <c r="G95" t="s">
        <v>48</v>
      </c>
      <c r="H95" t="s">
        <v>452</v>
      </c>
      <c r="I95" t="s">
        <v>27</v>
      </c>
      <c r="J95" t="s">
        <v>353</v>
      </c>
      <c r="K95" t="s">
        <v>84</v>
      </c>
      <c r="L95" t="s">
        <v>30</v>
      </c>
      <c r="M95" t="s">
        <v>106</v>
      </c>
      <c r="N95" t="s">
        <v>30</v>
      </c>
      <c r="O95" t="s">
        <v>32</v>
      </c>
      <c r="P95" t="s">
        <v>30</v>
      </c>
      <c r="Q95" t="s">
        <v>32</v>
      </c>
      <c r="R95" s="3" t="s">
        <v>453</v>
      </c>
    </row>
    <row r="96" spans="1:18" ht="15.6" x14ac:dyDescent="0.3">
      <c r="A96" s="2">
        <v>46163</v>
      </c>
      <c r="B96">
        <v>98</v>
      </c>
      <c r="C96" t="s">
        <v>454</v>
      </c>
      <c r="D96" s="2">
        <v>46161</v>
      </c>
      <c r="E96" s="2">
        <v>46182</v>
      </c>
      <c r="F96" t="s">
        <v>62</v>
      </c>
      <c r="G96" t="s">
        <v>48</v>
      </c>
      <c r="H96" t="s">
        <v>455</v>
      </c>
      <c r="I96" t="s">
        <v>27</v>
      </c>
      <c r="J96" t="s">
        <v>456</v>
      </c>
      <c r="K96" t="s">
        <v>84</v>
      </c>
      <c r="L96" t="s">
        <v>30</v>
      </c>
      <c r="M96" t="s">
        <v>72</v>
      </c>
      <c r="N96" t="s">
        <v>30</v>
      </c>
      <c r="O96" t="s">
        <v>32</v>
      </c>
      <c r="P96" t="s">
        <v>30</v>
      </c>
      <c r="Q96" t="s">
        <v>32</v>
      </c>
      <c r="R96" s="3" t="s">
        <v>457</v>
      </c>
    </row>
    <row r="97" spans="1:18" ht="15.6" x14ac:dyDescent="0.3">
      <c r="A97" s="2">
        <v>46163</v>
      </c>
      <c r="B97">
        <v>97</v>
      </c>
      <c r="C97" t="s">
        <v>458</v>
      </c>
      <c r="D97" s="2">
        <v>46161</v>
      </c>
      <c r="E97" s="2">
        <v>46190</v>
      </c>
      <c r="F97" t="s">
        <v>24</v>
      </c>
      <c r="G97" t="s">
        <v>25</v>
      </c>
      <c r="H97" t="s">
        <v>459</v>
      </c>
      <c r="I97" t="s">
        <v>27</v>
      </c>
      <c r="J97" t="s">
        <v>398</v>
      </c>
      <c r="K97" t="s">
        <v>91</v>
      </c>
      <c r="L97" t="s">
        <v>30</v>
      </c>
      <c r="M97" t="s">
        <v>45</v>
      </c>
      <c r="N97" t="s">
        <v>30</v>
      </c>
      <c r="O97" t="s">
        <v>32</v>
      </c>
      <c r="P97" t="s">
        <v>30</v>
      </c>
      <c r="Q97" t="s">
        <v>32</v>
      </c>
      <c r="R97" s="3" t="s">
        <v>460</v>
      </c>
    </row>
    <row r="98" spans="1:18" ht="15.6" x14ac:dyDescent="0.3">
      <c r="A98" s="2">
        <v>46163</v>
      </c>
      <c r="B98">
        <v>96</v>
      </c>
      <c r="C98" t="s">
        <v>461</v>
      </c>
      <c r="D98" s="2">
        <v>46161</v>
      </c>
      <c r="E98" s="2">
        <v>46167</v>
      </c>
      <c r="F98" t="s">
        <v>346</v>
      </c>
      <c r="G98" t="s">
        <v>109</v>
      </c>
      <c r="H98" t="s">
        <v>462</v>
      </c>
      <c r="I98" t="s">
        <v>27</v>
      </c>
      <c r="J98" t="s">
        <v>348</v>
      </c>
      <c r="K98" t="s">
        <v>29</v>
      </c>
      <c r="L98" t="s">
        <v>30</v>
      </c>
      <c r="M98" t="s">
        <v>271</v>
      </c>
      <c r="N98" t="s">
        <v>39</v>
      </c>
      <c r="O98" s="2">
        <v>46163</v>
      </c>
      <c r="P98" t="s">
        <v>39</v>
      </c>
      <c r="Q98" t="s">
        <v>463</v>
      </c>
      <c r="R98" s="3" t="s">
        <v>464</v>
      </c>
    </row>
    <row r="99" spans="1:18" ht="15.6" x14ac:dyDescent="0.3">
      <c r="A99" s="2">
        <v>46163</v>
      </c>
      <c r="B99">
        <v>95</v>
      </c>
      <c r="C99" t="s">
        <v>465</v>
      </c>
      <c r="D99" s="2">
        <v>46161</v>
      </c>
      <c r="E99" s="2">
        <v>46169</v>
      </c>
      <c r="F99" t="s">
        <v>62</v>
      </c>
      <c r="G99" t="s">
        <v>25</v>
      </c>
      <c r="H99" t="s">
        <v>466</v>
      </c>
      <c r="I99" t="s">
        <v>27</v>
      </c>
      <c r="J99" t="s">
        <v>182</v>
      </c>
      <c r="K99" t="s">
        <v>91</v>
      </c>
      <c r="L99" t="s">
        <v>30</v>
      </c>
      <c r="M99" t="s">
        <v>31</v>
      </c>
      <c r="N99" t="s">
        <v>30</v>
      </c>
      <c r="O99" t="s">
        <v>32</v>
      </c>
      <c r="P99" t="s">
        <v>30</v>
      </c>
      <c r="Q99" t="s">
        <v>32</v>
      </c>
      <c r="R99" s="3" t="s">
        <v>467</v>
      </c>
    </row>
    <row r="100" spans="1:18" ht="15.6" x14ac:dyDescent="0.3">
      <c r="A100" s="2">
        <v>46163</v>
      </c>
      <c r="B100">
        <v>94</v>
      </c>
      <c r="C100" t="s">
        <v>468</v>
      </c>
      <c r="D100" s="2">
        <v>46161</v>
      </c>
      <c r="E100" s="2">
        <v>46182</v>
      </c>
      <c r="F100" t="s">
        <v>24</v>
      </c>
      <c r="G100" t="s">
        <v>109</v>
      </c>
      <c r="H100" t="s">
        <v>469</v>
      </c>
      <c r="I100" t="s">
        <v>27</v>
      </c>
      <c r="J100" t="s">
        <v>470</v>
      </c>
      <c r="K100" t="s">
        <v>91</v>
      </c>
      <c r="L100" t="s">
        <v>30</v>
      </c>
      <c r="M100" t="s">
        <v>106</v>
      </c>
      <c r="N100" t="s">
        <v>39</v>
      </c>
      <c r="O100" s="2">
        <v>46168</v>
      </c>
      <c r="P100" t="s">
        <v>39</v>
      </c>
      <c r="Q100" t="s">
        <v>471</v>
      </c>
      <c r="R100" s="3" t="s">
        <v>472</v>
      </c>
    </row>
    <row r="101" spans="1:18" ht="15.6" x14ac:dyDescent="0.3">
      <c r="A101" s="2">
        <v>46163</v>
      </c>
      <c r="B101">
        <v>93</v>
      </c>
      <c r="C101" t="s">
        <v>473</v>
      </c>
      <c r="D101" s="2">
        <v>46161</v>
      </c>
      <c r="E101" s="2">
        <v>46175</v>
      </c>
      <c r="F101" t="s">
        <v>290</v>
      </c>
      <c r="G101" t="s">
        <v>109</v>
      </c>
      <c r="H101" t="s">
        <v>474</v>
      </c>
      <c r="I101" t="s">
        <v>27</v>
      </c>
      <c r="J101" t="s">
        <v>292</v>
      </c>
      <c r="K101" t="s">
        <v>58</v>
      </c>
      <c r="L101" t="s">
        <v>30</v>
      </c>
      <c r="M101" t="s">
        <v>106</v>
      </c>
      <c r="N101" t="s">
        <v>30</v>
      </c>
      <c r="O101" t="s">
        <v>32</v>
      </c>
      <c r="P101" t="s">
        <v>30</v>
      </c>
      <c r="Q101" t="s">
        <v>32</v>
      </c>
      <c r="R101" s="3" t="s">
        <v>475</v>
      </c>
    </row>
    <row r="102" spans="1:18" ht="15.6" x14ac:dyDescent="0.3">
      <c r="A102" s="2">
        <v>46163</v>
      </c>
      <c r="B102">
        <v>92</v>
      </c>
      <c r="C102" t="s">
        <v>476</v>
      </c>
      <c r="D102" s="2">
        <v>46161</v>
      </c>
      <c r="E102" s="2">
        <v>46182</v>
      </c>
      <c r="F102" t="s">
        <v>24</v>
      </c>
      <c r="G102" t="s">
        <v>109</v>
      </c>
      <c r="H102" t="s">
        <v>477</v>
      </c>
      <c r="I102" t="s">
        <v>27</v>
      </c>
      <c r="J102" t="s">
        <v>470</v>
      </c>
      <c r="K102" t="s">
        <v>91</v>
      </c>
      <c r="L102" t="s">
        <v>30</v>
      </c>
      <c r="M102" t="s">
        <v>106</v>
      </c>
      <c r="N102" t="s">
        <v>39</v>
      </c>
      <c r="O102" s="2">
        <v>46168</v>
      </c>
      <c r="P102" t="s">
        <v>39</v>
      </c>
      <c r="Q102" t="s">
        <v>471</v>
      </c>
      <c r="R102" s="3" t="s">
        <v>478</v>
      </c>
    </row>
    <row r="103" spans="1:18" ht="15.6" x14ac:dyDescent="0.3">
      <c r="A103" s="2">
        <v>46163</v>
      </c>
      <c r="B103">
        <v>91</v>
      </c>
      <c r="C103" t="s">
        <v>479</v>
      </c>
      <c r="D103" s="2">
        <v>46161</v>
      </c>
      <c r="E103" s="2">
        <v>46185</v>
      </c>
      <c r="F103" t="s">
        <v>62</v>
      </c>
      <c r="G103" t="s">
        <v>48</v>
      </c>
      <c r="H103" t="s">
        <v>480</v>
      </c>
      <c r="I103" t="s">
        <v>27</v>
      </c>
      <c r="J103" t="s">
        <v>481</v>
      </c>
      <c r="K103" t="s">
        <v>29</v>
      </c>
      <c r="L103" t="s">
        <v>30</v>
      </c>
      <c r="M103" t="s">
        <v>85</v>
      </c>
      <c r="N103" t="s">
        <v>39</v>
      </c>
      <c r="O103" s="2">
        <v>46175</v>
      </c>
      <c r="P103" t="s">
        <v>39</v>
      </c>
      <c r="Q103" t="s">
        <v>482</v>
      </c>
      <c r="R103" s="3" t="s">
        <v>483</v>
      </c>
    </row>
    <row r="104" spans="1:18" ht="15.6" x14ac:dyDescent="0.3">
      <c r="A104" s="2">
        <v>46163</v>
      </c>
      <c r="B104">
        <v>90</v>
      </c>
      <c r="C104" t="s">
        <v>484</v>
      </c>
      <c r="D104" s="2">
        <v>46161</v>
      </c>
      <c r="E104" s="2">
        <v>46171</v>
      </c>
      <c r="F104" t="s">
        <v>62</v>
      </c>
      <c r="G104" t="s">
        <v>25</v>
      </c>
      <c r="H104" t="s">
        <v>485</v>
      </c>
      <c r="I104" t="s">
        <v>27</v>
      </c>
      <c r="J104" t="s">
        <v>486</v>
      </c>
      <c r="K104" t="s">
        <v>29</v>
      </c>
      <c r="L104" t="s">
        <v>30</v>
      </c>
      <c r="M104" t="s">
        <v>106</v>
      </c>
      <c r="N104" t="s">
        <v>30</v>
      </c>
      <c r="O104" t="s">
        <v>32</v>
      </c>
      <c r="P104" t="s">
        <v>30</v>
      </c>
      <c r="Q104" t="s">
        <v>32</v>
      </c>
      <c r="R104" s="3" t="s">
        <v>487</v>
      </c>
    </row>
    <row r="105" spans="1:18" ht="15.6" x14ac:dyDescent="0.3">
      <c r="A105" s="2">
        <v>46163</v>
      </c>
      <c r="B105">
        <v>89</v>
      </c>
      <c r="C105" t="s">
        <v>488</v>
      </c>
      <c r="D105" s="2">
        <v>46161</v>
      </c>
      <c r="E105" s="2">
        <v>46192</v>
      </c>
      <c r="F105" t="s">
        <v>62</v>
      </c>
      <c r="G105" t="s">
        <v>48</v>
      </c>
      <c r="H105" t="s">
        <v>489</v>
      </c>
      <c r="I105" t="s">
        <v>27</v>
      </c>
      <c r="J105" t="s">
        <v>490</v>
      </c>
      <c r="K105" t="s">
        <v>91</v>
      </c>
      <c r="L105" t="s">
        <v>30</v>
      </c>
      <c r="M105" t="s">
        <v>491</v>
      </c>
      <c r="N105" t="s">
        <v>30</v>
      </c>
      <c r="O105" t="s">
        <v>32</v>
      </c>
      <c r="P105" t="s">
        <v>30</v>
      </c>
      <c r="Q105" t="s">
        <v>32</v>
      </c>
      <c r="R105" s="3" t="s">
        <v>492</v>
      </c>
    </row>
    <row r="106" spans="1:18" ht="15.6" x14ac:dyDescent="0.3">
      <c r="A106" s="2">
        <v>46163</v>
      </c>
      <c r="B106">
        <v>88</v>
      </c>
      <c r="C106" t="s">
        <v>493</v>
      </c>
      <c r="D106" s="2">
        <v>46161</v>
      </c>
      <c r="E106" s="2">
        <v>46198</v>
      </c>
      <c r="F106" t="s">
        <v>24</v>
      </c>
      <c r="G106" t="s">
        <v>48</v>
      </c>
      <c r="H106" t="s">
        <v>494</v>
      </c>
      <c r="I106" t="s">
        <v>27</v>
      </c>
      <c r="J106" t="s">
        <v>495</v>
      </c>
      <c r="K106" t="s">
        <v>91</v>
      </c>
      <c r="L106" t="s">
        <v>30</v>
      </c>
      <c r="M106" t="s">
        <v>38</v>
      </c>
      <c r="N106" t="s">
        <v>39</v>
      </c>
      <c r="O106" t="s">
        <v>32</v>
      </c>
      <c r="P106" t="s">
        <v>39</v>
      </c>
      <c r="Q106" t="s">
        <v>496</v>
      </c>
      <c r="R106" s="3" t="s">
        <v>497</v>
      </c>
    </row>
    <row r="107" spans="1:18" ht="15.6" x14ac:dyDescent="0.3">
      <c r="A107" s="2">
        <v>46163</v>
      </c>
      <c r="B107">
        <v>87</v>
      </c>
      <c r="C107" t="s">
        <v>498</v>
      </c>
      <c r="D107" s="2">
        <v>46161</v>
      </c>
      <c r="E107" s="2">
        <v>46183</v>
      </c>
      <c r="F107" t="s">
        <v>75</v>
      </c>
      <c r="G107" t="s">
        <v>282</v>
      </c>
      <c r="H107" t="s">
        <v>499</v>
      </c>
      <c r="I107" t="s">
        <v>27</v>
      </c>
      <c r="J107" t="s">
        <v>77</v>
      </c>
      <c r="K107" t="s">
        <v>29</v>
      </c>
      <c r="L107" t="s">
        <v>30</v>
      </c>
      <c r="M107" t="s">
        <v>500</v>
      </c>
      <c r="N107" t="s">
        <v>30</v>
      </c>
      <c r="O107" t="s">
        <v>32</v>
      </c>
      <c r="P107" t="s">
        <v>30</v>
      </c>
      <c r="Q107" t="s">
        <v>32</v>
      </c>
      <c r="R107" s="3" t="s">
        <v>501</v>
      </c>
    </row>
    <row r="108" spans="1:18" ht="15.6" x14ac:dyDescent="0.3">
      <c r="A108" s="2">
        <v>46163</v>
      </c>
      <c r="B108">
        <v>86</v>
      </c>
      <c r="C108" t="s">
        <v>502</v>
      </c>
      <c r="D108" s="2">
        <v>46161</v>
      </c>
      <c r="E108" s="2">
        <v>46167</v>
      </c>
      <c r="F108" t="s">
        <v>62</v>
      </c>
      <c r="G108" t="s">
        <v>25</v>
      </c>
      <c r="H108" t="s">
        <v>503</v>
      </c>
      <c r="I108" t="s">
        <v>27</v>
      </c>
      <c r="J108" t="s">
        <v>504</v>
      </c>
      <c r="K108" t="s">
        <v>29</v>
      </c>
      <c r="L108" t="s">
        <v>30</v>
      </c>
      <c r="M108" t="s">
        <v>121</v>
      </c>
      <c r="N108" t="s">
        <v>30</v>
      </c>
      <c r="O108" t="s">
        <v>32</v>
      </c>
      <c r="P108" t="s">
        <v>30</v>
      </c>
      <c r="Q108" t="s">
        <v>32</v>
      </c>
      <c r="R108" s="3" t="s">
        <v>505</v>
      </c>
    </row>
    <row r="109" spans="1:18" ht="15.6" x14ac:dyDescent="0.3">
      <c r="A109" s="2">
        <v>46163</v>
      </c>
      <c r="B109">
        <v>85</v>
      </c>
      <c r="C109" t="s">
        <v>506</v>
      </c>
      <c r="D109" s="2">
        <v>46161</v>
      </c>
      <c r="E109" s="2">
        <v>46185</v>
      </c>
      <c r="F109" t="s">
        <v>75</v>
      </c>
      <c r="G109" t="s">
        <v>48</v>
      </c>
      <c r="H109" t="s">
        <v>507</v>
      </c>
      <c r="I109" t="s">
        <v>27</v>
      </c>
      <c r="J109" t="s">
        <v>77</v>
      </c>
      <c r="K109" t="s">
        <v>37</v>
      </c>
      <c r="L109" t="s">
        <v>30</v>
      </c>
      <c r="M109" t="s">
        <v>72</v>
      </c>
      <c r="N109" t="s">
        <v>39</v>
      </c>
      <c r="O109" s="2">
        <v>46175</v>
      </c>
      <c r="P109" t="s">
        <v>39</v>
      </c>
      <c r="Q109" t="s">
        <v>508</v>
      </c>
      <c r="R109" s="3" t="s">
        <v>509</v>
      </c>
    </row>
    <row r="110" spans="1:18" ht="15.6" x14ac:dyDescent="0.3">
      <c r="A110" s="2">
        <v>46163</v>
      </c>
      <c r="B110">
        <v>84</v>
      </c>
      <c r="C110" t="s">
        <v>510</v>
      </c>
      <c r="D110" s="2">
        <v>46161</v>
      </c>
      <c r="E110" s="2">
        <v>46178</v>
      </c>
      <c r="F110" t="s">
        <v>75</v>
      </c>
      <c r="G110" t="s">
        <v>25</v>
      </c>
      <c r="H110" t="s">
        <v>511</v>
      </c>
      <c r="I110" t="s">
        <v>27</v>
      </c>
      <c r="J110" t="s">
        <v>512</v>
      </c>
      <c r="K110" t="s">
        <v>155</v>
      </c>
      <c r="L110" t="s">
        <v>30</v>
      </c>
      <c r="M110" t="s">
        <v>513</v>
      </c>
      <c r="N110" t="s">
        <v>30</v>
      </c>
      <c r="O110" t="s">
        <v>32</v>
      </c>
      <c r="P110" t="s">
        <v>30</v>
      </c>
      <c r="Q110" t="s">
        <v>32</v>
      </c>
      <c r="R110" s="3" t="s">
        <v>514</v>
      </c>
    </row>
    <row r="111" spans="1:18" ht="15.6" x14ac:dyDescent="0.3">
      <c r="A111" s="2">
        <v>46163</v>
      </c>
      <c r="B111">
        <v>83</v>
      </c>
      <c r="C111" t="s">
        <v>515</v>
      </c>
      <c r="D111" s="2">
        <v>46161</v>
      </c>
      <c r="E111" s="2">
        <v>46197</v>
      </c>
      <c r="F111" t="s">
        <v>24</v>
      </c>
      <c r="G111" t="s">
        <v>48</v>
      </c>
      <c r="H111" t="s">
        <v>516</v>
      </c>
      <c r="I111" t="s">
        <v>27</v>
      </c>
      <c r="J111" t="s">
        <v>517</v>
      </c>
      <c r="K111" t="s">
        <v>65</v>
      </c>
      <c r="L111" t="s">
        <v>30</v>
      </c>
      <c r="M111" t="s">
        <v>518</v>
      </c>
      <c r="N111" t="s">
        <v>39</v>
      </c>
      <c r="O111" s="2">
        <v>46175</v>
      </c>
      <c r="P111" t="s">
        <v>39</v>
      </c>
      <c r="Q111" t="s">
        <v>519</v>
      </c>
      <c r="R111" s="3" t="s">
        <v>520</v>
      </c>
    </row>
    <row r="112" spans="1:18" ht="15.6" x14ac:dyDescent="0.3">
      <c r="A112" s="2">
        <v>46163</v>
      </c>
      <c r="B112">
        <v>82</v>
      </c>
      <c r="C112" t="s">
        <v>521</v>
      </c>
      <c r="D112" s="2">
        <v>46161</v>
      </c>
      <c r="E112" s="2">
        <v>46185</v>
      </c>
      <c r="F112" t="s">
        <v>24</v>
      </c>
      <c r="G112" t="s">
        <v>48</v>
      </c>
      <c r="H112" t="s">
        <v>522</v>
      </c>
      <c r="I112" t="s">
        <v>27</v>
      </c>
      <c r="J112" t="s">
        <v>523</v>
      </c>
      <c r="K112" t="s">
        <v>155</v>
      </c>
      <c r="L112" t="s">
        <v>30</v>
      </c>
      <c r="M112" t="s">
        <v>210</v>
      </c>
      <c r="N112" t="s">
        <v>30</v>
      </c>
      <c r="O112" t="s">
        <v>32</v>
      </c>
      <c r="P112" t="s">
        <v>30</v>
      </c>
      <c r="Q112" t="s">
        <v>32</v>
      </c>
      <c r="R112" s="3" t="s">
        <v>524</v>
      </c>
    </row>
    <row r="113" spans="1:18" ht="15.6" x14ac:dyDescent="0.3">
      <c r="A113" s="2">
        <v>46163</v>
      </c>
      <c r="B113">
        <v>81</v>
      </c>
      <c r="C113" t="s">
        <v>525</v>
      </c>
      <c r="D113" s="2">
        <v>46161</v>
      </c>
      <c r="E113" s="2">
        <v>46195</v>
      </c>
      <c r="F113" t="s">
        <v>24</v>
      </c>
      <c r="G113" t="s">
        <v>109</v>
      </c>
      <c r="H113" t="s">
        <v>526</v>
      </c>
      <c r="I113" t="s">
        <v>27</v>
      </c>
      <c r="J113" t="s">
        <v>360</v>
      </c>
      <c r="K113" t="s">
        <v>91</v>
      </c>
      <c r="L113" t="s">
        <v>30</v>
      </c>
      <c r="M113" t="s">
        <v>527</v>
      </c>
      <c r="N113" t="s">
        <v>30</v>
      </c>
      <c r="O113" t="s">
        <v>32</v>
      </c>
      <c r="P113" t="s">
        <v>30</v>
      </c>
      <c r="Q113" t="s">
        <v>32</v>
      </c>
      <c r="R113" s="3" t="s">
        <v>528</v>
      </c>
    </row>
    <row r="114" spans="1:18" ht="15.6" x14ac:dyDescent="0.3">
      <c r="A114" s="2">
        <v>46163</v>
      </c>
      <c r="B114">
        <v>80</v>
      </c>
      <c r="C114" t="s">
        <v>529</v>
      </c>
      <c r="D114" s="2">
        <v>46161</v>
      </c>
      <c r="E114" s="2">
        <v>46176</v>
      </c>
      <c r="F114" t="s">
        <v>281</v>
      </c>
      <c r="G114" t="s">
        <v>25</v>
      </c>
      <c r="H114" t="s">
        <v>530</v>
      </c>
      <c r="I114" t="s">
        <v>27</v>
      </c>
      <c r="J114" t="s">
        <v>57</v>
      </c>
      <c r="K114" t="s">
        <v>91</v>
      </c>
      <c r="L114" t="s">
        <v>30</v>
      </c>
      <c r="M114" t="s">
        <v>531</v>
      </c>
      <c r="N114" t="s">
        <v>30</v>
      </c>
      <c r="O114" t="s">
        <v>32</v>
      </c>
      <c r="P114" t="s">
        <v>30</v>
      </c>
      <c r="Q114" t="s">
        <v>32</v>
      </c>
      <c r="R114" s="3" t="s">
        <v>532</v>
      </c>
    </row>
    <row r="115" spans="1:18" ht="15.6" x14ac:dyDescent="0.3">
      <c r="A115" s="2">
        <v>46163</v>
      </c>
      <c r="B115">
        <v>79</v>
      </c>
      <c r="C115" t="s">
        <v>533</v>
      </c>
      <c r="D115" s="2">
        <v>46161</v>
      </c>
      <c r="E115" s="2">
        <v>46195</v>
      </c>
      <c r="F115" t="s">
        <v>24</v>
      </c>
      <c r="G115" t="s">
        <v>48</v>
      </c>
      <c r="H115" t="s">
        <v>534</v>
      </c>
      <c r="I115" t="s">
        <v>27</v>
      </c>
      <c r="J115" t="s">
        <v>535</v>
      </c>
      <c r="K115" t="s">
        <v>37</v>
      </c>
      <c r="L115" t="s">
        <v>30</v>
      </c>
      <c r="M115" t="s">
        <v>536</v>
      </c>
      <c r="N115" t="s">
        <v>30</v>
      </c>
      <c r="O115" t="s">
        <v>32</v>
      </c>
      <c r="P115" t="s">
        <v>30</v>
      </c>
      <c r="Q115" t="s">
        <v>32</v>
      </c>
      <c r="R115" s="3" t="s">
        <v>537</v>
      </c>
    </row>
    <row r="116" spans="1:18" ht="15.6" x14ac:dyDescent="0.3">
      <c r="A116" s="2">
        <v>46163</v>
      </c>
      <c r="B116">
        <v>78</v>
      </c>
      <c r="C116" t="s">
        <v>538</v>
      </c>
      <c r="D116" s="2">
        <v>46161</v>
      </c>
      <c r="E116" s="2">
        <v>46196</v>
      </c>
      <c r="F116" t="s">
        <v>24</v>
      </c>
      <c r="G116" t="s">
        <v>48</v>
      </c>
      <c r="H116" t="s">
        <v>539</v>
      </c>
      <c r="I116" t="s">
        <v>27</v>
      </c>
      <c r="J116" t="s">
        <v>353</v>
      </c>
      <c r="K116" t="s">
        <v>84</v>
      </c>
      <c r="L116" t="s">
        <v>30</v>
      </c>
      <c r="M116" t="s">
        <v>201</v>
      </c>
      <c r="N116" t="s">
        <v>30</v>
      </c>
      <c r="O116" t="s">
        <v>32</v>
      </c>
      <c r="P116" t="s">
        <v>30</v>
      </c>
      <c r="Q116" t="s">
        <v>32</v>
      </c>
      <c r="R116" s="3" t="s">
        <v>540</v>
      </c>
    </row>
    <row r="117" spans="1:18" ht="15.6" x14ac:dyDescent="0.3">
      <c r="A117" s="2">
        <v>46163</v>
      </c>
      <c r="B117">
        <v>77</v>
      </c>
      <c r="C117" t="s">
        <v>541</v>
      </c>
      <c r="D117" s="2">
        <v>46161</v>
      </c>
      <c r="E117" s="2">
        <v>46190</v>
      </c>
      <c r="F117" t="s">
        <v>24</v>
      </c>
      <c r="G117" t="s">
        <v>25</v>
      </c>
      <c r="H117" t="s">
        <v>542</v>
      </c>
      <c r="I117" t="s">
        <v>27</v>
      </c>
      <c r="J117" t="s">
        <v>398</v>
      </c>
      <c r="K117" t="s">
        <v>91</v>
      </c>
      <c r="L117" t="s">
        <v>30</v>
      </c>
      <c r="M117" t="s">
        <v>45</v>
      </c>
      <c r="N117" t="s">
        <v>30</v>
      </c>
      <c r="O117" t="s">
        <v>32</v>
      </c>
      <c r="P117" t="s">
        <v>30</v>
      </c>
      <c r="Q117" t="s">
        <v>32</v>
      </c>
      <c r="R117" s="3" t="s">
        <v>543</v>
      </c>
    </row>
    <row r="118" spans="1:18" ht="15.6" x14ac:dyDescent="0.3">
      <c r="A118" s="2">
        <v>46163</v>
      </c>
      <c r="B118">
        <v>76</v>
      </c>
      <c r="C118" t="s">
        <v>544</v>
      </c>
      <c r="D118" s="2">
        <v>46161</v>
      </c>
      <c r="E118" s="2">
        <v>46197</v>
      </c>
      <c r="F118" t="s">
        <v>75</v>
      </c>
      <c r="G118" t="s">
        <v>48</v>
      </c>
      <c r="H118" t="s">
        <v>545</v>
      </c>
      <c r="I118" t="s">
        <v>27</v>
      </c>
      <c r="J118" t="s">
        <v>546</v>
      </c>
      <c r="K118" t="s">
        <v>29</v>
      </c>
      <c r="L118" t="s">
        <v>30</v>
      </c>
      <c r="M118" t="s">
        <v>166</v>
      </c>
      <c r="N118" t="s">
        <v>39</v>
      </c>
      <c r="O118" s="2">
        <v>46167</v>
      </c>
      <c r="P118" t="s">
        <v>39</v>
      </c>
      <c r="Q118" t="s">
        <v>547</v>
      </c>
      <c r="R118" s="3" t="s">
        <v>548</v>
      </c>
    </row>
    <row r="119" spans="1:18" ht="15.6" x14ac:dyDescent="0.3">
      <c r="A119" s="2">
        <v>46163</v>
      </c>
      <c r="B119">
        <v>75</v>
      </c>
      <c r="C119" t="s">
        <v>549</v>
      </c>
      <c r="D119" s="2">
        <v>46161</v>
      </c>
      <c r="E119" s="2">
        <v>46185</v>
      </c>
      <c r="F119" t="s">
        <v>24</v>
      </c>
      <c r="G119" t="s">
        <v>48</v>
      </c>
      <c r="H119" t="s">
        <v>550</v>
      </c>
      <c r="I119" t="s">
        <v>27</v>
      </c>
      <c r="J119" t="s">
        <v>551</v>
      </c>
      <c r="K119" t="s">
        <v>65</v>
      </c>
      <c r="L119" t="s">
        <v>30</v>
      </c>
      <c r="M119" t="s">
        <v>150</v>
      </c>
      <c r="N119" t="s">
        <v>30</v>
      </c>
      <c r="O119" t="s">
        <v>32</v>
      </c>
      <c r="P119" t="s">
        <v>30</v>
      </c>
      <c r="Q119" t="s">
        <v>32</v>
      </c>
      <c r="R119" s="3" t="s">
        <v>552</v>
      </c>
    </row>
    <row r="120" spans="1:18" ht="15.6" x14ac:dyDescent="0.3">
      <c r="A120" s="2">
        <v>46163</v>
      </c>
      <c r="B120">
        <v>74</v>
      </c>
      <c r="C120" t="s">
        <v>553</v>
      </c>
      <c r="D120" s="2">
        <v>46161</v>
      </c>
      <c r="E120" s="2">
        <v>46169</v>
      </c>
      <c r="F120" t="s">
        <v>62</v>
      </c>
      <c r="G120" t="s">
        <v>25</v>
      </c>
      <c r="H120" t="s">
        <v>554</v>
      </c>
      <c r="I120" t="s">
        <v>27</v>
      </c>
      <c r="J120" t="s">
        <v>182</v>
      </c>
      <c r="K120" t="s">
        <v>91</v>
      </c>
      <c r="L120" t="s">
        <v>30</v>
      </c>
      <c r="M120" t="s">
        <v>31</v>
      </c>
      <c r="N120" t="s">
        <v>30</v>
      </c>
      <c r="O120" t="s">
        <v>32</v>
      </c>
      <c r="P120" t="s">
        <v>30</v>
      </c>
      <c r="Q120" t="s">
        <v>32</v>
      </c>
      <c r="R120" s="3" t="s">
        <v>555</v>
      </c>
    </row>
    <row r="121" spans="1:18" ht="15.6" x14ac:dyDescent="0.3">
      <c r="A121" s="2">
        <v>46163</v>
      </c>
      <c r="B121">
        <v>73</v>
      </c>
      <c r="C121" t="s">
        <v>556</v>
      </c>
      <c r="D121" s="2">
        <v>46161</v>
      </c>
      <c r="E121" s="2">
        <v>46164</v>
      </c>
      <c r="F121" t="s">
        <v>62</v>
      </c>
      <c r="G121" t="s">
        <v>25</v>
      </c>
      <c r="H121" t="s">
        <v>557</v>
      </c>
      <c r="I121" t="s">
        <v>27</v>
      </c>
      <c r="J121" t="s">
        <v>348</v>
      </c>
      <c r="K121" t="s">
        <v>29</v>
      </c>
      <c r="L121" t="s">
        <v>30</v>
      </c>
      <c r="M121" t="s">
        <v>271</v>
      </c>
      <c r="N121" t="s">
        <v>30</v>
      </c>
      <c r="O121" t="s">
        <v>32</v>
      </c>
      <c r="P121" t="s">
        <v>30</v>
      </c>
      <c r="Q121" t="s">
        <v>32</v>
      </c>
      <c r="R121" s="3" t="s">
        <v>558</v>
      </c>
    </row>
    <row r="122" spans="1:18" ht="15.6" x14ac:dyDescent="0.3">
      <c r="A122" s="2">
        <v>46163</v>
      </c>
      <c r="B122">
        <v>72</v>
      </c>
      <c r="C122" t="s">
        <v>559</v>
      </c>
      <c r="D122" s="2">
        <v>46161</v>
      </c>
      <c r="E122" s="2">
        <v>46191</v>
      </c>
      <c r="F122" t="s">
        <v>62</v>
      </c>
      <c r="G122" t="s">
        <v>109</v>
      </c>
      <c r="H122" t="s">
        <v>560</v>
      </c>
      <c r="I122" t="s">
        <v>27</v>
      </c>
      <c r="J122" t="s">
        <v>253</v>
      </c>
      <c r="K122" t="s">
        <v>91</v>
      </c>
      <c r="L122" t="s">
        <v>30</v>
      </c>
      <c r="M122" t="s">
        <v>561</v>
      </c>
      <c r="N122" t="s">
        <v>39</v>
      </c>
      <c r="O122" t="s">
        <v>32</v>
      </c>
      <c r="P122" t="s">
        <v>39</v>
      </c>
      <c r="Q122" t="s">
        <v>562</v>
      </c>
      <c r="R122" s="3" t="s">
        <v>563</v>
      </c>
    </row>
    <row r="123" spans="1:18" ht="15.6" x14ac:dyDescent="0.3">
      <c r="A123" s="2">
        <v>46163</v>
      </c>
      <c r="B123">
        <v>71</v>
      </c>
      <c r="C123" t="s">
        <v>564</v>
      </c>
      <c r="D123" s="2">
        <v>46161</v>
      </c>
      <c r="E123" s="2">
        <v>46190</v>
      </c>
      <c r="F123" t="s">
        <v>24</v>
      </c>
      <c r="G123" t="s">
        <v>25</v>
      </c>
      <c r="H123" t="s">
        <v>565</v>
      </c>
      <c r="I123" t="s">
        <v>27</v>
      </c>
      <c r="J123" t="s">
        <v>398</v>
      </c>
      <c r="K123" t="s">
        <v>91</v>
      </c>
      <c r="L123" t="s">
        <v>30</v>
      </c>
      <c r="M123" t="s">
        <v>45</v>
      </c>
      <c r="N123" t="s">
        <v>30</v>
      </c>
      <c r="O123" t="s">
        <v>32</v>
      </c>
      <c r="P123" t="s">
        <v>30</v>
      </c>
      <c r="Q123" t="s">
        <v>32</v>
      </c>
      <c r="R123" s="3" t="s">
        <v>566</v>
      </c>
    </row>
    <row r="124" spans="1:18" ht="15.6" x14ac:dyDescent="0.3">
      <c r="A124" s="2">
        <v>46163</v>
      </c>
      <c r="B124">
        <v>70</v>
      </c>
      <c r="C124" t="s">
        <v>567</v>
      </c>
      <c r="D124" s="2">
        <v>46161</v>
      </c>
      <c r="E124" s="2">
        <v>46190</v>
      </c>
      <c r="F124" t="s">
        <v>24</v>
      </c>
      <c r="G124" t="s">
        <v>25</v>
      </c>
      <c r="H124" t="s">
        <v>568</v>
      </c>
      <c r="I124" t="s">
        <v>27</v>
      </c>
      <c r="J124" t="s">
        <v>398</v>
      </c>
      <c r="K124" t="s">
        <v>91</v>
      </c>
      <c r="L124" t="s">
        <v>30</v>
      </c>
      <c r="M124" t="s">
        <v>45</v>
      </c>
      <c r="N124" t="s">
        <v>30</v>
      </c>
      <c r="O124" t="s">
        <v>32</v>
      </c>
      <c r="P124" t="s">
        <v>30</v>
      </c>
      <c r="Q124" t="s">
        <v>32</v>
      </c>
      <c r="R124" s="3" t="s">
        <v>569</v>
      </c>
    </row>
    <row r="125" spans="1:18" ht="15.6" x14ac:dyDescent="0.3">
      <c r="A125" s="2">
        <v>46163</v>
      </c>
      <c r="B125">
        <v>69</v>
      </c>
      <c r="C125" t="s">
        <v>570</v>
      </c>
      <c r="D125" s="2">
        <v>46161</v>
      </c>
      <c r="E125" s="2">
        <v>46192</v>
      </c>
      <c r="F125" t="s">
        <v>75</v>
      </c>
      <c r="G125" t="s">
        <v>571</v>
      </c>
      <c r="H125" t="s">
        <v>572</v>
      </c>
      <c r="I125" t="s">
        <v>27</v>
      </c>
      <c r="J125" t="s">
        <v>77</v>
      </c>
      <c r="K125" t="s">
        <v>58</v>
      </c>
      <c r="L125" t="s">
        <v>30</v>
      </c>
      <c r="M125" t="s">
        <v>573</v>
      </c>
      <c r="N125" t="s">
        <v>30</v>
      </c>
      <c r="O125" t="s">
        <v>32</v>
      </c>
      <c r="P125" t="s">
        <v>30</v>
      </c>
      <c r="Q125" t="s">
        <v>32</v>
      </c>
      <c r="R125" s="3" t="s">
        <v>574</v>
      </c>
    </row>
    <row r="126" spans="1:18" ht="15.6" x14ac:dyDescent="0.3">
      <c r="A126" s="2">
        <v>46163</v>
      </c>
      <c r="B126">
        <v>68</v>
      </c>
      <c r="C126" t="s">
        <v>575</v>
      </c>
      <c r="D126" s="2">
        <v>46161</v>
      </c>
      <c r="E126" s="2">
        <v>46163</v>
      </c>
      <c r="F126" t="s">
        <v>62</v>
      </c>
      <c r="G126" t="s">
        <v>25</v>
      </c>
      <c r="H126" t="s">
        <v>576</v>
      </c>
      <c r="I126" t="s">
        <v>27</v>
      </c>
      <c r="J126" t="s">
        <v>165</v>
      </c>
      <c r="K126" t="s">
        <v>112</v>
      </c>
      <c r="L126" t="s">
        <v>30</v>
      </c>
      <c r="M126" t="s">
        <v>192</v>
      </c>
      <c r="N126" t="s">
        <v>30</v>
      </c>
      <c r="O126" t="s">
        <v>32</v>
      </c>
      <c r="P126" t="s">
        <v>30</v>
      </c>
      <c r="Q126" t="s">
        <v>32</v>
      </c>
      <c r="R126" s="3" t="s">
        <v>577</v>
      </c>
    </row>
    <row r="127" spans="1:18" ht="15.6" x14ac:dyDescent="0.3">
      <c r="A127" s="2">
        <v>46163</v>
      </c>
      <c r="B127">
        <v>67</v>
      </c>
      <c r="C127" t="s">
        <v>578</v>
      </c>
      <c r="D127" s="2">
        <v>46161</v>
      </c>
      <c r="E127" s="2">
        <v>46192</v>
      </c>
      <c r="F127" t="s">
        <v>24</v>
      </c>
      <c r="G127" t="s">
        <v>48</v>
      </c>
      <c r="H127" t="s">
        <v>579</v>
      </c>
      <c r="I127" t="s">
        <v>27</v>
      </c>
      <c r="J127" t="s">
        <v>580</v>
      </c>
      <c r="K127" t="s">
        <v>91</v>
      </c>
      <c r="L127" t="s">
        <v>30</v>
      </c>
      <c r="M127" t="s">
        <v>271</v>
      </c>
      <c r="N127" t="s">
        <v>30</v>
      </c>
      <c r="O127" t="s">
        <v>32</v>
      </c>
      <c r="P127" t="s">
        <v>30</v>
      </c>
      <c r="Q127" t="s">
        <v>32</v>
      </c>
      <c r="R127" s="3" t="s">
        <v>581</v>
      </c>
    </row>
    <row r="128" spans="1:18" ht="15.6" x14ac:dyDescent="0.3">
      <c r="A128" s="2">
        <v>46163</v>
      </c>
      <c r="B128">
        <v>66</v>
      </c>
      <c r="C128" t="s">
        <v>582</v>
      </c>
      <c r="D128" s="2">
        <v>46161</v>
      </c>
      <c r="E128" s="2">
        <v>46196</v>
      </c>
      <c r="F128" t="s">
        <v>75</v>
      </c>
      <c r="G128" t="s">
        <v>48</v>
      </c>
      <c r="H128" t="s">
        <v>583</v>
      </c>
      <c r="I128" t="s">
        <v>27</v>
      </c>
      <c r="J128" t="s">
        <v>546</v>
      </c>
      <c r="K128" t="s">
        <v>29</v>
      </c>
      <c r="L128" t="s">
        <v>30</v>
      </c>
      <c r="M128" t="s">
        <v>584</v>
      </c>
      <c r="N128" t="s">
        <v>30</v>
      </c>
      <c r="O128" t="s">
        <v>32</v>
      </c>
      <c r="P128" t="s">
        <v>30</v>
      </c>
      <c r="Q128" t="s">
        <v>32</v>
      </c>
      <c r="R128" s="3" t="s">
        <v>585</v>
      </c>
    </row>
    <row r="129" spans="1:18" ht="15.6" x14ac:dyDescent="0.3">
      <c r="A129" s="2">
        <v>46163</v>
      </c>
      <c r="B129">
        <v>65</v>
      </c>
      <c r="C129" t="s">
        <v>586</v>
      </c>
      <c r="D129" s="2">
        <v>46161</v>
      </c>
      <c r="E129" s="2">
        <v>46167</v>
      </c>
      <c r="F129" t="s">
        <v>62</v>
      </c>
      <c r="G129" t="s">
        <v>25</v>
      </c>
      <c r="H129" t="s">
        <v>587</v>
      </c>
      <c r="I129" t="s">
        <v>27</v>
      </c>
      <c r="J129" t="s">
        <v>226</v>
      </c>
      <c r="K129" t="s">
        <v>58</v>
      </c>
      <c r="L129" t="s">
        <v>30</v>
      </c>
      <c r="M129" t="s">
        <v>293</v>
      </c>
      <c r="N129" t="s">
        <v>30</v>
      </c>
      <c r="O129" t="s">
        <v>32</v>
      </c>
      <c r="P129" t="s">
        <v>30</v>
      </c>
      <c r="Q129" t="s">
        <v>32</v>
      </c>
      <c r="R129" s="3" t="s">
        <v>588</v>
      </c>
    </row>
    <row r="130" spans="1:18" ht="15.6" x14ac:dyDescent="0.3">
      <c r="A130" s="2">
        <v>46163</v>
      </c>
      <c r="B130">
        <v>64</v>
      </c>
      <c r="C130" t="s">
        <v>589</v>
      </c>
      <c r="D130" s="2">
        <v>46161</v>
      </c>
      <c r="E130" s="2">
        <v>46171</v>
      </c>
      <c r="F130" t="s">
        <v>62</v>
      </c>
      <c r="G130" t="s">
        <v>25</v>
      </c>
      <c r="H130" t="s">
        <v>590</v>
      </c>
      <c r="I130" t="s">
        <v>27</v>
      </c>
      <c r="J130" t="s">
        <v>270</v>
      </c>
      <c r="K130" t="s">
        <v>155</v>
      </c>
      <c r="L130" t="s">
        <v>30</v>
      </c>
      <c r="M130" t="s">
        <v>561</v>
      </c>
      <c r="N130" t="s">
        <v>30</v>
      </c>
      <c r="O130" t="s">
        <v>32</v>
      </c>
      <c r="P130" t="s">
        <v>30</v>
      </c>
      <c r="Q130" t="s">
        <v>32</v>
      </c>
      <c r="R130" s="3" t="s">
        <v>591</v>
      </c>
    </row>
    <row r="131" spans="1:18" ht="15.6" x14ac:dyDescent="0.3">
      <c r="A131" s="2">
        <v>46163</v>
      </c>
      <c r="B131">
        <v>63</v>
      </c>
      <c r="C131" t="s">
        <v>592</v>
      </c>
      <c r="D131" s="2">
        <v>46161</v>
      </c>
      <c r="E131" s="2">
        <v>46176</v>
      </c>
      <c r="F131" t="s">
        <v>24</v>
      </c>
      <c r="G131" t="s">
        <v>48</v>
      </c>
      <c r="H131" t="s">
        <v>593</v>
      </c>
      <c r="I131" t="s">
        <v>27</v>
      </c>
      <c r="J131" t="s">
        <v>535</v>
      </c>
      <c r="K131" t="s">
        <v>37</v>
      </c>
      <c r="L131" t="s">
        <v>30</v>
      </c>
      <c r="M131" t="s">
        <v>72</v>
      </c>
      <c r="N131" t="s">
        <v>30</v>
      </c>
      <c r="O131" t="s">
        <v>32</v>
      </c>
      <c r="P131" t="s">
        <v>30</v>
      </c>
      <c r="Q131" t="s">
        <v>32</v>
      </c>
      <c r="R131" s="3" t="s">
        <v>594</v>
      </c>
    </row>
    <row r="132" spans="1:18" ht="15.6" x14ac:dyDescent="0.3">
      <c r="A132" s="2">
        <v>46163</v>
      </c>
      <c r="B132">
        <v>62</v>
      </c>
      <c r="C132" t="s">
        <v>595</v>
      </c>
      <c r="D132" s="2">
        <v>46161</v>
      </c>
      <c r="E132" s="2">
        <v>46164</v>
      </c>
      <c r="F132" t="s">
        <v>62</v>
      </c>
      <c r="G132" t="s">
        <v>25</v>
      </c>
      <c r="H132" t="s">
        <v>596</v>
      </c>
      <c r="I132" t="s">
        <v>27</v>
      </c>
      <c r="J132" t="s">
        <v>309</v>
      </c>
      <c r="K132" t="s">
        <v>37</v>
      </c>
      <c r="L132" t="s">
        <v>30</v>
      </c>
      <c r="M132" t="s">
        <v>52</v>
      </c>
      <c r="N132" t="s">
        <v>30</v>
      </c>
      <c r="O132" t="s">
        <v>32</v>
      </c>
      <c r="P132" t="s">
        <v>30</v>
      </c>
      <c r="Q132" t="s">
        <v>32</v>
      </c>
      <c r="R132" s="3" t="s">
        <v>597</v>
      </c>
    </row>
    <row r="133" spans="1:18" ht="15.6" x14ac:dyDescent="0.3">
      <c r="A133" s="2">
        <v>46163</v>
      </c>
      <c r="B133">
        <v>61</v>
      </c>
      <c r="C133" t="s">
        <v>598</v>
      </c>
      <c r="D133" s="2">
        <v>46161</v>
      </c>
      <c r="E133" s="2">
        <v>46183</v>
      </c>
      <c r="F133" t="s">
        <v>62</v>
      </c>
      <c r="G133" t="s">
        <v>48</v>
      </c>
      <c r="H133" t="s">
        <v>599</v>
      </c>
      <c r="I133" t="s">
        <v>27</v>
      </c>
      <c r="J133" t="s">
        <v>456</v>
      </c>
      <c r="K133" t="s">
        <v>84</v>
      </c>
      <c r="L133" t="s">
        <v>30</v>
      </c>
      <c r="M133" t="s">
        <v>72</v>
      </c>
      <c r="N133" t="s">
        <v>30</v>
      </c>
      <c r="O133" t="s">
        <v>32</v>
      </c>
      <c r="P133" t="s">
        <v>30</v>
      </c>
      <c r="Q133" t="s">
        <v>32</v>
      </c>
      <c r="R133" s="3" t="s">
        <v>600</v>
      </c>
    </row>
    <row r="134" spans="1:18" ht="15.6" x14ac:dyDescent="0.3">
      <c r="A134" s="2">
        <v>46163</v>
      </c>
      <c r="B134">
        <v>60</v>
      </c>
      <c r="C134" t="s">
        <v>601</v>
      </c>
      <c r="D134" s="2">
        <v>46161</v>
      </c>
      <c r="E134" s="2">
        <v>46196</v>
      </c>
      <c r="F134" t="s">
        <v>24</v>
      </c>
      <c r="G134" t="s">
        <v>48</v>
      </c>
      <c r="H134" t="s">
        <v>602</v>
      </c>
      <c r="I134" t="s">
        <v>27</v>
      </c>
      <c r="J134" t="s">
        <v>353</v>
      </c>
      <c r="K134" t="s">
        <v>84</v>
      </c>
      <c r="L134" t="s">
        <v>30</v>
      </c>
      <c r="M134" t="s">
        <v>52</v>
      </c>
      <c r="N134" t="s">
        <v>30</v>
      </c>
      <c r="O134" t="s">
        <v>32</v>
      </c>
      <c r="P134" t="s">
        <v>30</v>
      </c>
      <c r="Q134" t="s">
        <v>32</v>
      </c>
      <c r="R134" s="3" t="s">
        <v>603</v>
      </c>
    </row>
    <row r="135" spans="1:18" ht="15.6" x14ac:dyDescent="0.3">
      <c r="A135" s="2">
        <v>46163</v>
      </c>
      <c r="B135">
        <v>59</v>
      </c>
      <c r="C135" t="s">
        <v>604</v>
      </c>
      <c r="D135" s="2">
        <v>46161</v>
      </c>
      <c r="E135" s="2">
        <v>46175</v>
      </c>
      <c r="F135" t="s">
        <v>62</v>
      </c>
      <c r="G135" t="s">
        <v>25</v>
      </c>
      <c r="H135" t="s">
        <v>605</v>
      </c>
      <c r="I135" t="s">
        <v>27</v>
      </c>
      <c r="J135" t="s">
        <v>606</v>
      </c>
      <c r="K135" t="s">
        <v>29</v>
      </c>
      <c r="L135" t="s">
        <v>30</v>
      </c>
      <c r="M135" t="s">
        <v>31</v>
      </c>
      <c r="N135" t="s">
        <v>30</v>
      </c>
      <c r="O135" t="s">
        <v>32</v>
      </c>
      <c r="P135" t="s">
        <v>30</v>
      </c>
      <c r="Q135" t="s">
        <v>32</v>
      </c>
      <c r="R135" s="3" t="s">
        <v>607</v>
      </c>
    </row>
    <row r="136" spans="1:18" ht="15.6" x14ac:dyDescent="0.3">
      <c r="A136" s="2">
        <v>46163</v>
      </c>
      <c r="B136">
        <v>58</v>
      </c>
      <c r="C136" t="s">
        <v>608</v>
      </c>
      <c r="D136" s="2">
        <v>46161</v>
      </c>
      <c r="E136" s="2">
        <v>46185</v>
      </c>
      <c r="F136" t="s">
        <v>24</v>
      </c>
      <c r="G136" t="s">
        <v>48</v>
      </c>
      <c r="H136" t="s">
        <v>609</v>
      </c>
      <c r="I136" t="s">
        <v>27</v>
      </c>
      <c r="J136" t="s">
        <v>523</v>
      </c>
      <c r="K136" t="s">
        <v>155</v>
      </c>
      <c r="L136" t="s">
        <v>30</v>
      </c>
      <c r="M136" t="s">
        <v>78</v>
      </c>
      <c r="N136" t="s">
        <v>30</v>
      </c>
      <c r="O136" t="s">
        <v>32</v>
      </c>
      <c r="P136" t="s">
        <v>30</v>
      </c>
      <c r="Q136" t="s">
        <v>32</v>
      </c>
      <c r="R136" s="3" t="s">
        <v>610</v>
      </c>
    </row>
    <row r="137" spans="1:18" ht="15.6" x14ac:dyDescent="0.3">
      <c r="A137" s="2">
        <v>46163</v>
      </c>
      <c r="B137">
        <v>57</v>
      </c>
      <c r="C137" t="s">
        <v>611</v>
      </c>
      <c r="D137" s="2">
        <v>46161</v>
      </c>
      <c r="E137" s="2">
        <v>46198</v>
      </c>
      <c r="F137" t="s">
        <v>75</v>
      </c>
      <c r="G137" t="s">
        <v>48</v>
      </c>
      <c r="H137" t="s">
        <v>612</v>
      </c>
      <c r="I137" t="s">
        <v>27</v>
      </c>
      <c r="J137" t="s">
        <v>546</v>
      </c>
      <c r="K137" t="s">
        <v>29</v>
      </c>
      <c r="L137" t="s">
        <v>30</v>
      </c>
      <c r="M137" t="s">
        <v>613</v>
      </c>
      <c r="N137" t="s">
        <v>39</v>
      </c>
      <c r="O137" s="2">
        <v>46168</v>
      </c>
      <c r="P137" t="s">
        <v>39</v>
      </c>
      <c r="Q137" t="s">
        <v>614</v>
      </c>
      <c r="R137" s="3" t="s">
        <v>615</v>
      </c>
    </row>
    <row r="138" spans="1:18" ht="15.6" x14ac:dyDescent="0.3">
      <c r="A138" s="2">
        <v>46163</v>
      </c>
      <c r="B138">
        <v>56</v>
      </c>
      <c r="C138" t="s">
        <v>616</v>
      </c>
      <c r="D138" s="2">
        <v>46161</v>
      </c>
      <c r="E138" s="2">
        <v>46177</v>
      </c>
      <c r="F138" t="s">
        <v>62</v>
      </c>
      <c r="G138" t="s">
        <v>25</v>
      </c>
      <c r="H138" t="s">
        <v>617</v>
      </c>
      <c r="I138" t="s">
        <v>27</v>
      </c>
      <c r="J138" t="s">
        <v>618</v>
      </c>
      <c r="K138" t="s">
        <v>37</v>
      </c>
      <c r="L138" t="s">
        <v>30</v>
      </c>
      <c r="M138" t="s">
        <v>31</v>
      </c>
      <c r="N138" t="s">
        <v>30</v>
      </c>
      <c r="O138" t="s">
        <v>32</v>
      </c>
      <c r="P138" t="s">
        <v>30</v>
      </c>
      <c r="Q138" t="s">
        <v>32</v>
      </c>
      <c r="R138" s="3" t="s">
        <v>619</v>
      </c>
    </row>
    <row r="139" spans="1:18" ht="15.6" x14ac:dyDescent="0.3">
      <c r="A139" s="2">
        <v>46163</v>
      </c>
      <c r="B139">
        <v>55</v>
      </c>
      <c r="C139" t="s">
        <v>620</v>
      </c>
      <c r="D139" s="2">
        <v>46161</v>
      </c>
      <c r="E139" s="2">
        <v>46171</v>
      </c>
      <c r="F139" t="s">
        <v>62</v>
      </c>
      <c r="G139" t="s">
        <v>282</v>
      </c>
      <c r="H139" t="s">
        <v>621</v>
      </c>
      <c r="I139" t="s">
        <v>27</v>
      </c>
      <c r="J139" t="s">
        <v>131</v>
      </c>
      <c r="K139" t="s">
        <v>29</v>
      </c>
      <c r="L139" t="s">
        <v>30</v>
      </c>
      <c r="M139" t="s">
        <v>106</v>
      </c>
      <c r="N139" t="s">
        <v>30</v>
      </c>
      <c r="O139" t="s">
        <v>32</v>
      </c>
      <c r="P139" t="s">
        <v>30</v>
      </c>
      <c r="Q139" t="s">
        <v>32</v>
      </c>
      <c r="R139" s="3" t="s">
        <v>622</v>
      </c>
    </row>
    <row r="140" spans="1:18" ht="15.6" x14ac:dyDescent="0.3">
      <c r="A140" s="2">
        <v>46163</v>
      </c>
      <c r="B140">
        <v>54</v>
      </c>
      <c r="C140" t="s">
        <v>623</v>
      </c>
      <c r="D140" s="2">
        <v>46161</v>
      </c>
      <c r="E140" s="2">
        <v>46174</v>
      </c>
      <c r="F140" t="s">
        <v>62</v>
      </c>
      <c r="G140" t="s">
        <v>48</v>
      </c>
      <c r="H140" t="s">
        <v>624</v>
      </c>
      <c r="I140" t="s">
        <v>27</v>
      </c>
      <c r="J140" t="s">
        <v>625</v>
      </c>
      <c r="K140" t="s">
        <v>84</v>
      </c>
      <c r="L140" t="s">
        <v>30</v>
      </c>
      <c r="M140" t="s">
        <v>38</v>
      </c>
      <c r="N140" t="s">
        <v>30</v>
      </c>
      <c r="O140" t="s">
        <v>32</v>
      </c>
      <c r="P140" t="s">
        <v>30</v>
      </c>
      <c r="Q140" t="s">
        <v>32</v>
      </c>
      <c r="R140" s="3" t="s">
        <v>626</v>
      </c>
    </row>
    <row r="141" spans="1:18" ht="15.6" x14ac:dyDescent="0.3">
      <c r="A141" s="2">
        <v>46163</v>
      </c>
      <c r="B141">
        <v>53</v>
      </c>
      <c r="C141" t="s">
        <v>627</v>
      </c>
      <c r="D141" s="2">
        <v>46161</v>
      </c>
      <c r="E141" s="2">
        <v>46174</v>
      </c>
      <c r="F141" t="s">
        <v>75</v>
      </c>
      <c r="G141" t="s">
        <v>48</v>
      </c>
      <c r="H141" t="s">
        <v>628</v>
      </c>
      <c r="I141" t="s">
        <v>27</v>
      </c>
      <c r="J141" t="s">
        <v>422</v>
      </c>
      <c r="K141" t="s">
        <v>91</v>
      </c>
      <c r="L141" t="s">
        <v>30</v>
      </c>
      <c r="M141" t="s">
        <v>629</v>
      </c>
      <c r="N141" t="s">
        <v>30</v>
      </c>
      <c r="O141" t="s">
        <v>32</v>
      </c>
      <c r="P141" t="s">
        <v>30</v>
      </c>
      <c r="Q141" t="s">
        <v>32</v>
      </c>
      <c r="R141" s="3" t="s">
        <v>630</v>
      </c>
    </row>
    <row r="142" spans="1:18" ht="15.6" x14ac:dyDescent="0.3">
      <c r="A142" s="2">
        <v>46163</v>
      </c>
      <c r="B142">
        <v>52</v>
      </c>
      <c r="C142" t="s">
        <v>631</v>
      </c>
      <c r="D142" s="2">
        <v>46161</v>
      </c>
      <c r="E142" s="2">
        <v>46196</v>
      </c>
      <c r="F142" t="s">
        <v>24</v>
      </c>
      <c r="G142" t="s">
        <v>48</v>
      </c>
      <c r="H142" t="s">
        <v>632</v>
      </c>
      <c r="I142" t="s">
        <v>27</v>
      </c>
      <c r="J142" t="s">
        <v>353</v>
      </c>
      <c r="K142" t="s">
        <v>84</v>
      </c>
      <c r="L142" t="s">
        <v>30</v>
      </c>
      <c r="M142" t="s">
        <v>45</v>
      </c>
      <c r="N142" t="s">
        <v>30</v>
      </c>
      <c r="O142" t="s">
        <v>32</v>
      </c>
      <c r="P142" t="s">
        <v>30</v>
      </c>
      <c r="Q142" t="s">
        <v>32</v>
      </c>
      <c r="R142" s="3" t="s">
        <v>633</v>
      </c>
    </row>
    <row r="143" spans="1:18" ht="15.6" x14ac:dyDescent="0.3">
      <c r="A143" s="2">
        <v>46163</v>
      </c>
      <c r="B143">
        <v>51</v>
      </c>
      <c r="C143" t="s">
        <v>634</v>
      </c>
      <c r="D143" s="2">
        <v>46161</v>
      </c>
      <c r="E143" s="2">
        <v>46168</v>
      </c>
      <c r="F143" t="s">
        <v>42</v>
      </c>
      <c r="G143" t="s">
        <v>25</v>
      </c>
      <c r="H143" t="s">
        <v>635</v>
      </c>
      <c r="I143" t="s">
        <v>27</v>
      </c>
      <c r="J143" t="s">
        <v>44</v>
      </c>
      <c r="K143" t="s">
        <v>29</v>
      </c>
      <c r="L143" t="s">
        <v>30</v>
      </c>
      <c r="M143" t="s">
        <v>45</v>
      </c>
      <c r="N143" t="s">
        <v>30</v>
      </c>
      <c r="O143" t="s">
        <v>32</v>
      </c>
      <c r="P143" t="s">
        <v>30</v>
      </c>
      <c r="Q143" t="s">
        <v>32</v>
      </c>
      <c r="R143" s="3" t="s">
        <v>636</v>
      </c>
    </row>
    <row r="144" spans="1:18" ht="15.6" x14ac:dyDescent="0.3">
      <c r="A144" s="2">
        <v>46163</v>
      </c>
      <c r="B144">
        <v>50</v>
      </c>
      <c r="C144" t="s">
        <v>637</v>
      </c>
      <c r="D144" s="2">
        <v>46162</v>
      </c>
      <c r="E144" s="2">
        <v>46169</v>
      </c>
      <c r="F144" t="s">
        <v>42</v>
      </c>
      <c r="G144" t="s">
        <v>25</v>
      </c>
      <c r="H144" t="s">
        <v>638</v>
      </c>
      <c r="I144" t="s">
        <v>27</v>
      </c>
      <c r="J144" t="s">
        <v>44</v>
      </c>
      <c r="K144" t="s">
        <v>29</v>
      </c>
      <c r="L144" t="s">
        <v>30</v>
      </c>
      <c r="M144" t="s">
        <v>584</v>
      </c>
      <c r="N144" t="s">
        <v>30</v>
      </c>
      <c r="O144" t="s">
        <v>32</v>
      </c>
      <c r="P144" t="s">
        <v>30</v>
      </c>
      <c r="Q144" t="s">
        <v>32</v>
      </c>
      <c r="R144" s="3" t="s">
        <v>639</v>
      </c>
    </row>
    <row r="145" spans="1:18" ht="15.6" x14ac:dyDescent="0.3">
      <c r="A145" s="2">
        <v>46163</v>
      </c>
      <c r="B145">
        <v>49</v>
      </c>
      <c r="C145" t="s">
        <v>640</v>
      </c>
      <c r="D145" s="2">
        <v>46162</v>
      </c>
      <c r="E145" s="2">
        <v>46171</v>
      </c>
      <c r="F145" t="s">
        <v>75</v>
      </c>
      <c r="G145" t="s">
        <v>109</v>
      </c>
      <c r="H145" t="s">
        <v>641</v>
      </c>
      <c r="I145" t="s">
        <v>27</v>
      </c>
      <c r="J145" t="s">
        <v>642</v>
      </c>
      <c r="K145" t="s">
        <v>29</v>
      </c>
      <c r="L145" t="s">
        <v>30</v>
      </c>
      <c r="M145" t="s">
        <v>293</v>
      </c>
      <c r="N145" t="s">
        <v>30</v>
      </c>
      <c r="O145" t="s">
        <v>32</v>
      </c>
      <c r="P145" t="s">
        <v>30</v>
      </c>
      <c r="Q145" t="s">
        <v>32</v>
      </c>
      <c r="R145" s="3" t="s">
        <v>643</v>
      </c>
    </row>
    <row r="146" spans="1:18" ht="15.6" x14ac:dyDescent="0.3">
      <c r="A146" s="2">
        <v>46163</v>
      </c>
      <c r="B146">
        <v>48</v>
      </c>
      <c r="C146" t="s">
        <v>644</v>
      </c>
      <c r="D146" s="2">
        <v>46162</v>
      </c>
      <c r="E146" s="2">
        <v>46183</v>
      </c>
      <c r="F146" t="s">
        <v>24</v>
      </c>
      <c r="G146" t="s">
        <v>48</v>
      </c>
      <c r="H146" t="s">
        <v>645</v>
      </c>
      <c r="I146" t="s">
        <v>27</v>
      </c>
      <c r="J146" t="s">
        <v>646</v>
      </c>
      <c r="K146" t="s">
        <v>112</v>
      </c>
      <c r="L146" t="s">
        <v>30</v>
      </c>
      <c r="M146" t="s">
        <v>78</v>
      </c>
      <c r="N146" t="s">
        <v>30</v>
      </c>
      <c r="O146" t="s">
        <v>32</v>
      </c>
      <c r="P146" t="s">
        <v>30</v>
      </c>
      <c r="Q146" t="s">
        <v>32</v>
      </c>
      <c r="R146" s="3" t="s">
        <v>647</v>
      </c>
    </row>
    <row r="147" spans="1:18" ht="15.6" x14ac:dyDescent="0.3">
      <c r="A147" s="2">
        <v>46163</v>
      </c>
      <c r="B147">
        <v>47</v>
      </c>
      <c r="C147" t="s">
        <v>648</v>
      </c>
      <c r="D147" s="2">
        <v>46162</v>
      </c>
      <c r="E147" s="2">
        <v>46164</v>
      </c>
      <c r="F147" t="s">
        <v>62</v>
      </c>
      <c r="G147" t="s">
        <v>48</v>
      </c>
      <c r="H147" t="s">
        <v>649</v>
      </c>
      <c r="I147" t="s">
        <v>27</v>
      </c>
      <c r="J147" t="s">
        <v>253</v>
      </c>
      <c r="K147" t="s">
        <v>91</v>
      </c>
      <c r="L147" t="s">
        <v>30</v>
      </c>
      <c r="M147" t="s">
        <v>45</v>
      </c>
      <c r="N147" t="s">
        <v>30</v>
      </c>
      <c r="O147" t="s">
        <v>32</v>
      </c>
      <c r="P147" t="s">
        <v>30</v>
      </c>
      <c r="Q147" t="s">
        <v>32</v>
      </c>
      <c r="R147" s="3" t="s">
        <v>650</v>
      </c>
    </row>
    <row r="148" spans="1:18" ht="15.6" x14ac:dyDescent="0.3">
      <c r="A148" s="2">
        <v>46163</v>
      </c>
      <c r="B148">
        <v>46</v>
      </c>
      <c r="C148" t="s">
        <v>651</v>
      </c>
      <c r="D148" s="2">
        <v>46162</v>
      </c>
      <c r="E148" s="2">
        <v>46205</v>
      </c>
      <c r="F148" t="s">
        <v>24</v>
      </c>
      <c r="G148" t="s">
        <v>48</v>
      </c>
      <c r="H148" t="s">
        <v>652</v>
      </c>
      <c r="I148" t="s">
        <v>27</v>
      </c>
      <c r="J148" t="s">
        <v>646</v>
      </c>
      <c r="K148" t="s">
        <v>112</v>
      </c>
      <c r="L148" t="s">
        <v>30</v>
      </c>
      <c r="M148" t="s">
        <v>78</v>
      </c>
      <c r="N148" t="s">
        <v>30</v>
      </c>
      <c r="O148" t="s">
        <v>32</v>
      </c>
      <c r="P148" t="s">
        <v>30</v>
      </c>
      <c r="Q148" t="s">
        <v>32</v>
      </c>
      <c r="R148" s="3" t="s">
        <v>653</v>
      </c>
    </row>
    <row r="149" spans="1:18" ht="15.6" x14ac:dyDescent="0.3">
      <c r="A149" s="2">
        <v>46163</v>
      </c>
      <c r="B149">
        <v>45</v>
      </c>
      <c r="C149" t="s">
        <v>654</v>
      </c>
      <c r="D149" s="2">
        <v>46162</v>
      </c>
      <c r="E149" s="2">
        <v>46169</v>
      </c>
      <c r="F149" t="s">
        <v>42</v>
      </c>
      <c r="G149" t="s">
        <v>25</v>
      </c>
      <c r="H149" t="s">
        <v>655</v>
      </c>
      <c r="I149" t="s">
        <v>27</v>
      </c>
      <c r="J149" t="s">
        <v>44</v>
      </c>
      <c r="K149" t="s">
        <v>29</v>
      </c>
      <c r="L149" t="s">
        <v>30</v>
      </c>
      <c r="M149" t="s">
        <v>45</v>
      </c>
      <c r="N149" t="s">
        <v>30</v>
      </c>
      <c r="O149" t="s">
        <v>32</v>
      </c>
      <c r="P149" t="s">
        <v>30</v>
      </c>
      <c r="Q149" t="s">
        <v>381</v>
      </c>
      <c r="R149" s="3" t="s">
        <v>656</v>
      </c>
    </row>
    <row r="150" spans="1:18" ht="15.6" x14ac:dyDescent="0.3">
      <c r="A150" s="2">
        <v>46163</v>
      </c>
      <c r="B150">
        <v>44</v>
      </c>
      <c r="C150" t="s">
        <v>657</v>
      </c>
      <c r="D150" s="2">
        <v>46162</v>
      </c>
      <c r="E150" s="2">
        <v>46169</v>
      </c>
      <c r="F150" t="s">
        <v>42</v>
      </c>
      <c r="G150" t="s">
        <v>25</v>
      </c>
      <c r="H150" t="s">
        <v>658</v>
      </c>
      <c r="I150" t="s">
        <v>27</v>
      </c>
      <c r="J150" t="s">
        <v>44</v>
      </c>
      <c r="K150" t="s">
        <v>29</v>
      </c>
      <c r="L150" t="s">
        <v>30</v>
      </c>
      <c r="M150" t="s">
        <v>38</v>
      </c>
      <c r="N150" t="s">
        <v>30</v>
      </c>
      <c r="O150" t="s">
        <v>32</v>
      </c>
      <c r="P150" t="s">
        <v>30</v>
      </c>
      <c r="Q150" t="s">
        <v>32</v>
      </c>
      <c r="R150" s="3" t="s">
        <v>659</v>
      </c>
    </row>
    <row r="151" spans="1:18" ht="15.6" x14ac:dyDescent="0.3">
      <c r="A151" s="2">
        <v>46163</v>
      </c>
      <c r="B151">
        <v>43</v>
      </c>
      <c r="C151" t="s">
        <v>660</v>
      </c>
      <c r="D151" s="2">
        <v>46162</v>
      </c>
      <c r="E151" s="2">
        <v>46181</v>
      </c>
      <c r="F151" t="s">
        <v>129</v>
      </c>
      <c r="G151" t="s">
        <v>282</v>
      </c>
      <c r="H151" t="s">
        <v>661</v>
      </c>
      <c r="I151" t="s">
        <v>27</v>
      </c>
      <c r="J151" t="s">
        <v>662</v>
      </c>
      <c r="K151" t="s">
        <v>58</v>
      </c>
      <c r="L151" t="s">
        <v>30</v>
      </c>
      <c r="M151" t="s">
        <v>663</v>
      </c>
      <c r="N151" t="s">
        <v>30</v>
      </c>
      <c r="O151" t="s">
        <v>32</v>
      </c>
      <c r="P151" t="s">
        <v>30</v>
      </c>
      <c r="Q151" t="s">
        <v>32</v>
      </c>
      <c r="R151" s="3" t="s">
        <v>664</v>
      </c>
    </row>
    <row r="152" spans="1:18" ht="15.6" x14ac:dyDescent="0.3">
      <c r="A152" s="2">
        <v>46163</v>
      </c>
      <c r="B152">
        <v>42</v>
      </c>
      <c r="C152" t="s">
        <v>665</v>
      </c>
      <c r="D152" s="2">
        <v>46162</v>
      </c>
      <c r="E152" s="2">
        <v>46169</v>
      </c>
      <c r="F152" t="s">
        <v>62</v>
      </c>
      <c r="G152" t="s">
        <v>25</v>
      </c>
      <c r="H152" t="s">
        <v>666</v>
      </c>
      <c r="I152" t="s">
        <v>27</v>
      </c>
      <c r="J152" t="s">
        <v>667</v>
      </c>
      <c r="K152" t="s">
        <v>385</v>
      </c>
      <c r="L152" t="s">
        <v>30</v>
      </c>
      <c r="M152" t="s">
        <v>78</v>
      </c>
      <c r="N152" t="s">
        <v>30</v>
      </c>
      <c r="O152" t="s">
        <v>32</v>
      </c>
      <c r="P152" t="s">
        <v>30</v>
      </c>
      <c r="Q152" t="s">
        <v>32</v>
      </c>
      <c r="R152" s="3" t="s">
        <v>668</v>
      </c>
    </row>
    <row r="153" spans="1:18" ht="15.6" x14ac:dyDescent="0.3">
      <c r="A153" s="2">
        <v>46163</v>
      </c>
      <c r="B153">
        <v>41</v>
      </c>
      <c r="C153" t="s">
        <v>669</v>
      </c>
      <c r="D153" s="2">
        <v>46162</v>
      </c>
      <c r="E153" s="2">
        <v>46170</v>
      </c>
      <c r="F153" t="s">
        <v>42</v>
      </c>
      <c r="G153" t="s">
        <v>48</v>
      </c>
      <c r="H153" t="s">
        <v>670</v>
      </c>
      <c r="I153" t="s">
        <v>27</v>
      </c>
      <c r="J153" t="s">
        <v>671</v>
      </c>
      <c r="K153" t="s">
        <v>58</v>
      </c>
      <c r="L153" t="s">
        <v>30</v>
      </c>
      <c r="M153" t="s">
        <v>45</v>
      </c>
      <c r="N153" t="s">
        <v>39</v>
      </c>
      <c r="O153" s="2">
        <v>46168</v>
      </c>
      <c r="P153" t="s">
        <v>39</v>
      </c>
      <c r="Q153" t="s">
        <v>672</v>
      </c>
      <c r="R153" s="3" t="s">
        <v>673</v>
      </c>
    </row>
    <row r="154" spans="1:18" ht="15.6" x14ac:dyDescent="0.3">
      <c r="A154" s="2">
        <v>46163</v>
      </c>
      <c r="B154">
        <v>40</v>
      </c>
      <c r="C154" t="s">
        <v>674</v>
      </c>
      <c r="D154" s="2">
        <v>46162</v>
      </c>
      <c r="E154" s="2">
        <v>46177</v>
      </c>
      <c r="F154" t="s">
        <v>62</v>
      </c>
      <c r="G154" t="s">
        <v>25</v>
      </c>
      <c r="H154" t="s">
        <v>675</v>
      </c>
      <c r="I154" t="s">
        <v>27</v>
      </c>
      <c r="J154" t="s">
        <v>676</v>
      </c>
      <c r="K154" t="s">
        <v>58</v>
      </c>
      <c r="L154" t="s">
        <v>30</v>
      </c>
      <c r="M154" t="s">
        <v>677</v>
      </c>
      <c r="N154" t="s">
        <v>30</v>
      </c>
      <c r="O154" t="s">
        <v>32</v>
      </c>
      <c r="P154" t="s">
        <v>30</v>
      </c>
      <c r="Q154" t="s">
        <v>32</v>
      </c>
      <c r="R154" s="3" t="s">
        <v>678</v>
      </c>
    </row>
    <row r="155" spans="1:18" ht="15.6" x14ac:dyDescent="0.3">
      <c r="A155" s="2">
        <v>46163</v>
      </c>
      <c r="B155">
        <v>39</v>
      </c>
      <c r="C155" t="s">
        <v>679</v>
      </c>
      <c r="D155" s="2">
        <v>46162</v>
      </c>
      <c r="E155" s="2">
        <v>46197</v>
      </c>
      <c r="F155" t="s">
        <v>62</v>
      </c>
      <c r="G155" t="s">
        <v>109</v>
      </c>
      <c r="H155" t="s">
        <v>680</v>
      </c>
      <c r="I155" t="s">
        <v>27</v>
      </c>
      <c r="J155" t="s">
        <v>154</v>
      </c>
      <c r="K155" t="s">
        <v>29</v>
      </c>
      <c r="L155" t="s">
        <v>30</v>
      </c>
      <c r="M155" t="s">
        <v>518</v>
      </c>
      <c r="N155" t="s">
        <v>30</v>
      </c>
      <c r="O155" t="s">
        <v>32</v>
      </c>
      <c r="P155" t="s">
        <v>30</v>
      </c>
      <c r="Q155" t="s">
        <v>32</v>
      </c>
      <c r="R155" s="3" t="s">
        <v>681</v>
      </c>
    </row>
    <row r="156" spans="1:18" ht="15.6" x14ac:dyDescent="0.3">
      <c r="A156" s="2">
        <v>46163</v>
      </c>
      <c r="B156">
        <v>38</v>
      </c>
      <c r="C156" t="s">
        <v>682</v>
      </c>
      <c r="D156" s="2">
        <v>46162</v>
      </c>
      <c r="E156" s="2">
        <v>46163</v>
      </c>
      <c r="F156" t="s">
        <v>62</v>
      </c>
      <c r="G156" t="s">
        <v>25</v>
      </c>
      <c r="H156" t="s">
        <v>683</v>
      </c>
      <c r="I156" t="s">
        <v>27</v>
      </c>
      <c r="J156" t="s">
        <v>684</v>
      </c>
      <c r="K156" t="s">
        <v>29</v>
      </c>
      <c r="L156" t="s">
        <v>30</v>
      </c>
      <c r="M156" t="s">
        <v>584</v>
      </c>
      <c r="N156" t="s">
        <v>30</v>
      </c>
      <c r="O156" t="s">
        <v>32</v>
      </c>
      <c r="P156" t="s">
        <v>30</v>
      </c>
      <c r="Q156" t="s">
        <v>32</v>
      </c>
      <c r="R156" s="3" t="s">
        <v>685</v>
      </c>
    </row>
    <row r="157" spans="1:18" ht="15.6" x14ac:dyDescent="0.3">
      <c r="A157" s="2">
        <v>46163</v>
      </c>
      <c r="B157">
        <v>37</v>
      </c>
      <c r="C157" t="s">
        <v>686</v>
      </c>
      <c r="D157" s="2">
        <v>46162</v>
      </c>
      <c r="E157" s="2">
        <v>46192</v>
      </c>
      <c r="F157" t="s">
        <v>62</v>
      </c>
      <c r="G157" t="s">
        <v>48</v>
      </c>
      <c r="H157" t="s">
        <v>687</v>
      </c>
      <c r="I157" t="s">
        <v>27</v>
      </c>
      <c r="J157" t="s">
        <v>688</v>
      </c>
      <c r="K157" t="s">
        <v>84</v>
      </c>
      <c r="L157" t="s">
        <v>30</v>
      </c>
      <c r="M157" t="s">
        <v>271</v>
      </c>
      <c r="N157" t="s">
        <v>30</v>
      </c>
      <c r="O157" t="s">
        <v>32</v>
      </c>
      <c r="P157" t="s">
        <v>30</v>
      </c>
      <c r="Q157" t="s">
        <v>32</v>
      </c>
      <c r="R157" s="3" t="s">
        <v>689</v>
      </c>
    </row>
    <row r="158" spans="1:18" ht="15.6" x14ac:dyDescent="0.3">
      <c r="A158" s="2">
        <v>46163</v>
      </c>
      <c r="B158">
        <v>36</v>
      </c>
      <c r="C158" t="s">
        <v>690</v>
      </c>
      <c r="D158" s="2">
        <v>46162</v>
      </c>
      <c r="E158" s="2">
        <v>46190</v>
      </c>
      <c r="F158" t="s">
        <v>62</v>
      </c>
      <c r="G158" t="s">
        <v>48</v>
      </c>
      <c r="H158" t="s">
        <v>691</v>
      </c>
      <c r="I158" t="s">
        <v>27</v>
      </c>
      <c r="J158" t="s">
        <v>374</v>
      </c>
      <c r="K158" t="s">
        <v>58</v>
      </c>
      <c r="L158" t="s">
        <v>30</v>
      </c>
      <c r="M158" t="s">
        <v>254</v>
      </c>
      <c r="N158" t="s">
        <v>39</v>
      </c>
      <c r="O158" s="2">
        <v>46171</v>
      </c>
      <c r="P158" t="s">
        <v>39</v>
      </c>
      <c r="Q158" t="s">
        <v>692</v>
      </c>
      <c r="R158" s="3" t="s">
        <v>693</v>
      </c>
    </row>
    <row r="159" spans="1:18" ht="15.6" x14ac:dyDescent="0.3">
      <c r="A159" s="2">
        <v>46163</v>
      </c>
      <c r="B159">
        <v>35</v>
      </c>
      <c r="C159" t="s">
        <v>694</v>
      </c>
      <c r="D159" s="2">
        <v>46162</v>
      </c>
      <c r="E159" s="2">
        <v>46169</v>
      </c>
      <c r="F159" t="s">
        <v>62</v>
      </c>
      <c r="G159" t="s">
        <v>25</v>
      </c>
      <c r="H159" t="s">
        <v>695</v>
      </c>
      <c r="I159" t="s">
        <v>27</v>
      </c>
      <c r="J159" t="s">
        <v>402</v>
      </c>
      <c r="K159" t="s">
        <v>29</v>
      </c>
      <c r="L159" t="s">
        <v>30</v>
      </c>
      <c r="M159" t="s">
        <v>78</v>
      </c>
      <c r="N159" t="s">
        <v>30</v>
      </c>
      <c r="O159" t="s">
        <v>32</v>
      </c>
      <c r="P159" t="s">
        <v>30</v>
      </c>
      <c r="Q159" t="s">
        <v>32</v>
      </c>
      <c r="R159" s="3" t="s">
        <v>696</v>
      </c>
    </row>
    <row r="160" spans="1:18" ht="15.6" x14ac:dyDescent="0.3">
      <c r="A160" s="2">
        <v>46163</v>
      </c>
      <c r="B160">
        <v>34</v>
      </c>
      <c r="C160" t="s">
        <v>697</v>
      </c>
      <c r="D160" s="2">
        <v>46162</v>
      </c>
      <c r="E160" s="2">
        <v>46192</v>
      </c>
      <c r="F160" t="s">
        <v>24</v>
      </c>
      <c r="G160" t="s">
        <v>48</v>
      </c>
      <c r="H160" t="s">
        <v>698</v>
      </c>
      <c r="I160" t="s">
        <v>27</v>
      </c>
      <c r="J160" t="s">
        <v>699</v>
      </c>
      <c r="K160" t="s">
        <v>385</v>
      </c>
      <c r="L160" t="s">
        <v>30</v>
      </c>
      <c r="M160" t="s">
        <v>278</v>
      </c>
      <c r="N160" t="s">
        <v>30</v>
      </c>
      <c r="O160" t="s">
        <v>32</v>
      </c>
      <c r="P160" t="s">
        <v>30</v>
      </c>
      <c r="Q160" t="s">
        <v>32</v>
      </c>
      <c r="R160" s="3" t="s">
        <v>700</v>
      </c>
    </row>
    <row r="161" spans="1:18" ht="15.6" x14ac:dyDescent="0.3">
      <c r="A161" s="2">
        <v>46163</v>
      </c>
      <c r="B161">
        <v>33</v>
      </c>
      <c r="C161" t="s">
        <v>701</v>
      </c>
      <c r="D161" s="2">
        <v>46162</v>
      </c>
      <c r="E161" s="2">
        <v>46175</v>
      </c>
      <c r="F161" t="s">
        <v>62</v>
      </c>
      <c r="G161" t="s">
        <v>25</v>
      </c>
      <c r="H161" t="s">
        <v>702</v>
      </c>
      <c r="I161" t="s">
        <v>27</v>
      </c>
      <c r="J161" t="s">
        <v>703</v>
      </c>
      <c r="K161" t="s">
        <v>29</v>
      </c>
      <c r="L161" t="s">
        <v>30</v>
      </c>
      <c r="M161" t="s">
        <v>31</v>
      </c>
      <c r="N161" t="s">
        <v>39</v>
      </c>
      <c r="O161" s="2">
        <v>46169</v>
      </c>
      <c r="P161" t="s">
        <v>39</v>
      </c>
      <c r="Q161" t="s">
        <v>704</v>
      </c>
      <c r="R161" s="3" t="s">
        <v>705</v>
      </c>
    </row>
    <row r="162" spans="1:18" ht="15.6" x14ac:dyDescent="0.3">
      <c r="A162" s="2">
        <v>46163</v>
      </c>
      <c r="B162">
        <v>32</v>
      </c>
      <c r="C162" t="s">
        <v>706</v>
      </c>
      <c r="D162" s="2">
        <v>46162</v>
      </c>
      <c r="E162" s="2">
        <v>46190</v>
      </c>
      <c r="F162" t="s">
        <v>62</v>
      </c>
      <c r="G162" t="s">
        <v>48</v>
      </c>
      <c r="H162" t="s">
        <v>707</v>
      </c>
      <c r="I162" t="s">
        <v>27</v>
      </c>
      <c r="J162" t="s">
        <v>374</v>
      </c>
      <c r="K162" t="s">
        <v>58</v>
      </c>
      <c r="L162" t="s">
        <v>30</v>
      </c>
      <c r="M162" t="s">
        <v>254</v>
      </c>
      <c r="N162" t="s">
        <v>39</v>
      </c>
      <c r="O162" s="2">
        <v>46171</v>
      </c>
      <c r="P162" t="s">
        <v>39</v>
      </c>
      <c r="Q162" t="s">
        <v>692</v>
      </c>
      <c r="R162" s="3" t="s">
        <v>708</v>
      </c>
    </row>
    <row r="163" spans="1:18" ht="15.6" x14ac:dyDescent="0.3">
      <c r="A163" s="2">
        <v>46163</v>
      </c>
      <c r="B163">
        <v>31</v>
      </c>
      <c r="C163" t="s">
        <v>709</v>
      </c>
      <c r="D163" s="2">
        <v>46162</v>
      </c>
      <c r="E163" s="2">
        <v>46195</v>
      </c>
      <c r="F163" t="s">
        <v>24</v>
      </c>
      <c r="G163" t="s">
        <v>48</v>
      </c>
      <c r="H163" t="s">
        <v>710</v>
      </c>
      <c r="I163" t="s">
        <v>27</v>
      </c>
      <c r="J163" t="s">
        <v>711</v>
      </c>
      <c r="K163" t="s">
        <v>91</v>
      </c>
      <c r="L163" t="s">
        <v>30</v>
      </c>
      <c r="M163" t="s">
        <v>31</v>
      </c>
      <c r="N163" t="s">
        <v>39</v>
      </c>
      <c r="O163" s="2">
        <v>46176</v>
      </c>
      <c r="P163" t="s">
        <v>39</v>
      </c>
      <c r="Q163" t="s">
        <v>712</v>
      </c>
      <c r="R163" s="3" t="s">
        <v>713</v>
      </c>
    </row>
    <row r="164" spans="1:18" ht="15.6" x14ac:dyDescent="0.3">
      <c r="A164" s="2">
        <v>46163</v>
      </c>
      <c r="B164">
        <v>30</v>
      </c>
      <c r="C164" t="s">
        <v>714</v>
      </c>
      <c r="D164" s="2">
        <v>46162</v>
      </c>
      <c r="E164" s="2">
        <v>46185</v>
      </c>
      <c r="F164" t="s">
        <v>24</v>
      </c>
      <c r="G164" t="s">
        <v>109</v>
      </c>
      <c r="H164" t="s">
        <v>715</v>
      </c>
      <c r="I164" t="s">
        <v>27</v>
      </c>
      <c r="J164" t="s">
        <v>253</v>
      </c>
      <c r="K164" t="s">
        <v>29</v>
      </c>
      <c r="L164" t="s">
        <v>30</v>
      </c>
      <c r="M164" t="s">
        <v>38</v>
      </c>
      <c r="N164" t="s">
        <v>39</v>
      </c>
      <c r="O164" s="2">
        <v>46175</v>
      </c>
      <c r="P164" t="s">
        <v>39</v>
      </c>
      <c r="Q164" t="s">
        <v>716</v>
      </c>
      <c r="R164" s="3" t="s">
        <v>717</v>
      </c>
    </row>
    <row r="165" spans="1:18" ht="15.6" x14ac:dyDescent="0.3">
      <c r="A165" s="2">
        <v>46163</v>
      </c>
      <c r="B165">
        <v>29</v>
      </c>
      <c r="C165" t="s">
        <v>718</v>
      </c>
      <c r="D165" s="2">
        <v>46162</v>
      </c>
      <c r="E165" s="2">
        <v>46184</v>
      </c>
      <c r="F165" t="s">
        <v>62</v>
      </c>
      <c r="G165" t="s">
        <v>25</v>
      </c>
      <c r="H165" t="s">
        <v>719</v>
      </c>
      <c r="I165" t="s">
        <v>27</v>
      </c>
      <c r="J165" t="s">
        <v>77</v>
      </c>
      <c r="K165" t="s">
        <v>58</v>
      </c>
      <c r="L165" t="s">
        <v>30</v>
      </c>
      <c r="M165" t="s">
        <v>45</v>
      </c>
      <c r="N165" t="s">
        <v>39</v>
      </c>
      <c r="O165" s="2">
        <v>46169</v>
      </c>
      <c r="P165" t="s">
        <v>30</v>
      </c>
      <c r="Q165" t="s">
        <v>386</v>
      </c>
      <c r="R165" s="3" t="s">
        <v>720</v>
      </c>
    </row>
    <row r="166" spans="1:18" ht="15.6" x14ac:dyDescent="0.3">
      <c r="A166" s="2">
        <v>46163</v>
      </c>
      <c r="B166">
        <v>28</v>
      </c>
      <c r="C166" t="s">
        <v>721</v>
      </c>
      <c r="D166" s="2">
        <v>46162</v>
      </c>
      <c r="E166" s="2">
        <v>46171</v>
      </c>
      <c r="F166" t="s">
        <v>281</v>
      </c>
      <c r="G166" t="s">
        <v>25</v>
      </c>
      <c r="H166" t="s">
        <v>722</v>
      </c>
      <c r="I166" t="s">
        <v>27</v>
      </c>
      <c r="J166" t="s">
        <v>723</v>
      </c>
      <c r="K166" t="s">
        <v>65</v>
      </c>
      <c r="L166" t="s">
        <v>30</v>
      </c>
      <c r="M166" t="s">
        <v>31</v>
      </c>
      <c r="N166" t="s">
        <v>30</v>
      </c>
      <c r="O166" t="s">
        <v>32</v>
      </c>
      <c r="P166" t="s">
        <v>30</v>
      </c>
      <c r="Q166" t="s">
        <v>32</v>
      </c>
      <c r="R166" s="3" t="s">
        <v>724</v>
      </c>
    </row>
    <row r="167" spans="1:18" ht="15.6" x14ac:dyDescent="0.3">
      <c r="A167" s="2">
        <v>46163</v>
      </c>
      <c r="B167">
        <v>27</v>
      </c>
      <c r="C167" t="s">
        <v>725</v>
      </c>
      <c r="D167" s="2">
        <v>46162</v>
      </c>
      <c r="E167" s="2">
        <v>46197</v>
      </c>
      <c r="F167" t="s">
        <v>62</v>
      </c>
      <c r="G167" t="s">
        <v>109</v>
      </c>
      <c r="H167" t="s">
        <v>726</v>
      </c>
      <c r="I167" t="s">
        <v>27</v>
      </c>
      <c r="J167" t="s">
        <v>154</v>
      </c>
      <c r="K167" t="s">
        <v>29</v>
      </c>
      <c r="L167" t="s">
        <v>30</v>
      </c>
      <c r="M167" t="s">
        <v>301</v>
      </c>
      <c r="N167" t="s">
        <v>30</v>
      </c>
      <c r="O167" t="s">
        <v>32</v>
      </c>
      <c r="P167" t="s">
        <v>30</v>
      </c>
      <c r="Q167" t="s">
        <v>32</v>
      </c>
      <c r="R167" s="3" t="s">
        <v>727</v>
      </c>
    </row>
    <row r="168" spans="1:18" ht="15.6" x14ac:dyDescent="0.3">
      <c r="A168" s="2">
        <v>46163</v>
      </c>
      <c r="B168">
        <v>26</v>
      </c>
      <c r="C168" t="s">
        <v>728</v>
      </c>
      <c r="D168" s="2">
        <v>46162</v>
      </c>
      <c r="E168" s="2">
        <v>46175</v>
      </c>
      <c r="F168" t="s">
        <v>62</v>
      </c>
      <c r="G168" t="s">
        <v>25</v>
      </c>
      <c r="H168" t="s">
        <v>729</v>
      </c>
      <c r="I168" t="s">
        <v>27</v>
      </c>
      <c r="J168" t="s">
        <v>684</v>
      </c>
      <c r="K168" t="s">
        <v>58</v>
      </c>
      <c r="L168" t="s">
        <v>30</v>
      </c>
      <c r="M168" t="s">
        <v>45</v>
      </c>
      <c r="N168" t="s">
        <v>39</v>
      </c>
      <c r="O168" s="2">
        <v>46168</v>
      </c>
      <c r="P168" t="s">
        <v>39</v>
      </c>
      <c r="Q168" t="s">
        <v>730</v>
      </c>
      <c r="R168" s="3" t="s">
        <v>731</v>
      </c>
    </row>
    <row r="169" spans="1:18" ht="15.6" x14ac:dyDescent="0.3">
      <c r="A169" s="2">
        <v>46163</v>
      </c>
      <c r="B169">
        <v>25</v>
      </c>
      <c r="C169" t="s">
        <v>732</v>
      </c>
      <c r="D169" s="2">
        <v>46162</v>
      </c>
      <c r="E169" s="2">
        <v>46170</v>
      </c>
      <c r="F169" t="s">
        <v>62</v>
      </c>
      <c r="G169" t="s">
        <v>25</v>
      </c>
      <c r="H169" t="s">
        <v>733</v>
      </c>
      <c r="I169" t="s">
        <v>27</v>
      </c>
      <c r="J169" t="s">
        <v>390</v>
      </c>
      <c r="K169" t="s">
        <v>29</v>
      </c>
      <c r="L169" t="s">
        <v>30</v>
      </c>
      <c r="M169" t="s">
        <v>210</v>
      </c>
      <c r="N169" t="s">
        <v>30</v>
      </c>
      <c r="O169" t="s">
        <v>32</v>
      </c>
      <c r="P169" t="s">
        <v>30</v>
      </c>
      <c r="Q169" t="s">
        <v>32</v>
      </c>
      <c r="R169" s="3" t="s">
        <v>734</v>
      </c>
    </row>
    <row r="170" spans="1:18" ht="15.6" x14ac:dyDescent="0.3">
      <c r="A170" s="2">
        <v>46163</v>
      </c>
      <c r="B170">
        <v>24</v>
      </c>
      <c r="C170" t="s">
        <v>735</v>
      </c>
      <c r="D170" s="2">
        <v>46162</v>
      </c>
      <c r="E170" s="2">
        <v>46184</v>
      </c>
      <c r="F170" t="s">
        <v>62</v>
      </c>
      <c r="G170" t="s">
        <v>48</v>
      </c>
      <c r="H170" t="s">
        <v>736</v>
      </c>
      <c r="I170" t="s">
        <v>27</v>
      </c>
      <c r="J170" t="s">
        <v>737</v>
      </c>
      <c r="K170" t="s">
        <v>29</v>
      </c>
      <c r="L170" t="s">
        <v>30</v>
      </c>
      <c r="M170" t="s">
        <v>738</v>
      </c>
      <c r="N170" t="s">
        <v>30</v>
      </c>
      <c r="O170" t="s">
        <v>32</v>
      </c>
      <c r="P170" t="s">
        <v>30</v>
      </c>
      <c r="Q170" t="s">
        <v>32</v>
      </c>
      <c r="R170" s="3" t="s">
        <v>739</v>
      </c>
    </row>
    <row r="171" spans="1:18" ht="15.6" x14ac:dyDescent="0.3">
      <c r="A171" s="2">
        <v>46163</v>
      </c>
      <c r="B171">
        <v>23</v>
      </c>
      <c r="C171" t="s">
        <v>740</v>
      </c>
      <c r="D171" s="2">
        <v>46162</v>
      </c>
      <c r="E171" s="2">
        <v>46184</v>
      </c>
      <c r="F171" t="s">
        <v>75</v>
      </c>
      <c r="G171" t="s">
        <v>48</v>
      </c>
      <c r="H171" t="s">
        <v>741</v>
      </c>
      <c r="I171" t="s">
        <v>27</v>
      </c>
      <c r="J171" t="s">
        <v>77</v>
      </c>
      <c r="K171" t="s">
        <v>37</v>
      </c>
      <c r="L171" t="s">
        <v>30</v>
      </c>
      <c r="M171" t="s">
        <v>584</v>
      </c>
      <c r="N171" t="s">
        <v>39</v>
      </c>
      <c r="O171" s="2">
        <v>46169</v>
      </c>
      <c r="P171" t="s">
        <v>39</v>
      </c>
      <c r="Q171" t="s">
        <v>386</v>
      </c>
      <c r="R171" s="3" t="s">
        <v>742</v>
      </c>
    </row>
    <row r="172" spans="1:18" ht="15.6" x14ac:dyDescent="0.3">
      <c r="A172" s="2">
        <v>46163</v>
      </c>
      <c r="B172">
        <v>22</v>
      </c>
      <c r="C172" t="s">
        <v>743</v>
      </c>
      <c r="D172" s="2">
        <v>46162</v>
      </c>
      <c r="E172" s="2">
        <v>46192</v>
      </c>
      <c r="F172" t="s">
        <v>62</v>
      </c>
      <c r="G172" t="s">
        <v>48</v>
      </c>
      <c r="H172" t="s">
        <v>744</v>
      </c>
      <c r="I172" t="s">
        <v>27</v>
      </c>
      <c r="J172" t="s">
        <v>745</v>
      </c>
      <c r="K172" t="s">
        <v>155</v>
      </c>
      <c r="L172" t="s">
        <v>30</v>
      </c>
      <c r="M172" t="s">
        <v>38</v>
      </c>
      <c r="N172" t="s">
        <v>30</v>
      </c>
      <c r="O172" t="s">
        <v>32</v>
      </c>
      <c r="P172" t="s">
        <v>30</v>
      </c>
      <c r="Q172" t="s">
        <v>32</v>
      </c>
      <c r="R172" s="3" t="s">
        <v>746</v>
      </c>
    </row>
    <row r="173" spans="1:18" ht="15.6" x14ac:dyDescent="0.3">
      <c r="A173" s="2">
        <v>46163</v>
      </c>
      <c r="B173">
        <v>21</v>
      </c>
      <c r="C173" t="s">
        <v>747</v>
      </c>
      <c r="D173" s="2">
        <v>46162</v>
      </c>
      <c r="E173" s="2">
        <v>46192</v>
      </c>
      <c r="F173" t="s">
        <v>24</v>
      </c>
      <c r="G173" t="s">
        <v>48</v>
      </c>
      <c r="H173" t="s">
        <v>748</v>
      </c>
      <c r="I173" t="s">
        <v>27</v>
      </c>
      <c r="J173" t="s">
        <v>749</v>
      </c>
      <c r="K173" t="s">
        <v>91</v>
      </c>
      <c r="L173" t="s">
        <v>30</v>
      </c>
      <c r="M173" t="s">
        <v>750</v>
      </c>
      <c r="N173" t="s">
        <v>39</v>
      </c>
      <c r="O173" t="s">
        <v>32</v>
      </c>
      <c r="P173" t="s">
        <v>39</v>
      </c>
      <c r="Q173" t="s">
        <v>751</v>
      </c>
      <c r="R173" s="3" t="s">
        <v>752</v>
      </c>
    </row>
    <row r="174" spans="1:18" ht="15.6" x14ac:dyDescent="0.3">
      <c r="A174" s="2">
        <v>46163</v>
      </c>
      <c r="B174">
        <v>20</v>
      </c>
      <c r="C174" t="s">
        <v>753</v>
      </c>
      <c r="D174" s="2">
        <v>46162</v>
      </c>
      <c r="E174" s="2">
        <v>46196</v>
      </c>
      <c r="F174" t="s">
        <v>24</v>
      </c>
      <c r="G174" t="s">
        <v>109</v>
      </c>
      <c r="H174" t="s">
        <v>754</v>
      </c>
      <c r="I174" t="s">
        <v>27</v>
      </c>
      <c r="J174" t="s">
        <v>755</v>
      </c>
      <c r="K174" t="s">
        <v>58</v>
      </c>
      <c r="L174" t="s">
        <v>30</v>
      </c>
      <c r="M174" t="s">
        <v>78</v>
      </c>
      <c r="N174" t="s">
        <v>39</v>
      </c>
      <c r="O174" s="2">
        <v>46171</v>
      </c>
      <c r="P174" t="s">
        <v>39</v>
      </c>
      <c r="Q174" t="s">
        <v>161</v>
      </c>
      <c r="R174" s="3" t="s">
        <v>756</v>
      </c>
    </row>
    <row r="175" spans="1:18" ht="15.6" x14ac:dyDescent="0.3">
      <c r="A175" s="2">
        <v>46163</v>
      </c>
      <c r="B175">
        <v>19</v>
      </c>
      <c r="C175" t="s">
        <v>757</v>
      </c>
      <c r="D175" s="2">
        <v>46162</v>
      </c>
      <c r="E175" s="2">
        <v>46191</v>
      </c>
      <c r="F175" t="s">
        <v>62</v>
      </c>
      <c r="G175" t="s">
        <v>48</v>
      </c>
      <c r="H175" t="s">
        <v>758</v>
      </c>
      <c r="I175" t="s">
        <v>27</v>
      </c>
      <c r="J175" t="s">
        <v>676</v>
      </c>
      <c r="K175" t="s">
        <v>58</v>
      </c>
      <c r="L175" t="s">
        <v>30</v>
      </c>
      <c r="M175" t="s">
        <v>677</v>
      </c>
      <c r="N175" t="s">
        <v>39</v>
      </c>
      <c r="O175" s="2">
        <v>46177</v>
      </c>
      <c r="P175" t="s">
        <v>39</v>
      </c>
      <c r="Q175" t="s">
        <v>759</v>
      </c>
      <c r="R175" s="3" t="s">
        <v>760</v>
      </c>
    </row>
    <row r="176" spans="1:18" ht="15.6" x14ac:dyDescent="0.3">
      <c r="A176" s="2">
        <v>46163</v>
      </c>
      <c r="B176">
        <v>18</v>
      </c>
      <c r="C176" t="s">
        <v>761</v>
      </c>
      <c r="D176" s="2">
        <v>46162</v>
      </c>
      <c r="E176" s="2">
        <v>46168</v>
      </c>
      <c r="F176" t="s">
        <v>62</v>
      </c>
      <c r="G176" t="s">
        <v>25</v>
      </c>
      <c r="H176" t="s">
        <v>762</v>
      </c>
      <c r="I176" t="s">
        <v>27</v>
      </c>
      <c r="J176" t="s">
        <v>262</v>
      </c>
      <c r="K176" t="s">
        <v>51</v>
      </c>
      <c r="L176" t="s">
        <v>30</v>
      </c>
      <c r="M176" t="s">
        <v>45</v>
      </c>
      <c r="N176" t="s">
        <v>30</v>
      </c>
      <c r="O176" t="s">
        <v>32</v>
      </c>
      <c r="P176" t="s">
        <v>30</v>
      </c>
      <c r="Q176" t="s">
        <v>32</v>
      </c>
      <c r="R176" s="3" t="s">
        <v>763</v>
      </c>
    </row>
    <row r="177" spans="1:18" ht="15.6" x14ac:dyDescent="0.3">
      <c r="A177" s="2">
        <v>46163</v>
      </c>
      <c r="B177">
        <v>17</v>
      </c>
      <c r="C177" t="s">
        <v>764</v>
      </c>
      <c r="D177" s="2">
        <v>46162</v>
      </c>
      <c r="E177" s="2">
        <v>46181</v>
      </c>
      <c r="F177" t="s">
        <v>24</v>
      </c>
      <c r="G177" t="s">
        <v>25</v>
      </c>
      <c r="H177" t="s">
        <v>765</v>
      </c>
      <c r="I177" t="s">
        <v>27</v>
      </c>
      <c r="J177" t="s">
        <v>766</v>
      </c>
      <c r="K177" t="s">
        <v>65</v>
      </c>
      <c r="L177" t="s">
        <v>30</v>
      </c>
      <c r="M177" t="s">
        <v>72</v>
      </c>
      <c r="N177" t="s">
        <v>39</v>
      </c>
      <c r="O177" s="2">
        <v>46168</v>
      </c>
      <c r="P177" t="s">
        <v>39</v>
      </c>
      <c r="Q177" t="s">
        <v>767</v>
      </c>
      <c r="R177" s="3" t="s">
        <v>768</v>
      </c>
    </row>
    <row r="178" spans="1:18" ht="15.6" x14ac:dyDescent="0.3">
      <c r="A178" s="2">
        <v>46163</v>
      </c>
      <c r="B178">
        <v>16</v>
      </c>
      <c r="C178" t="s">
        <v>769</v>
      </c>
      <c r="D178" s="2">
        <v>46162</v>
      </c>
      <c r="E178" s="2">
        <v>46192</v>
      </c>
      <c r="F178" t="s">
        <v>62</v>
      </c>
      <c r="G178" t="s">
        <v>48</v>
      </c>
      <c r="H178" t="s">
        <v>770</v>
      </c>
      <c r="I178" t="s">
        <v>27</v>
      </c>
      <c r="J178" t="s">
        <v>688</v>
      </c>
      <c r="K178" t="s">
        <v>84</v>
      </c>
      <c r="L178" t="s">
        <v>30</v>
      </c>
      <c r="M178" t="s">
        <v>271</v>
      </c>
      <c r="N178" t="s">
        <v>30</v>
      </c>
      <c r="O178" t="s">
        <v>32</v>
      </c>
      <c r="P178" t="s">
        <v>30</v>
      </c>
      <c r="Q178" t="s">
        <v>32</v>
      </c>
      <c r="R178" s="3" t="s">
        <v>771</v>
      </c>
    </row>
    <row r="179" spans="1:18" ht="15.6" x14ac:dyDescent="0.3">
      <c r="A179" s="2">
        <v>46163</v>
      </c>
      <c r="B179">
        <v>15</v>
      </c>
      <c r="C179" t="s">
        <v>772</v>
      </c>
      <c r="D179" s="2">
        <v>46162</v>
      </c>
      <c r="E179" s="2">
        <v>46190</v>
      </c>
      <c r="F179" t="s">
        <v>24</v>
      </c>
      <c r="G179" t="s">
        <v>48</v>
      </c>
      <c r="H179" t="s">
        <v>773</v>
      </c>
      <c r="I179" t="s">
        <v>27</v>
      </c>
      <c r="J179" t="s">
        <v>517</v>
      </c>
      <c r="K179" t="s">
        <v>65</v>
      </c>
      <c r="L179" t="s">
        <v>30</v>
      </c>
      <c r="M179" t="s">
        <v>66</v>
      </c>
      <c r="N179" t="s">
        <v>30</v>
      </c>
      <c r="O179" t="s">
        <v>32</v>
      </c>
      <c r="P179" t="s">
        <v>30</v>
      </c>
      <c r="Q179" t="s">
        <v>32</v>
      </c>
      <c r="R179" s="3" t="s">
        <v>774</v>
      </c>
    </row>
    <row r="180" spans="1:18" ht="15.6" x14ac:dyDescent="0.3">
      <c r="A180" s="2">
        <v>46163</v>
      </c>
      <c r="B180">
        <v>14</v>
      </c>
      <c r="C180" t="s">
        <v>775</v>
      </c>
      <c r="D180" s="2">
        <v>46162</v>
      </c>
      <c r="E180" s="2">
        <v>46167</v>
      </c>
      <c r="F180" t="s">
        <v>75</v>
      </c>
      <c r="G180" t="s">
        <v>25</v>
      </c>
      <c r="H180" t="s">
        <v>776</v>
      </c>
      <c r="I180" t="s">
        <v>27</v>
      </c>
      <c r="J180" t="s">
        <v>642</v>
      </c>
      <c r="K180" t="s">
        <v>29</v>
      </c>
      <c r="L180" t="s">
        <v>30</v>
      </c>
      <c r="M180" t="s">
        <v>136</v>
      </c>
      <c r="N180" t="s">
        <v>30</v>
      </c>
      <c r="O180" t="s">
        <v>32</v>
      </c>
      <c r="P180" t="s">
        <v>30</v>
      </c>
      <c r="Q180" t="s">
        <v>32</v>
      </c>
      <c r="R180" s="3" t="s">
        <v>777</v>
      </c>
    </row>
    <row r="181" spans="1:18" ht="15.6" x14ac:dyDescent="0.3">
      <c r="A181" s="2">
        <v>46163</v>
      </c>
      <c r="B181">
        <v>13</v>
      </c>
      <c r="C181" t="s">
        <v>778</v>
      </c>
      <c r="D181" s="2">
        <v>46162</v>
      </c>
      <c r="E181" s="2">
        <v>46185</v>
      </c>
      <c r="F181" t="s">
        <v>62</v>
      </c>
      <c r="G181" t="s">
        <v>48</v>
      </c>
      <c r="H181" t="s">
        <v>779</v>
      </c>
      <c r="I181" t="s">
        <v>27</v>
      </c>
      <c r="J181" t="s">
        <v>780</v>
      </c>
      <c r="K181" t="s">
        <v>29</v>
      </c>
      <c r="L181" t="s">
        <v>30</v>
      </c>
      <c r="M181" t="s">
        <v>106</v>
      </c>
      <c r="N181" t="s">
        <v>39</v>
      </c>
      <c r="O181" s="2">
        <v>46169</v>
      </c>
      <c r="P181" t="s">
        <v>30</v>
      </c>
      <c r="Q181" t="s">
        <v>781</v>
      </c>
      <c r="R181" s="3" t="s">
        <v>782</v>
      </c>
    </row>
    <row r="182" spans="1:18" ht="15.6" x14ac:dyDescent="0.3">
      <c r="A182" s="2">
        <v>46163</v>
      </c>
      <c r="B182">
        <v>12</v>
      </c>
      <c r="C182" t="s">
        <v>783</v>
      </c>
      <c r="D182" s="2">
        <v>46162</v>
      </c>
      <c r="E182" s="2">
        <v>46168</v>
      </c>
      <c r="F182" t="s">
        <v>62</v>
      </c>
      <c r="G182" t="s">
        <v>25</v>
      </c>
      <c r="H182" t="s">
        <v>784</v>
      </c>
      <c r="I182" t="s">
        <v>27</v>
      </c>
      <c r="J182" t="s">
        <v>125</v>
      </c>
      <c r="K182" t="s">
        <v>29</v>
      </c>
      <c r="L182" t="s">
        <v>30</v>
      </c>
      <c r="M182" t="s">
        <v>31</v>
      </c>
      <c r="N182" t="s">
        <v>30</v>
      </c>
      <c r="O182" t="s">
        <v>32</v>
      </c>
      <c r="P182" t="s">
        <v>30</v>
      </c>
      <c r="Q182" t="s">
        <v>32</v>
      </c>
      <c r="R182" s="3" t="s">
        <v>785</v>
      </c>
    </row>
    <row r="183" spans="1:18" ht="15.6" x14ac:dyDescent="0.3">
      <c r="A183" s="2">
        <v>46163</v>
      </c>
      <c r="B183">
        <v>11</v>
      </c>
      <c r="C183" t="s">
        <v>786</v>
      </c>
      <c r="D183" s="2">
        <v>46162</v>
      </c>
      <c r="E183" s="2">
        <v>46195</v>
      </c>
      <c r="F183" t="s">
        <v>24</v>
      </c>
      <c r="G183" t="s">
        <v>48</v>
      </c>
      <c r="H183" t="s">
        <v>787</v>
      </c>
      <c r="I183" t="s">
        <v>27</v>
      </c>
      <c r="J183" t="s">
        <v>788</v>
      </c>
      <c r="K183" t="s">
        <v>51</v>
      </c>
      <c r="L183" t="s">
        <v>30</v>
      </c>
      <c r="M183" t="s">
        <v>271</v>
      </c>
      <c r="N183" t="s">
        <v>30</v>
      </c>
      <c r="O183" t="s">
        <v>32</v>
      </c>
      <c r="P183" t="s">
        <v>30</v>
      </c>
      <c r="Q183" t="s">
        <v>32</v>
      </c>
      <c r="R183" s="3" t="s">
        <v>789</v>
      </c>
    </row>
    <row r="184" spans="1:18" ht="15.6" x14ac:dyDescent="0.3">
      <c r="A184" s="2">
        <v>46163</v>
      </c>
      <c r="B184">
        <v>10</v>
      </c>
      <c r="C184" t="s">
        <v>790</v>
      </c>
      <c r="D184" s="2">
        <v>46162</v>
      </c>
      <c r="E184" s="2">
        <v>46181</v>
      </c>
      <c r="F184" t="s">
        <v>62</v>
      </c>
      <c r="G184" t="s">
        <v>25</v>
      </c>
      <c r="H184" t="s">
        <v>791</v>
      </c>
      <c r="I184" t="s">
        <v>27</v>
      </c>
      <c r="J184" t="s">
        <v>676</v>
      </c>
      <c r="K184" t="s">
        <v>58</v>
      </c>
      <c r="L184" t="s">
        <v>30</v>
      </c>
      <c r="M184" t="s">
        <v>677</v>
      </c>
      <c r="N184" t="s">
        <v>30</v>
      </c>
      <c r="O184" t="s">
        <v>32</v>
      </c>
      <c r="P184" t="s">
        <v>30</v>
      </c>
      <c r="Q184" t="s">
        <v>32</v>
      </c>
      <c r="R184" s="3" t="s">
        <v>792</v>
      </c>
    </row>
    <row r="185" spans="1:18" ht="15.6" x14ac:dyDescent="0.3">
      <c r="A185" s="2">
        <v>46163</v>
      </c>
      <c r="B185">
        <v>9</v>
      </c>
      <c r="C185" t="s">
        <v>793</v>
      </c>
      <c r="D185" s="2">
        <v>46162</v>
      </c>
      <c r="E185" s="2">
        <v>46167</v>
      </c>
      <c r="F185" t="s">
        <v>281</v>
      </c>
      <c r="G185" t="s">
        <v>25</v>
      </c>
      <c r="H185" t="s">
        <v>794</v>
      </c>
      <c r="I185" t="s">
        <v>27</v>
      </c>
      <c r="J185" t="s">
        <v>795</v>
      </c>
      <c r="K185" t="s">
        <v>29</v>
      </c>
      <c r="L185" t="s">
        <v>30</v>
      </c>
      <c r="M185" t="s">
        <v>136</v>
      </c>
      <c r="N185" t="s">
        <v>30</v>
      </c>
      <c r="O185" t="s">
        <v>32</v>
      </c>
      <c r="P185" t="s">
        <v>30</v>
      </c>
      <c r="Q185" t="s">
        <v>32</v>
      </c>
      <c r="R185" s="3" t="s">
        <v>796</v>
      </c>
    </row>
    <row r="186" spans="1:18" ht="15.6" x14ac:dyDescent="0.3">
      <c r="A186" s="2">
        <v>46163</v>
      </c>
      <c r="B186">
        <v>8</v>
      </c>
      <c r="C186" t="s">
        <v>797</v>
      </c>
      <c r="D186" s="2">
        <v>46162</v>
      </c>
      <c r="E186" s="2">
        <v>46206</v>
      </c>
      <c r="F186" t="s">
        <v>62</v>
      </c>
      <c r="G186" t="s">
        <v>48</v>
      </c>
      <c r="H186" t="s">
        <v>798</v>
      </c>
      <c r="I186" t="s">
        <v>27</v>
      </c>
      <c r="J186" t="s">
        <v>799</v>
      </c>
      <c r="K186" t="s">
        <v>58</v>
      </c>
      <c r="L186" t="s">
        <v>30</v>
      </c>
      <c r="M186" t="s">
        <v>45</v>
      </c>
      <c r="N186" t="s">
        <v>39</v>
      </c>
      <c r="O186" s="2">
        <v>46170</v>
      </c>
      <c r="P186" t="s">
        <v>30</v>
      </c>
      <c r="Q186" t="s">
        <v>800</v>
      </c>
      <c r="R186" s="3" t="s">
        <v>801</v>
      </c>
    </row>
    <row r="187" spans="1:18" ht="15.6" x14ac:dyDescent="0.3">
      <c r="A187" s="2">
        <v>46163</v>
      </c>
      <c r="B187">
        <v>7</v>
      </c>
      <c r="C187" t="s">
        <v>802</v>
      </c>
      <c r="D187" s="2">
        <v>46162</v>
      </c>
      <c r="E187" s="2">
        <v>46178</v>
      </c>
      <c r="F187" t="s">
        <v>803</v>
      </c>
      <c r="G187" t="s">
        <v>48</v>
      </c>
      <c r="H187" t="s">
        <v>804</v>
      </c>
      <c r="I187" t="s">
        <v>27</v>
      </c>
      <c r="J187" t="s">
        <v>805</v>
      </c>
      <c r="K187" t="s">
        <v>91</v>
      </c>
      <c r="L187" t="s">
        <v>30</v>
      </c>
      <c r="M187" t="s">
        <v>214</v>
      </c>
      <c r="N187" t="s">
        <v>39</v>
      </c>
      <c r="O187" s="2">
        <v>46167</v>
      </c>
      <c r="P187" t="s">
        <v>30</v>
      </c>
      <c r="Q187" t="s">
        <v>806</v>
      </c>
      <c r="R187" s="3" t="s">
        <v>807</v>
      </c>
    </row>
    <row r="188" spans="1:18" ht="15.6" x14ac:dyDescent="0.3">
      <c r="A188" s="2">
        <v>46163</v>
      </c>
      <c r="B188">
        <v>6</v>
      </c>
      <c r="C188" t="s">
        <v>808</v>
      </c>
      <c r="D188" s="2">
        <v>46162</v>
      </c>
      <c r="E188" s="2">
        <v>46178</v>
      </c>
      <c r="F188" t="s">
        <v>75</v>
      </c>
      <c r="G188" t="s">
        <v>48</v>
      </c>
      <c r="H188" t="s">
        <v>809</v>
      </c>
      <c r="I188" t="s">
        <v>27</v>
      </c>
      <c r="J188" t="s">
        <v>77</v>
      </c>
      <c r="K188" t="s">
        <v>51</v>
      </c>
      <c r="L188" t="s">
        <v>30</v>
      </c>
      <c r="M188" t="s">
        <v>301</v>
      </c>
      <c r="N188" t="s">
        <v>39</v>
      </c>
      <c r="O188" s="2">
        <v>46167</v>
      </c>
      <c r="P188" t="s">
        <v>30</v>
      </c>
      <c r="Q188" t="s">
        <v>370</v>
      </c>
      <c r="R188" s="3" t="s">
        <v>810</v>
      </c>
    </row>
    <row r="189" spans="1:18" ht="15.6" x14ac:dyDescent="0.3">
      <c r="A189" s="2">
        <v>46163</v>
      </c>
      <c r="B189">
        <v>5</v>
      </c>
      <c r="C189" t="s">
        <v>811</v>
      </c>
      <c r="D189" s="2">
        <v>46162</v>
      </c>
      <c r="E189" s="2">
        <v>46183</v>
      </c>
      <c r="F189" t="s">
        <v>62</v>
      </c>
      <c r="G189" t="s">
        <v>48</v>
      </c>
      <c r="H189" t="s">
        <v>812</v>
      </c>
      <c r="I189" t="s">
        <v>27</v>
      </c>
      <c r="J189" t="s">
        <v>813</v>
      </c>
      <c r="K189" t="s">
        <v>155</v>
      </c>
      <c r="L189" t="s">
        <v>30</v>
      </c>
      <c r="M189" t="s">
        <v>31</v>
      </c>
      <c r="N189" t="s">
        <v>30</v>
      </c>
      <c r="O189" t="s">
        <v>32</v>
      </c>
      <c r="P189" t="s">
        <v>30</v>
      </c>
      <c r="Q189" t="s">
        <v>32</v>
      </c>
      <c r="R189" s="3" t="s">
        <v>814</v>
      </c>
    </row>
    <row r="190" spans="1:18" ht="15.6" x14ac:dyDescent="0.3">
      <c r="A190" s="2">
        <v>46163</v>
      </c>
      <c r="B190">
        <v>4</v>
      </c>
      <c r="C190" t="s">
        <v>815</v>
      </c>
      <c r="D190" s="2">
        <v>46162</v>
      </c>
      <c r="E190" s="2">
        <v>46195</v>
      </c>
      <c r="F190" t="s">
        <v>62</v>
      </c>
      <c r="G190" t="s">
        <v>48</v>
      </c>
      <c r="H190" t="s">
        <v>816</v>
      </c>
      <c r="I190" t="s">
        <v>27</v>
      </c>
      <c r="J190" t="s">
        <v>817</v>
      </c>
      <c r="K190" t="s">
        <v>37</v>
      </c>
      <c r="L190" t="s">
        <v>30</v>
      </c>
      <c r="M190" t="s">
        <v>201</v>
      </c>
      <c r="N190" t="s">
        <v>30</v>
      </c>
      <c r="O190" t="s">
        <v>32</v>
      </c>
      <c r="P190" t="s">
        <v>30</v>
      </c>
      <c r="Q190" t="s">
        <v>32</v>
      </c>
      <c r="R190" s="3" t="s">
        <v>818</v>
      </c>
    </row>
    <row r="191" spans="1:18" ht="15.6" x14ac:dyDescent="0.3">
      <c r="A191" s="2">
        <v>46163</v>
      </c>
      <c r="B191">
        <v>3</v>
      </c>
      <c r="C191" t="s">
        <v>819</v>
      </c>
      <c r="D191" s="2">
        <v>46162</v>
      </c>
      <c r="E191" s="2">
        <v>46188</v>
      </c>
      <c r="F191" t="s">
        <v>75</v>
      </c>
      <c r="G191" t="s">
        <v>48</v>
      </c>
      <c r="H191" t="s">
        <v>820</v>
      </c>
      <c r="I191" t="s">
        <v>27</v>
      </c>
      <c r="J191" t="s">
        <v>369</v>
      </c>
      <c r="K191" t="s">
        <v>29</v>
      </c>
      <c r="L191" t="s">
        <v>30</v>
      </c>
      <c r="M191" t="s">
        <v>821</v>
      </c>
      <c r="N191" t="s">
        <v>39</v>
      </c>
      <c r="O191" s="2">
        <v>46171</v>
      </c>
      <c r="P191" t="s">
        <v>30</v>
      </c>
      <c r="Q191" t="s">
        <v>822</v>
      </c>
      <c r="R191" s="3" t="s">
        <v>823</v>
      </c>
    </row>
    <row r="192" spans="1:18" ht="15.6" x14ac:dyDescent="0.3">
      <c r="A192" s="2">
        <v>46163</v>
      </c>
      <c r="B192">
        <v>2</v>
      </c>
      <c r="C192" t="s">
        <v>824</v>
      </c>
      <c r="D192" s="2">
        <v>46162</v>
      </c>
      <c r="E192" s="2">
        <v>46175</v>
      </c>
      <c r="F192" t="s">
        <v>75</v>
      </c>
      <c r="G192" t="s">
        <v>282</v>
      </c>
      <c r="H192" t="s">
        <v>825</v>
      </c>
      <c r="I192" t="s">
        <v>27</v>
      </c>
      <c r="J192" t="s">
        <v>77</v>
      </c>
      <c r="K192" t="s">
        <v>58</v>
      </c>
      <c r="L192" t="s">
        <v>30</v>
      </c>
      <c r="M192" t="s">
        <v>527</v>
      </c>
      <c r="N192" t="s">
        <v>30</v>
      </c>
      <c r="O192" t="s">
        <v>32</v>
      </c>
      <c r="P192" t="s">
        <v>30</v>
      </c>
      <c r="Q192" t="s">
        <v>32</v>
      </c>
      <c r="R192" s="3" t="s">
        <v>826</v>
      </c>
    </row>
    <row r="193" spans="1:18" ht="15.6" x14ac:dyDescent="0.3">
      <c r="A193" s="2">
        <v>46163</v>
      </c>
      <c r="B193">
        <v>1</v>
      </c>
      <c r="C193" t="s">
        <v>827</v>
      </c>
      <c r="D193" s="2">
        <v>46162</v>
      </c>
      <c r="E193" s="2">
        <v>46169</v>
      </c>
      <c r="F193" t="s">
        <v>62</v>
      </c>
      <c r="G193" t="s">
        <v>25</v>
      </c>
      <c r="H193" t="s">
        <v>828</v>
      </c>
      <c r="I193" t="s">
        <v>27</v>
      </c>
      <c r="J193" t="s">
        <v>667</v>
      </c>
      <c r="K193" t="s">
        <v>385</v>
      </c>
      <c r="L193" t="s">
        <v>30</v>
      </c>
      <c r="M193" t="s">
        <v>829</v>
      </c>
      <c r="N193" t="s">
        <v>30</v>
      </c>
      <c r="O193" t="s">
        <v>32</v>
      </c>
      <c r="P193" t="s">
        <v>30</v>
      </c>
      <c r="Q193" t="s">
        <v>32</v>
      </c>
      <c r="R193" s="3" t="s">
        <v>830</v>
      </c>
    </row>
  </sheetData>
  <hyperlinks>
    <hyperlink ref="R2" r:id="rId1" xr:uid="{00000000-0004-0000-0000-000000000000}"/>
    <hyperlink ref="R3" r:id="rId2" xr:uid="{00000000-0004-0000-0000-000001000000}"/>
    <hyperlink ref="R4" r:id="rId3" xr:uid="{00000000-0004-0000-0000-000002000000}"/>
    <hyperlink ref="R5" r:id="rId4" xr:uid="{00000000-0004-0000-0000-000003000000}"/>
    <hyperlink ref="R6" r:id="rId5" xr:uid="{00000000-0004-0000-0000-000004000000}"/>
    <hyperlink ref="R7" r:id="rId6" xr:uid="{00000000-0004-0000-0000-000005000000}"/>
    <hyperlink ref="R8" r:id="rId7" xr:uid="{00000000-0004-0000-0000-000006000000}"/>
    <hyperlink ref="R9" r:id="rId8" xr:uid="{00000000-0004-0000-0000-000007000000}"/>
    <hyperlink ref="R10" r:id="rId9" xr:uid="{00000000-0004-0000-0000-000008000000}"/>
    <hyperlink ref="R11" r:id="rId10" xr:uid="{00000000-0004-0000-0000-000009000000}"/>
    <hyperlink ref="R12" r:id="rId11" xr:uid="{00000000-0004-0000-0000-00000A000000}"/>
    <hyperlink ref="R13" r:id="rId12" xr:uid="{00000000-0004-0000-0000-00000B000000}"/>
    <hyperlink ref="R14" r:id="rId13" xr:uid="{00000000-0004-0000-0000-00000C000000}"/>
    <hyperlink ref="R15" r:id="rId14" xr:uid="{00000000-0004-0000-0000-00000D000000}"/>
    <hyperlink ref="R16" r:id="rId15" xr:uid="{00000000-0004-0000-0000-00000E000000}"/>
    <hyperlink ref="R17" r:id="rId16" xr:uid="{00000000-0004-0000-0000-00000F000000}"/>
    <hyperlink ref="R18" r:id="rId17" xr:uid="{00000000-0004-0000-0000-000010000000}"/>
    <hyperlink ref="R19" r:id="rId18" xr:uid="{00000000-0004-0000-0000-000011000000}"/>
    <hyperlink ref="R20" r:id="rId19" xr:uid="{00000000-0004-0000-0000-000012000000}"/>
    <hyperlink ref="R21" r:id="rId20" xr:uid="{00000000-0004-0000-0000-000013000000}"/>
    <hyperlink ref="R22" r:id="rId21" xr:uid="{00000000-0004-0000-0000-000014000000}"/>
    <hyperlink ref="R23" r:id="rId22" xr:uid="{00000000-0004-0000-0000-000015000000}"/>
    <hyperlink ref="R24" r:id="rId23" xr:uid="{00000000-0004-0000-0000-000016000000}"/>
    <hyperlink ref="R25" r:id="rId24" xr:uid="{00000000-0004-0000-0000-000017000000}"/>
    <hyperlink ref="R26" r:id="rId25" xr:uid="{00000000-0004-0000-0000-000018000000}"/>
    <hyperlink ref="R27" r:id="rId26" xr:uid="{00000000-0004-0000-0000-000019000000}"/>
    <hyperlink ref="R28" r:id="rId27" xr:uid="{00000000-0004-0000-0000-00001A000000}"/>
    <hyperlink ref="R29" r:id="rId28" xr:uid="{00000000-0004-0000-0000-00001B000000}"/>
    <hyperlink ref="R30" r:id="rId29" xr:uid="{00000000-0004-0000-0000-00001C000000}"/>
    <hyperlink ref="R31" r:id="rId30" xr:uid="{00000000-0004-0000-0000-00001D000000}"/>
    <hyperlink ref="R32" r:id="rId31" xr:uid="{00000000-0004-0000-0000-00001E000000}"/>
    <hyperlink ref="R33" r:id="rId32" xr:uid="{00000000-0004-0000-0000-00001F000000}"/>
    <hyperlink ref="R34" r:id="rId33" xr:uid="{00000000-0004-0000-0000-000020000000}"/>
    <hyperlink ref="R35" r:id="rId34" xr:uid="{00000000-0004-0000-0000-000021000000}"/>
    <hyperlink ref="R36" r:id="rId35" xr:uid="{00000000-0004-0000-0000-000022000000}"/>
    <hyperlink ref="R37" r:id="rId36" xr:uid="{00000000-0004-0000-0000-000023000000}"/>
    <hyperlink ref="R38" r:id="rId37" xr:uid="{00000000-0004-0000-0000-000024000000}"/>
    <hyperlink ref="R39" r:id="rId38" xr:uid="{00000000-0004-0000-0000-000025000000}"/>
    <hyperlink ref="R40" r:id="rId39" xr:uid="{00000000-0004-0000-0000-000026000000}"/>
    <hyperlink ref="R41" r:id="rId40" xr:uid="{00000000-0004-0000-0000-000027000000}"/>
    <hyperlink ref="R42" r:id="rId41" xr:uid="{00000000-0004-0000-0000-000028000000}"/>
    <hyperlink ref="R43" r:id="rId42" xr:uid="{00000000-0004-0000-0000-000029000000}"/>
    <hyperlink ref="R44" r:id="rId43" xr:uid="{00000000-0004-0000-0000-00002A000000}"/>
    <hyperlink ref="R45" r:id="rId44" xr:uid="{00000000-0004-0000-0000-00002B000000}"/>
    <hyperlink ref="R46" r:id="rId45" xr:uid="{00000000-0004-0000-0000-00002C000000}"/>
    <hyperlink ref="R47" r:id="rId46" xr:uid="{00000000-0004-0000-0000-00002D000000}"/>
    <hyperlink ref="R48" r:id="rId47" xr:uid="{00000000-0004-0000-0000-00002E000000}"/>
    <hyperlink ref="R49" r:id="rId48" xr:uid="{00000000-0004-0000-0000-00002F000000}"/>
    <hyperlink ref="R50" r:id="rId49" xr:uid="{00000000-0004-0000-0000-000030000000}"/>
    <hyperlink ref="R51" r:id="rId50" xr:uid="{00000000-0004-0000-0000-000031000000}"/>
    <hyperlink ref="R52" r:id="rId51" xr:uid="{00000000-0004-0000-0000-000032000000}"/>
    <hyperlink ref="R53" r:id="rId52" xr:uid="{00000000-0004-0000-0000-000033000000}"/>
    <hyperlink ref="R54" r:id="rId53" xr:uid="{00000000-0004-0000-0000-000034000000}"/>
    <hyperlink ref="R55" r:id="rId54" xr:uid="{00000000-0004-0000-0000-000035000000}"/>
    <hyperlink ref="R56" r:id="rId55" xr:uid="{00000000-0004-0000-0000-000036000000}"/>
    <hyperlink ref="R57" r:id="rId56" xr:uid="{00000000-0004-0000-0000-000037000000}"/>
    <hyperlink ref="R58" r:id="rId57" xr:uid="{00000000-0004-0000-0000-000038000000}"/>
    <hyperlink ref="R59" r:id="rId58" xr:uid="{00000000-0004-0000-0000-000039000000}"/>
    <hyperlink ref="R60" r:id="rId59" xr:uid="{00000000-0004-0000-0000-00003A000000}"/>
    <hyperlink ref="R61" r:id="rId60" xr:uid="{00000000-0004-0000-0000-00003B000000}"/>
    <hyperlink ref="R62" r:id="rId61" xr:uid="{00000000-0004-0000-0000-00003C000000}"/>
    <hyperlink ref="R63" r:id="rId62" xr:uid="{00000000-0004-0000-0000-00003D000000}"/>
    <hyperlink ref="R64" r:id="rId63" xr:uid="{00000000-0004-0000-0000-00003E000000}"/>
    <hyperlink ref="R65" r:id="rId64" xr:uid="{00000000-0004-0000-0000-00003F000000}"/>
    <hyperlink ref="R66" r:id="rId65" xr:uid="{00000000-0004-0000-0000-000040000000}"/>
    <hyperlink ref="R67" r:id="rId66" xr:uid="{00000000-0004-0000-0000-000041000000}"/>
    <hyperlink ref="R68" r:id="rId67" xr:uid="{00000000-0004-0000-0000-000042000000}"/>
    <hyperlink ref="R69" r:id="rId68" xr:uid="{00000000-0004-0000-0000-000043000000}"/>
    <hyperlink ref="R70" r:id="rId69" xr:uid="{00000000-0004-0000-0000-000044000000}"/>
    <hyperlink ref="R71" r:id="rId70" xr:uid="{00000000-0004-0000-0000-000045000000}"/>
    <hyperlink ref="R72" r:id="rId71" xr:uid="{00000000-0004-0000-0000-000046000000}"/>
    <hyperlink ref="R73" r:id="rId72" xr:uid="{00000000-0004-0000-0000-000047000000}"/>
    <hyperlink ref="R74" r:id="rId73" xr:uid="{00000000-0004-0000-0000-000048000000}"/>
    <hyperlink ref="R75" r:id="rId74" xr:uid="{00000000-0004-0000-0000-000049000000}"/>
    <hyperlink ref="R76" r:id="rId75" xr:uid="{00000000-0004-0000-0000-00004A000000}"/>
    <hyperlink ref="R77" r:id="rId76" xr:uid="{00000000-0004-0000-0000-00004B000000}"/>
    <hyperlink ref="R78" r:id="rId77" xr:uid="{00000000-0004-0000-0000-00004C000000}"/>
    <hyperlink ref="R79" r:id="rId78" xr:uid="{00000000-0004-0000-0000-00004D000000}"/>
    <hyperlink ref="R80" r:id="rId79" xr:uid="{00000000-0004-0000-0000-00004E000000}"/>
    <hyperlink ref="R81" r:id="rId80" xr:uid="{00000000-0004-0000-0000-00004F000000}"/>
    <hyperlink ref="R82" r:id="rId81" xr:uid="{00000000-0004-0000-0000-000050000000}"/>
    <hyperlink ref="R83" r:id="rId82" xr:uid="{00000000-0004-0000-0000-000051000000}"/>
    <hyperlink ref="R84" r:id="rId83" xr:uid="{00000000-0004-0000-0000-000052000000}"/>
    <hyperlink ref="R85" r:id="rId84" xr:uid="{00000000-0004-0000-0000-000053000000}"/>
    <hyperlink ref="R86" r:id="rId85" xr:uid="{00000000-0004-0000-0000-000054000000}"/>
    <hyperlink ref="R87" r:id="rId86" xr:uid="{00000000-0004-0000-0000-000055000000}"/>
    <hyperlink ref="R88" r:id="rId87" xr:uid="{00000000-0004-0000-0000-000056000000}"/>
    <hyperlink ref="R89" r:id="rId88" xr:uid="{00000000-0004-0000-0000-000057000000}"/>
    <hyperlink ref="R90" r:id="rId89" xr:uid="{00000000-0004-0000-0000-000058000000}"/>
    <hyperlink ref="R91" r:id="rId90" xr:uid="{00000000-0004-0000-0000-000059000000}"/>
    <hyperlink ref="R92" r:id="rId91" xr:uid="{00000000-0004-0000-0000-00005A000000}"/>
    <hyperlink ref="R93" r:id="rId92" xr:uid="{00000000-0004-0000-0000-00005B000000}"/>
    <hyperlink ref="R94" r:id="rId93" xr:uid="{00000000-0004-0000-0000-00005C000000}"/>
    <hyperlink ref="R95" r:id="rId94" xr:uid="{00000000-0004-0000-0000-00005D000000}"/>
    <hyperlink ref="R96" r:id="rId95" xr:uid="{00000000-0004-0000-0000-00005E000000}"/>
    <hyperlink ref="R97" r:id="rId96" xr:uid="{00000000-0004-0000-0000-00005F000000}"/>
    <hyperlink ref="R98" r:id="rId97" xr:uid="{00000000-0004-0000-0000-000060000000}"/>
    <hyperlink ref="R99" r:id="rId98" xr:uid="{00000000-0004-0000-0000-000061000000}"/>
    <hyperlink ref="R100" r:id="rId99" xr:uid="{00000000-0004-0000-0000-000062000000}"/>
    <hyperlink ref="R101" r:id="rId100" xr:uid="{00000000-0004-0000-0000-000063000000}"/>
    <hyperlink ref="R102" r:id="rId101" xr:uid="{00000000-0004-0000-0000-000064000000}"/>
    <hyperlink ref="R103" r:id="rId102" xr:uid="{00000000-0004-0000-0000-000065000000}"/>
    <hyperlink ref="R104" r:id="rId103" xr:uid="{00000000-0004-0000-0000-000066000000}"/>
    <hyperlink ref="R105" r:id="rId104" xr:uid="{00000000-0004-0000-0000-000067000000}"/>
    <hyperlink ref="R106" r:id="rId105" xr:uid="{00000000-0004-0000-0000-000068000000}"/>
    <hyperlink ref="R107" r:id="rId106" xr:uid="{00000000-0004-0000-0000-000069000000}"/>
    <hyperlink ref="R108" r:id="rId107" xr:uid="{00000000-0004-0000-0000-00006A000000}"/>
    <hyperlink ref="R109" r:id="rId108" xr:uid="{00000000-0004-0000-0000-00006B000000}"/>
    <hyperlink ref="R110" r:id="rId109" xr:uid="{00000000-0004-0000-0000-00006C000000}"/>
    <hyperlink ref="R111" r:id="rId110" xr:uid="{00000000-0004-0000-0000-00006D000000}"/>
    <hyperlink ref="R112" r:id="rId111" xr:uid="{00000000-0004-0000-0000-00006E000000}"/>
    <hyperlink ref="R113" r:id="rId112" xr:uid="{00000000-0004-0000-0000-00006F000000}"/>
    <hyperlink ref="R114" r:id="rId113" xr:uid="{00000000-0004-0000-0000-000070000000}"/>
    <hyperlink ref="R115" r:id="rId114" xr:uid="{00000000-0004-0000-0000-000071000000}"/>
    <hyperlink ref="R116" r:id="rId115" xr:uid="{00000000-0004-0000-0000-000072000000}"/>
    <hyperlink ref="R117" r:id="rId116" xr:uid="{00000000-0004-0000-0000-000073000000}"/>
    <hyperlink ref="R118" r:id="rId117" xr:uid="{00000000-0004-0000-0000-000074000000}"/>
    <hyperlink ref="R119" r:id="rId118" xr:uid="{00000000-0004-0000-0000-000075000000}"/>
    <hyperlink ref="R120" r:id="rId119" xr:uid="{00000000-0004-0000-0000-000076000000}"/>
    <hyperlink ref="R121" r:id="rId120" xr:uid="{00000000-0004-0000-0000-000077000000}"/>
    <hyperlink ref="R122" r:id="rId121" xr:uid="{00000000-0004-0000-0000-000078000000}"/>
    <hyperlink ref="R123" r:id="rId122" xr:uid="{00000000-0004-0000-0000-000079000000}"/>
    <hyperlink ref="R124" r:id="rId123" xr:uid="{00000000-0004-0000-0000-00007A000000}"/>
    <hyperlink ref="R125" r:id="rId124" xr:uid="{00000000-0004-0000-0000-00007B000000}"/>
    <hyperlink ref="R126" r:id="rId125" xr:uid="{00000000-0004-0000-0000-00007C000000}"/>
    <hyperlink ref="R127" r:id="rId126" xr:uid="{00000000-0004-0000-0000-00007D000000}"/>
    <hyperlink ref="R128" r:id="rId127" xr:uid="{00000000-0004-0000-0000-00007E000000}"/>
    <hyperlink ref="R129" r:id="rId128" xr:uid="{00000000-0004-0000-0000-00007F000000}"/>
    <hyperlink ref="R130" r:id="rId129" xr:uid="{00000000-0004-0000-0000-000080000000}"/>
    <hyperlink ref="R131" r:id="rId130" xr:uid="{00000000-0004-0000-0000-000081000000}"/>
    <hyperlink ref="R132" r:id="rId131" xr:uid="{00000000-0004-0000-0000-000082000000}"/>
    <hyperlink ref="R133" r:id="rId132" xr:uid="{00000000-0004-0000-0000-000083000000}"/>
    <hyperlink ref="R134" r:id="rId133" xr:uid="{00000000-0004-0000-0000-000084000000}"/>
    <hyperlink ref="R135" r:id="rId134" xr:uid="{00000000-0004-0000-0000-000085000000}"/>
    <hyperlink ref="R136" r:id="rId135" xr:uid="{00000000-0004-0000-0000-000086000000}"/>
    <hyperlink ref="R137" r:id="rId136" xr:uid="{00000000-0004-0000-0000-000087000000}"/>
    <hyperlink ref="R138" r:id="rId137" xr:uid="{00000000-0004-0000-0000-000088000000}"/>
    <hyperlink ref="R139" r:id="rId138" xr:uid="{00000000-0004-0000-0000-000089000000}"/>
    <hyperlink ref="R140" r:id="rId139" xr:uid="{00000000-0004-0000-0000-00008A000000}"/>
    <hyperlink ref="R141" r:id="rId140" xr:uid="{00000000-0004-0000-0000-00008B000000}"/>
    <hyperlink ref="R142" r:id="rId141" xr:uid="{00000000-0004-0000-0000-00008C000000}"/>
    <hyperlink ref="R143" r:id="rId142" xr:uid="{00000000-0004-0000-0000-00008D000000}"/>
    <hyperlink ref="R144" r:id="rId143" xr:uid="{00000000-0004-0000-0000-00008E000000}"/>
    <hyperlink ref="R145" r:id="rId144" xr:uid="{00000000-0004-0000-0000-00008F000000}"/>
    <hyperlink ref="R146" r:id="rId145" xr:uid="{00000000-0004-0000-0000-000090000000}"/>
    <hyperlink ref="R147" r:id="rId146" xr:uid="{00000000-0004-0000-0000-000091000000}"/>
    <hyperlink ref="R148" r:id="rId147" xr:uid="{00000000-0004-0000-0000-000092000000}"/>
    <hyperlink ref="R149" r:id="rId148" xr:uid="{00000000-0004-0000-0000-000093000000}"/>
    <hyperlink ref="R150" r:id="rId149" xr:uid="{00000000-0004-0000-0000-000094000000}"/>
    <hyperlink ref="R151" r:id="rId150" xr:uid="{00000000-0004-0000-0000-000095000000}"/>
    <hyperlink ref="R152" r:id="rId151" xr:uid="{00000000-0004-0000-0000-000096000000}"/>
    <hyperlink ref="R153" r:id="rId152" xr:uid="{00000000-0004-0000-0000-000097000000}"/>
    <hyperlink ref="R154" r:id="rId153" xr:uid="{00000000-0004-0000-0000-000098000000}"/>
    <hyperlink ref="R155" r:id="rId154" xr:uid="{00000000-0004-0000-0000-000099000000}"/>
    <hyperlink ref="R156" r:id="rId155" xr:uid="{00000000-0004-0000-0000-00009A000000}"/>
    <hyperlink ref="R157" r:id="rId156" xr:uid="{00000000-0004-0000-0000-00009B000000}"/>
    <hyperlink ref="R158" r:id="rId157" xr:uid="{00000000-0004-0000-0000-00009C000000}"/>
    <hyperlink ref="R159" r:id="rId158" xr:uid="{00000000-0004-0000-0000-00009D000000}"/>
    <hyperlink ref="R160" r:id="rId159" xr:uid="{00000000-0004-0000-0000-00009E000000}"/>
    <hyperlink ref="R161" r:id="rId160" xr:uid="{00000000-0004-0000-0000-00009F000000}"/>
    <hyperlink ref="R162" r:id="rId161" xr:uid="{00000000-0004-0000-0000-0000A0000000}"/>
    <hyperlink ref="R163" r:id="rId162" xr:uid="{00000000-0004-0000-0000-0000A1000000}"/>
    <hyperlink ref="R164" r:id="rId163" xr:uid="{00000000-0004-0000-0000-0000A2000000}"/>
    <hyperlink ref="R165" r:id="rId164" xr:uid="{00000000-0004-0000-0000-0000A3000000}"/>
    <hyperlink ref="R166" r:id="rId165" xr:uid="{00000000-0004-0000-0000-0000A4000000}"/>
    <hyperlink ref="R167" r:id="rId166" xr:uid="{00000000-0004-0000-0000-0000A5000000}"/>
    <hyperlink ref="R168" r:id="rId167" xr:uid="{00000000-0004-0000-0000-0000A6000000}"/>
    <hyperlink ref="R169" r:id="rId168" xr:uid="{00000000-0004-0000-0000-0000A7000000}"/>
    <hyperlink ref="R170" r:id="rId169" xr:uid="{00000000-0004-0000-0000-0000A8000000}"/>
    <hyperlink ref="R171" r:id="rId170" xr:uid="{00000000-0004-0000-0000-0000A9000000}"/>
    <hyperlink ref="R172" r:id="rId171" xr:uid="{00000000-0004-0000-0000-0000AA000000}"/>
    <hyperlink ref="R173" r:id="rId172" xr:uid="{00000000-0004-0000-0000-0000AB000000}"/>
    <hyperlink ref="R174" r:id="rId173" xr:uid="{00000000-0004-0000-0000-0000AC000000}"/>
    <hyperlink ref="R175" r:id="rId174" xr:uid="{00000000-0004-0000-0000-0000AD000000}"/>
    <hyperlink ref="R176" r:id="rId175" xr:uid="{00000000-0004-0000-0000-0000AE000000}"/>
    <hyperlink ref="R177" r:id="rId176" xr:uid="{00000000-0004-0000-0000-0000AF000000}"/>
    <hyperlink ref="R178" r:id="rId177" xr:uid="{00000000-0004-0000-0000-0000B0000000}"/>
    <hyperlink ref="R179" r:id="rId178" xr:uid="{00000000-0004-0000-0000-0000B1000000}"/>
    <hyperlink ref="R180" r:id="rId179" xr:uid="{00000000-0004-0000-0000-0000B2000000}"/>
    <hyperlink ref="R181" r:id="rId180" xr:uid="{00000000-0004-0000-0000-0000B3000000}"/>
    <hyperlink ref="R182" r:id="rId181" xr:uid="{00000000-0004-0000-0000-0000B4000000}"/>
    <hyperlink ref="R183" r:id="rId182" xr:uid="{00000000-0004-0000-0000-0000B5000000}"/>
    <hyperlink ref="R184" r:id="rId183" xr:uid="{00000000-0004-0000-0000-0000B6000000}"/>
    <hyperlink ref="R185" r:id="rId184" xr:uid="{00000000-0004-0000-0000-0000B7000000}"/>
    <hyperlink ref="R186" r:id="rId185" xr:uid="{00000000-0004-0000-0000-0000B8000000}"/>
    <hyperlink ref="R187" r:id="rId186" xr:uid="{00000000-0004-0000-0000-0000B9000000}"/>
    <hyperlink ref="R188" r:id="rId187" xr:uid="{00000000-0004-0000-0000-0000BA000000}"/>
    <hyperlink ref="R189" r:id="rId188" xr:uid="{00000000-0004-0000-0000-0000BB000000}"/>
    <hyperlink ref="R190" r:id="rId189" xr:uid="{00000000-0004-0000-0000-0000BC000000}"/>
    <hyperlink ref="R191" r:id="rId190" xr:uid="{00000000-0004-0000-0000-0000BD000000}"/>
    <hyperlink ref="R192" r:id="rId191" xr:uid="{00000000-0004-0000-0000-0000BE000000}"/>
    <hyperlink ref="R193" r:id="rId192" xr:uid="{00000000-0004-0000-0000-0000B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topLeftCell="A3" workbookViewId="0"/>
  </sheetViews>
  <sheetFormatPr defaultRowHeight="14.4" x14ac:dyDescent="0.3"/>
  <cols>
    <col min="1" max="2" width="21.77734375" bestFit="1" customWidth="1"/>
  </cols>
  <sheetData>
    <row r="1" spans="1:4" x14ac:dyDescent="0.3">
      <c r="A1" s="1" t="s">
        <v>831</v>
      </c>
      <c r="B1" s="1" t="s">
        <v>832</v>
      </c>
      <c r="C1" s="1" t="s">
        <v>833</v>
      </c>
      <c r="D1" s="1" t="s">
        <v>834</v>
      </c>
    </row>
    <row r="2" spans="1:4" x14ac:dyDescent="0.3">
      <c r="A2" t="s">
        <v>835</v>
      </c>
      <c r="B2" t="s">
        <v>836</v>
      </c>
    </row>
    <row r="3" spans="1:4" x14ac:dyDescent="0.3">
      <c r="A3" t="s">
        <v>837</v>
      </c>
      <c r="B3">
        <f>COUNTA('Tender Data'!J:J)-1</f>
        <v>192</v>
      </c>
      <c r="C3">
        <f>COUNTIF('Tender Data'!M:M,"Information service activities")+COUNTIF('Tender Data'!M:M,"Information and communication")</f>
        <v>12</v>
      </c>
      <c r="D3">
        <f>COUNTIF('Tender Data'!G:G,"Request for Quotation")</f>
        <v>89</v>
      </c>
    </row>
    <row r="4" spans="1:4" x14ac:dyDescent="0.3">
      <c r="A4" t="s">
        <v>838</v>
      </c>
      <c r="B4">
        <f>COUNTIF('Tender Data'!J:J,"ESKOM")</f>
        <v>18</v>
      </c>
      <c r="C4">
        <f>COUNTIFS('Tender Data'!M:M,"Information service activities",'Tender Data'!J:J,"ESKOM")+COUNTIFS('Tender Data'!M:M,"Information and communication",'Tender Data'!J:J,"ESKOM")</f>
        <v>0</v>
      </c>
      <c r="D4">
        <f>COUNTIFS('Tender Data'!J:J,"ESKOM",'Tender Data'!G:G,"Request for Quotation")</f>
        <v>5</v>
      </c>
    </row>
    <row r="5" spans="1:4" x14ac:dyDescent="0.3">
      <c r="A5" t="s">
        <v>839</v>
      </c>
      <c r="B5">
        <f>COUNTIF('Tender Data'!J:J,"State Information Technology Agency")</f>
        <v>1</v>
      </c>
      <c r="C5">
        <f>COUNTIFS('Tender Data'!M:M,"Information service activities",'Tender Data'!J:J,"State Information Technology Agency")+COUNTIFS('Tender Data'!M:M,"Information and communication",'Tender Data'!J:J,"State Information Technology Agency")</f>
        <v>1</v>
      </c>
      <c r="D5">
        <f>COUNTIFS('Tender Data'!J:J,"State Information Technology Agency",'Tender Data'!G:G,"Request for Quotation")</f>
        <v>0</v>
      </c>
    </row>
    <row r="6" spans="1:4" x14ac:dyDescent="0.3">
      <c r="A6" t="s">
        <v>840</v>
      </c>
      <c r="B6">
        <f>COUNTIF('Tender Data'!J:J,"Transnet*")</f>
        <v>4</v>
      </c>
      <c r="C6">
        <f>COUNTIFS('Tender Data'!M:M,"Information service activities",'Tender Data'!J:J,"Transnet*")+COUNTIFS('Tender Data'!M:M,"Information and communication",'Tender Data'!J:J,"Transnet*")</f>
        <v>0</v>
      </c>
      <c r="D6">
        <f>COUNTIFS('Tender Data'!J:J,"Transnet*",'Tender Data'!G:G,"Request for Quotation")</f>
        <v>1</v>
      </c>
    </row>
    <row r="7" spans="1:4" x14ac:dyDescent="0.3">
      <c r="A7" t="s">
        <v>841</v>
      </c>
      <c r="B7">
        <f>COUNTIF('Tender Data'!J:J,"*Joburg Property*")</f>
        <v>0</v>
      </c>
      <c r="C7">
        <f>COUNTIFS('Tender Data'!M:M,"Information service activities",'Tender Data'!J:J,"*Joburg Property*")+COUNTIFS('Tender Data'!M:M,"Information and communication",'Tender Data'!J:J,"*Joburg Property*")</f>
        <v>0</v>
      </c>
      <c r="D7">
        <f>COUNTIFS('Tender Data'!J:J,"*Joburg Property*",'Tender Data'!G:G,"Request for Quotation")</f>
        <v>0</v>
      </c>
    </row>
    <row r="8" spans="1:4" x14ac:dyDescent="0.3">
      <c r="A8" t="s">
        <v>842</v>
      </c>
      <c r="B8">
        <f>COUNTIF('Tender Data'!J:J,"Matatiele Local Municipality")</f>
        <v>0</v>
      </c>
      <c r="C8">
        <f>COUNTIFS('Tender Data'!M:M,"Information service activities",'Tender Data'!J:J,"Matatiele Local Municipality")+COUNTIFS('Tender Data'!M:M,"Information and communication",'Tender Data'!J:J,"Matatiele Local Municipality")</f>
        <v>0</v>
      </c>
      <c r="D8">
        <f>COUNTIFS('Tender Data'!J:J,"Matatiele Local Municipality",'Tender Data'!G:G,"Request for Quotation")</f>
        <v>0</v>
      </c>
    </row>
    <row r="9" spans="1:4" x14ac:dyDescent="0.3">
      <c r="A9" t="s">
        <v>843</v>
      </c>
      <c r="B9">
        <f>COUNTIF('Tender Data'!J:J,"Ntabankulu Local Municipality")</f>
        <v>0</v>
      </c>
      <c r="C9">
        <f>COUNTIFS('Tender Data'!M:M,"Information service activities",'Tender Data'!J:J,"Ntabankulu Local Municipality")+COUNTIFS('Tender Data'!M:M,"Information and communication",'Tender Data'!J:J,"Ntabankulu Local Municipality")</f>
        <v>0</v>
      </c>
      <c r="D9">
        <f>COUNTIFS('Tender Data'!J:J,"Ntabankulu Local Municipality",'Tender Data'!G:G,"Request for Quotation")</f>
        <v>0</v>
      </c>
    </row>
    <row r="10" spans="1:4" x14ac:dyDescent="0.3">
      <c r="A10" t="s">
        <v>844</v>
      </c>
      <c r="B10">
        <f>COUNTIF('Tender Data'!J:J,"Umzimvubu Local Municipality")</f>
        <v>0</v>
      </c>
      <c r="C10">
        <f>COUNTIFS('Tender Data'!M:M,"Information service activities",'Tender Data'!J:J,"Umzimvubu Local Municipality")+COUNTIFS('Tender Data'!M:M,"Information and communication",'Tender Data'!J:J,"Umzimvubu Local Municipality")</f>
        <v>0</v>
      </c>
      <c r="D10">
        <f>COUNTIFS('Tender Data'!J:J,"Umzimvubu Local Municipality",'Tender Data'!G:G,"Request for Quotation")</f>
        <v>0</v>
      </c>
    </row>
    <row r="11" spans="1:4" x14ac:dyDescent="0.3">
      <c r="A11" t="s">
        <v>845</v>
      </c>
      <c r="B11">
        <f>COUNTIF('Tender Data'!J:J,"Winnie Madikizela*")</f>
        <v>0</v>
      </c>
      <c r="C11">
        <f>COUNTIFS('Tender Data'!M:M,"Information service activities",'Tender Data'!J:J,"Winnie Madikizela*")+COUNTIFS('Tender Data'!M:M,"Information and communication",'Tender Data'!J:J,"Winnie Madikizela*")</f>
        <v>0</v>
      </c>
      <c r="D11">
        <f>COUNTIFS('Tender Data'!J:J,"Winnie Madikizela*",'Tender Data'!G:G,"Request for Quotation")</f>
        <v>0</v>
      </c>
    </row>
    <row r="12" spans="1:4" x14ac:dyDescent="0.3">
      <c r="A12" t="s">
        <v>846</v>
      </c>
      <c r="B12">
        <f>COUNTIF('Tender Data'!J:J,"Mnquma Local Municipality")</f>
        <v>0</v>
      </c>
      <c r="C12">
        <f>COUNTIFS('Tender Data'!M:M,"Information service activities",'Tender Data'!J:J,"Mnquma Local Municipality")+COUNTIFS('Tender Data'!M:M,"Information and communication",'Tender Data'!J:J,"Mnquma Local Municipality")</f>
        <v>0</v>
      </c>
      <c r="D12">
        <f>COUNTIFS('Tender Data'!J:J,"Mnquma Local Municipality",'Tender Data'!G:G,"Request for Quotation")</f>
        <v>0</v>
      </c>
    </row>
    <row r="13" spans="1:4" x14ac:dyDescent="0.3">
      <c r="A13" t="s">
        <v>847</v>
      </c>
      <c r="B13">
        <f>COUNTIF('Tender Data'!J:J,"Great Kei Local Municipality")</f>
        <v>0</v>
      </c>
      <c r="C13">
        <f>COUNTIFS('Tender Data'!M:M,"Information service activities",'Tender Data'!J:J,"Great Kei Local Municipality")+COUNTIFS('Tender Data'!M:M,"Information and communication",'Tender Data'!J:J,"Great Kei Local Municipality")</f>
        <v>0</v>
      </c>
      <c r="D13">
        <f>COUNTIFS('Tender Data'!J:J,"Great Kei Local Municipality",'Tender Data'!G:G,"Request for Quotation")</f>
        <v>0</v>
      </c>
    </row>
    <row r="14" spans="1:4" x14ac:dyDescent="0.3">
      <c r="A14" t="s">
        <v>848</v>
      </c>
      <c r="B14">
        <f>COUNTIF('Tender Data'!J:J,"Amahlathi Local Municipality")</f>
        <v>0</v>
      </c>
      <c r="C14">
        <f>COUNTIFS('Tender Data'!M:M,"Information service activities",'Tender Data'!J:J,"Amahlathi Local Municipality")+COUNTIFS('Tender Data'!M:M,"Information and communication",'Tender Data'!J:J,"Amahlathi Local Municipality")</f>
        <v>0</v>
      </c>
      <c r="D14">
        <f>COUNTIFS('Tender Data'!J:J,"Amahlathi Local Municipality",'Tender Data'!G:G,"Request for Quotation")</f>
        <v>0</v>
      </c>
    </row>
    <row r="15" spans="1:4" x14ac:dyDescent="0.3">
      <c r="A15" t="s">
        <v>849</v>
      </c>
      <c r="B15">
        <f>COUNTIF('Tender Data'!J:J,"Raymond Mhlaba Local Municipality")</f>
        <v>0</v>
      </c>
      <c r="C15">
        <f>COUNTIFS('Tender Data'!M:M,"Information service activities",'Tender Data'!J:J,"Raymond Mhlaba Local Municipality")+COUNTIFS('Tender Data'!M:M,"Information and communication",'Tender Data'!J:J,"Raymond Mhlaba Local Municipality")</f>
        <v>0</v>
      </c>
      <c r="D15">
        <f>COUNTIFS('Tender Data'!J:J,"Raymond Mhlaba Local Municipality",'Tender Data'!G:G,"Request for Quotation")</f>
        <v>0</v>
      </c>
    </row>
    <row r="16" spans="1:4" x14ac:dyDescent="0.3">
      <c r="A16" t="s">
        <v>850</v>
      </c>
      <c r="B16">
        <f>COUNTIF('Tender Data'!J:J,"*Johannesburg Social Housing*")</f>
        <v>0</v>
      </c>
      <c r="C16">
        <f>COUNTIFS('Tender Data'!M:M,"Information service activities",'Tender Data'!J:J,"*Johannesburg Social Housing*")+COUNTIFS('Tender Data'!M:M,"Information and communication",'Tender Data'!J:J,"*Johannesburg Social Housing*")</f>
        <v>0</v>
      </c>
      <c r="D16">
        <f>COUNTIFS('Tender Data'!J:J,"*Johannesburg Social Housing*",'Tender Data'!G:G,"Request for Quotation")</f>
        <v>0</v>
      </c>
    </row>
    <row r="17" spans="1:4" x14ac:dyDescent="0.3">
      <c r="A17" t="s">
        <v>851</v>
      </c>
      <c r="B17">
        <f>COUNTIF('Tender Data'!J:J,"Gauteng Provincial Legislature")</f>
        <v>0</v>
      </c>
      <c r="C17">
        <f>COUNTIFS('Tender Data'!M:M,"Information service activities",'Tender Data'!J:J,"Gauteng Provincial Legislature")+COUNTIFS('Tender Data'!M:M,"Information and communication",'Tender Data'!J:J,"Gauteng Provincial Legislature")</f>
        <v>0</v>
      </c>
      <c r="D17">
        <f>COUNTIFS('Tender Data'!J:J,"Gauteng Provincial Legislature",'Tender Data'!G:G,"Request for Quotation")</f>
        <v>0</v>
      </c>
    </row>
    <row r="18" spans="1:4" x14ac:dyDescent="0.3">
      <c r="A18" t="s">
        <v>852</v>
      </c>
      <c r="B18">
        <f>COUNTIF('Tender Data'!J:J,"Road Accident Fund")</f>
        <v>3</v>
      </c>
      <c r="C18">
        <f>COUNTIFS('Tender Data'!M:M,"Information service activities",'Tender Data'!J:J,"Road Accident Fund")+COUNTIFS('Tender Data'!M:M,"Information and communication",'Tender Data'!J:J,"Road Accident Fund")</f>
        <v>1</v>
      </c>
      <c r="D18">
        <f>COUNTIFS('Tender Data'!J:J,"Road Accident Fund",'Tender Data'!G:G,"Request for Quotation")</f>
        <v>2</v>
      </c>
    </row>
    <row r="19" spans="1:4" x14ac:dyDescent="0.3">
      <c r="A19" t="s">
        <v>853</v>
      </c>
      <c r="B19">
        <f>COUNTIF('Tender Data'!J:J,"*Metropolitan Trading*")</f>
        <v>0</v>
      </c>
      <c r="C19">
        <f>COUNTIFS('Tender Data'!M:M,"Information service activities",'Tender Data'!J:J,"*Metropolitan Trading*")+COUNTIFS('Tender Data'!M:M,"Information and communication",'Tender Data'!J:J,"*Metropolitan Trading*")</f>
        <v>0</v>
      </c>
      <c r="D19">
        <f>COUNTIFS('Tender Data'!J:J,"*Metropolitan Trading*",'Tender Data'!G:G,"Request for Quotation")</f>
        <v>0</v>
      </c>
    </row>
    <row r="20" spans="1:4" x14ac:dyDescent="0.3">
      <c r="A20" t="s">
        <v>854</v>
      </c>
      <c r="B20">
        <f>COUNTIF('Tender Data'!J:J,"*Nelson Mandela Bay*")</f>
        <v>0</v>
      </c>
      <c r="C20">
        <f>COUNTIFS('Tender Data'!M:M,"Information service activities",'Tender Data'!J:J,"*Nelson Mandela Bay*")+COUNTIFS('Tender Data'!M:M,"Information and communication",'Tender Data'!J:J,"*Nelson Mandela Bay*")</f>
        <v>0</v>
      </c>
      <c r="D20">
        <f>COUNTIFS('Tender Data'!J:J,"*Nelson Mandela Bay*",'Tender Data'!G:G,"Request for Quotation")</f>
        <v>0</v>
      </c>
    </row>
    <row r="21" spans="1:4" x14ac:dyDescent="0.3">
      <c r="A21" t="s">
        <v>855</v>
      </c>
      <c r="B21">
        <f>COUNTIF('Tender Data'!J:J,"*Buffalo City*")</f>
        <v>0</v>
      </c>
      <c r="C21">
        <f>COUNTIFS('Tender Data'!M:M,"Information service activities",'Tender Data'!J:J,"*Buffalo City*")+COUNTIFS('Tender Data'!M:M,"Information and communication",'Tender Data'!J:J,"*Buffalo City*")</f>
        <v>0</v>
      </c>
      <c r="D21">
        <f>COUNTIFS('Tender Data'!J:J,"*Buffalo City*",'Tender Data'!G:G,"Request for Quotation")</f>
        <v>0</v>
      </c>
    </row>
    <row r="22" spans="1:4" x14ac:dyDescent="0.3">
      <c r="A22" t="s">
        <v>856</v>
      </c>
      <c r="B22">
        <f>COUNTIF('Tender Data'!J:J,"*Eastern Cape*Public Works*")</f>
        <v>2</v>
      </c>
      <c r="C22">
        <f>COUNTIFS('Tender Data'!M:M,"Information service activities",'Tender Data'!J:J,"*Eastern Cape*Public Works*")+COUNTIFS('Tender Data'!M:M,"Information and communication",'Tender Data'!J:J,"*Eastern Cape*Public Works*")</f>
        <v>0</v>
      </c>
      <c r="D22">
        <f>COUNTIFS('Tender Data'!J:J,"*Eastern Cape*Public Works*",'Tender Data'!G:G,"Request for Quotation")</f>
        <v>1</v>
      </c>
    </row>
    <row r="23" spans="1:4" x14ac:dyDescent="0.3">
      <c r="A23" t="s">
        <v>857</v>
      </c>
      <c r="B23">
        <f>COUNTIF('Tender Data'!J:J,"*Labour*")</f>
        <v>0</v>
      </c>
      <c r="C23">
        <f>COUNTIFS('Tender Data'!M:M,"Information service activities",'Tender Data'!J:J,"*Labour*")+COUNTIFS('Tender Data'!M:M,"Information and communication",'Tender Data'!J:J,"*Labour*")</f>
        <v>0</v>
      </c>
      <c r="D23">
        <f>COUNTIFS('Tender Data'!J:J,"*Labour*",'Tender Data'!G:G,"Request for Quotation")</f>
        <v>0</v>
      </c>
    </row>
    <row r="24" spans="1:4" x14ac:dyDescent="0.3">
      <c r="A24" t="s">
        <v>858</v>
      </c>
      <c r="B24">
        <f>COUNTIF('Tender Data'!J:J,"Special Investigations Unit*")</f>
        <v>0</v>
      </c>
      <c r="C24">
        <f>COUNTIFS('Tender Data'!M:M,"Information service activities",'Tender Data'!J:J,"Special Investigations Unit*")+COUNTIFS('Tender Data'!M:M,"Information and communication",'Tender Data'!J:J,"Special Investigations Unit*")</f>
        <v>0</v>
      </c>
      <c r="D24">
        <f>COUNTIFS('Tender Data'!J:J,"Special Investigations Unit*",'Tender Data'!G:G,"Request for Quotation")</f>
        <v>0</v>
      </c>
    </row>
    <row r="25" spans="1:4" x14ac:dyDescent="0.3">
      <c r="A25" t="s">
        <v>859</v>
      </c>
      <c r="B25">
        <f>COUNTIF('Tender Data'!J:J,"*Gauteng*Health*")</f>
        <v>0</v>
      </c>
      <c r="C25">
        <f>COUNTIFS('Tender Data'!M:M,"Information service activities",'Tender Data'!J:J,"*Gauteng*Health*")+COUNTIFS('Tender Data'!M:M,"Information and communication",'Tender Data'!J:J,"*Gauteng*Health*")</f>
        <v>0</v>
      </c>
      <c r="D25">
        <f>COUNTIFS('Tender Data'!J:J,"*Gauteng*Health*",'Tender Data'!G:G,"Request for Quotation")</f>
        <v>0</v>
      </c>
    </row>
    <row r="26" spans="1:4" x14ac:dyDescent="0.3">
      <c r="A26" t="s">
        <v>860</v>
      </c>
      <c r="B26">
        <f>COUNTIF('Tender Data'!J:J,"*International Relation*")</f>
        <v>0</v>
      </c>
      <c r="C26">
        <f>COUNTIFS('Tender Data'!M:M,"Information service activities",'Tender Data'!J:J,"*International Relation*")+COUNTIFS('Tender Data'!M:M,"Information and communication",'Tender Data'!J:J,"*International Relation*")</f>
        <v>0</v>
      </c>
      <c r="D26">
        <f>COUNTIFS('Tender Data'!J:J,"*International Relation*",'Tender Data'!G:G,"Request for Quotation")</f>
        <v>0</v>
      </c>
    </row>
    <row r="27" spans="1:4" x14ac:dyDescent="0.3">
      <c r="A27" t="s">
        <v>861</v>
      </c>
      <c r="B27">
        <f>COUNTIF('Tender Data'!J:J,"*Joburg Property*")</f>
        <v>0</v>
      </c>
      <c r="C27">
        <f>COUNTIFS('Tender Data'!M:M,"Information service activities",'Tender Data'!J:J,"*Joburg Property*")+COUNTIFS('Tender Data'!M:M,"Information and communication",'Tender Data'!J:J,"*Joburg Property*")</f>
        <v>0</v>
      </c>
      <c r="D27">
        <f>COUNTIFS('Tender Data'!J:J,"*Joburg Property*",'Tender Data'!G:G,"Request for Quotation")</f>
        <v>0</v>
      </c>
    </row>
    <row r="28" spans="1:4" x14ac:dyDescent="0.3">
      <c r="A28" t="s">
        <v>862</v>
      </c>
      <c r="B28">
        <f>COUNTIF('Tender Data'!J:J,"*Johannesburg Water*")</f>
        <v>11</v>
      </c>
      <c r="C28">
        <f>COUNTIFS('Tender Data'!M:M,"Information service activities",'Tender Data'!J:J,"*Johannesburg Water*")+COUNTIFS('Tender Data'!M:M,"Information and communication",'Tender Data'!J:J,"*Johannesburg Water*")</f>
        <v>0</v>
      </c>
      <c r="D28">
        <f>COUNTIFS('Tender Data'!J:J,"*Johannesburg Water*",'Tender Data'!G:G,"Request for Quotation")</f>
        <v>11</v>
      </c>
    </row>
    <row r="29" spans="1:4" x14ac:dyDescent="0.3">
      <c r="B29">
        <f>SUM(B4:B28)</f>
        <v>39</v>
      </c>
      <c r="C29">
        <f>SUM(C4:C28)</f>
        <v>2</v>
      </c>
      <c r="D29">
        <f>SUM(D4:D28)</f>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Tender Data</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Chelton Graham</cp:lastModifiedBy>
  <dcterms:created xsi:type="dcterms:W3CDTF">2026-05-21T06:58:02Z</dcterms:created>
  <dcterms:modified xsi:type="dcterms:W3CDTF">2026-05-21T20:35:15Z</dcterms:modified>
</cp:coreProperties>
</file>