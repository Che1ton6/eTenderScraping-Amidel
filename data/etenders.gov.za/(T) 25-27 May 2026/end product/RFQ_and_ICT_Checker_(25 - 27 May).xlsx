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T) 25-27 May 2026/end product/"/>
    </mc:Choice>
  </mc:AlternateContent>
  <xr:revisionPtr revIDLastSave="7" documentId="11_6AC95021D8FFEDB4E331EF20A779ED44D7CBDCAD" xr6:coauthVersionLast="47" xr6:coauthVersionMax="47" xr10:uidLastSave="{F055C94F-2611-4E38-9A81-49775C9C2EC2}"/>
  <bookViews>
    <workbookView xWindow="-108" yWindow="-108" windowWidth="23256" windowHeight="12456" xr2:uid="{00000000-000D-0000-FFFF-FFFF00000000}"/>
  </bookViews>
  <sheets>
    <sheet name="Tender Data" sheetId="1" r:id="rId1"/>
    <sheet name="Final" sheetId="2" r:id="rId2"/>
  </sheets>
  <definedNames>
    <definedName name="_xlnm._FilterDatabase" localSheetId="0" hidden="1">'Tender Data'!$C$1:$C$311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D29" i="2" s="1"/>
  <c r="C4" i="2"/>
  <c r="B4" i="2"/>
  <c r="D3" i="2"/>
  <c r="C3" i="2"/>
  <c r="B3" i="2"/>
  <c r="C29" i="2" l="1"/>
  <c r="B29" i="2"/>
</calcChain>
</file>

<file path=xl/sharedStrings.xml><?xml version="1.0" encoding="utf-8"?>
<sst xmlns="http://schemas.openxmlformats.org/spreadsheetml/2006/main" count="4083" uniqueCount="1282">
  <si>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</si>
  <si>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</si>
  <si>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</si>
  <si>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</si>
  <si>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</si>
  <si>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</si>
  <si>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</si>
  <si>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</si>
  <si>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</si>
  <si>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</si>
  <si>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</si>
  <si>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</si>
  <si>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</si>
  <si>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</si>
  <si>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COMPULSORY_BRIEFING</t>
  </si>
  <si>
    <t>BRIEFING_SESSION_VENUE</t>
  </si>
  <si>
    <t>LINK</t>
  </si>
  <si>
    <t>SOE</t>
  </si>
  <si>
    <t>COST_OF_SALES_ESTIMATE</t>
  </si>
  <si>
    <t>CAPABILITY_AVAILABLE</t>
  </si>
  <si>
    <t>CAPABILITY_GROUP</t>
  </si>
  <si>
    <t>REQUIREMENTS</t>
  </si>
  <si>
    <t>E2802DXECOUBIDDERS</t>
  </si>
  <si>
    <t>10:00</t>
  </si>
  <si>
    <t>Request for Quotation</t>
  </si>
  <si>
    <t>List of bidders for supply and delivery of Circuit breakers</t>
  </si>
  <si>
    <t>ETENDERS.GOV.ZA</t>
  </si>
  <si>
    <t>ESKOM</t>
  </si>
  <si>
    <t>Eastern Cape</t>
  </si>
  <si>
    <t>No</t>
  </si>
  <si>
    <t>Manufacture of fabricated metal products, except machinery and equipment</t>
  </si>
  <si>
    <t>N/A</t>
  </si>
  <si>
    <t>https://www.etenders.gov.za/home/Download/?blobName=45bbcfd0-72fc-4ed0-af35-fd16fecd8792.pdf&amp;downloadedFileName=screenshot%20E2802DXECOU%20(002)%20(1).pdf</t>
  </si>
  <si>
    <t>E2767GXMWP</t>
  </si>
  <si>
    <t>Request for Bid(Open-Tender)</t>
  </si>
  <si>
    <t>THE DESIGN, DETAILED ENGINEERING, MANUFACTURE, TESTING AT WORKS, SUPPLY, DELIVERY, REMOVAL OF EXISTING TRANSFORMERS, PLACEMENT ON FOUNDATION, INSTALLATION, ERECTION, TESTING, COMMISSIONING, AND STORAGE OF CLASS 0 AND 1 POWER TRANSFORMERS ON AN “AS AND WHEN” REQUIRED BASIS FOR A PERIOD OF TEN YEARS.</t>
  </si>
  <si>
    <t>National</t>
  </si>
  <si>
    <t>Manufacturing</t>
  </si>
  <si>
    <t>Yes</t>
  </si>
  <si>
    <t>MS Teams (Link as per Invitation to Tender)</t>
  </si>
  <si>
    <t>https://www.etenders.gov.za/home/Download/?blobName=df14bcb2-cccd-49fb-9821-254d7df09895.zip&amp;downloadedFileName=Commercial.zip</t>
  </si>
  <si>
    <t>E1426TSSERI</t>
  </si>
  <si>
    <t>Supply and Delivery of Oil Immersed Current Transformer</t>
  </si>
  <si>
    <t>Gauteng</t>
  </si>
  <si>
    <t>Other service activities</t>
  </si>
  <si>
    <t>Link on ITT</t>
  </si>
  <si>
    <t>https://www.etenders.gov.za/home/Download/?blobName=a9e129b9-2ae7-4270-a67f-eaf3be3ea66d.pdf&amp;downloadedFileName=240-77471499%20(2)%20Annexure%20B%20-%20Acknowledgement%20Form%20for%20Eskom%20SHE%20Rules%20and%20other%20Requirements%20(2).pdf</t>
  </si>
  <si>
    <t>WRAC-BLQ-56314</t>
  </si>
  <si>
    <t>12:00</t>
  </si>
  <si>
    <t>SUPPLY, DELIVER AND INSTALL 30MPA CONCRETE ROOF FOR THE REFURBISHMENT OF THE 11KV SUBSTATION WOLSELEY</t>
  </si>
  <si>
    <t>Transnet SOC Ltd</t>
  </si>
  <si>
    <t>Western Cape</t>
  </si>
  <si>
    <t>Construction</t>
  </si>
  <si>
    <t>WOLSELEY SUBSTATION</t>
  </si>
  <si>
    <t>https://www.etenders.gov.za/home/Download/?blobName=b74a5e97-ac36-40ed-98fa-5ed279dec01d.pdf&amp;downloadedFileName=Addendum%20RFQ%20-%20WRAC-BLQ-56314.pdf</t>
  </si>
  <si>
    <t>TP/2026/05/0003/114444/RFP</t>
  </si>
  <si>
    <t>13:00</t>
  </si>
  <si>
    <t>Request for Proposal</t>
  </si>
  <si>
    <t>REISSUE OF DECOMMISSION, DESIGN, SUPPLY, INSTALLATION, COMMISSIONING AND MAINTENANCE OF LIFTS &amp; ESCALATORS AT CARLTON CENTRE FOR A PERIOD OF SEVENTY-TWO (72) MONTHS AS AND WHEN REQUIRED</t>
  </si>
  <si>
    <t>https://www.etenders.gov.za/home/Download/?blobName=5390ecd5-ede8-4c9a-a393-47ca8a62866b.pdf&amp;downloadedFileName=RFP%20-FOR%20LIFTS%20AND%20ESCALATORS%20IN%20CARLTON%20CENTRE%20FOR%2072%20MONTHS%20AS%20AND%20WHEN%20REUIRED..pdf</t>
  </si>
  <si>
    <t>MPKOM11498GXR</t>
  </si>
  <si>
    <t>Re-issue of Establishment and Operation of a PPE Distribution Facility at Komati Power Station for a period 60 Months</t>
  </si>
  <si>
    <t>Mpumalanga</t>
  </si>
  <si>
    <t>Warehousing and support activities for transportation</t>
  </si>
  <si>
    <t>Komati Power Station - SSB Building</t>
  </si>
  <si>
    <t>https://www.etenders.gov.za/home/Download/?blobName=3b4e2928-1ebe-45b1-9bff-5fd1ccb87116.pdf&amp;downloadedFileName=Request%20for%20Proposal%20(RFP)%20-%20PPE%20Distribution.pdf</t>
  </si>
  <si>
    <t>E2965GXMPARN</t>
  </si>
  <si>
    <t>SUPPLY AND DELIVER (ASH PLANT SPARES) AT ARNOT POWER STATION FOR PERIOD OF 5 YEARS (60 MONTHS).</t>
  </si>
  <si>
    <t>Supplies: General</t>
  </si>
  <si>
    <t>https://www.etenders.gov.za/home/Download/?blobName=a1013d55-1c44-404b-860b-604e22002fba.docx&amp;downloadedFileName=Supplier%20Declaration%20of%20Interest%20Template.docx</t>
  </si>
  <si>
    <t>E2948CXMWP</t>
  </si>
  <si>
    <t>11:00</t>
  </si>
  <si>
    <t>Request for Information</t>
  </si>
  <si>
    <t>Expression of Interest (EOI) or Request for Information (RFI). Eskom invites financial services providers to provide information on their capability to design, implement, and administer a Shared Value Group Life Insurance Programme to promote and reward physical, mental, and financial health and wellness.</t>
  </si>
  <si>
    <t>Financial and insurance activities</t>
  </si>
  <si>
    <t>https://www.etenders.gov.za/home/Download/?blobName=2e843dc9-8fcf-4fb0-9b3f-07ea1f37de83.pdf&amp;downloadedFileName=E-Tenderers%20E-Tendering%20Training%20Acknowledgement%20Form%20-%2027%20January%202025.pdf</t>
  </si>
  <si>
    <t>WMM-LM 20/04/26/04 PVM</t>
  </si>
  <si>
    <t>Paving of Ward 01 Multi-Purpose Youth Centre Hall</t>
  </si>
  <si>
    <t>Winnie Madikizela-Mandela Local Municipality</t>
  </si>
  <si>
    <t>https://www.etenders.gov.za/home/Download/?blobName=8a362db0-255e-4ee8-b07b-f8fa87d993c7.pdf&amp;downloadedFileName=Tender%20Document%20paving%20of%20Ward%2001%20updated-Final_.pdf</t>
  </si>
  <si>
    <t>WMM-LM 20/04/26/03 MWC</t>
  </si>
  <si>
    <t>Maintenance of Ward 03 Community Hall</t>
  </si>
  <si>
    <t>https://www.etenders.gov.za/home/Download/?blobName=2d6244d1-1fb7-4e05-8e01-4b251ddab61d.pdf&amp;downloadedFileName=Tender%20Document%20Maintenance%20of%20ward%2003%20updated.pdf</t>
  </si>
  <si>
    <t>UGU-06-1723-2026</t>
  </si>
  <si>
    <t>REQUEST FOR PROPOSALS FOR PLACEMENT ON THE MUNICPAL PANEL OF ATTORNEYS FOR A PERIOD OF THIRTY-SIX (36) MONTHS</t>
  </si>
  <si>
    <t>Ugu Disctrict Munucipality</t>
  </si>
  <si>
    <t>KwaZulu-Natal</t>
  </si>
  <si>
    <t>https://www.etenders.gov.za/home/Download/?blobName=2be91c28-737b-4c95-95be-164870609be7.docx&amp;downloadedFileName=UGU-09-1723-2026%20PANEL%20OF%20ATTORNEYS.docx</t>
  </si>
  <si>
    <t>WMM-LM 17/04/26/01 LFM</t>
  </si>
  <si>
    <t>Library Facilities Maintenance and Equipment</t>
  </si>
  <si>
    <t>https://www.etenders.gov.za/home/Download/?blobName=d1189582-4cb6-44c9-929e-199a47285bef.pdf&amp;downloadedFileName=Tender%20Document%20Maintenance%20of%20Library%20facilities%20and%20Maintenance%20updated.pdf</t>
  </si>
  <si>
    <t>2026/084</t>
  </si>
  <si>
    <t>Provision of Ground Maintenance Services for a period of 5 Years – Harry Gwala &amp; UMDM WWW</t>
  </si>
  <si>
    <t>Umgeni Water</t>
  </si>
  <si>
    <t>Services: Functional (Including Cleaning and Security Services)</t>
  </si>
  <si>
    <t>UUW Head Office ( 310 burger Street, Pietermaritzburg, 3201)</t>
  </si>
  <si>
    <t>https://www.etenders.gov.za/home/Download/?blobName=c78e3420-9bd8-46f9-884b-20226f569fed.pdf&amp;downloadedFileName=2026-084.pdf</t>
  </si>
  <si>
    <t>2026/075</t>
  </si>
  <si>
    <t>SUPPLY AND DELIVERY OF CANTEEN CONSUMABLES FOR FIVE YEARS</t>
  </si>
  <si>
    <t>07 Portland Road, Mkhondeni, Pietermaritzburg 3201</t>
  </si>
  <si>
    <t>https://www.etenders.gov.za/home/Download/?blobName=8ddc6f28-1d76-430a-9ddc-1644d2ec64ea.pdf&amp;downloadedFileName=2026-075.pdf</t>
  </si>
  <si>
    <t>2026/054</t>
  </si>
  <si>
    <t>Design, Supply, Installation and Commissioning of State-of-the-Art Engineering Equipment</t>
  </si>
  <si>
    <t>Services: General</t>
  </si>
  <si>
    <t>07 Portland Road, Mkondeni, Pietermaritzburg,</t>
  </si>
  <si>
    <t>https://www.etenders.gov.za/home/Download/?blobName=25c82fd8-55e8-4995-8136-22abe3d74c5e.pdf&amp;downloadedFileName=2026-054%20Updared%20Voulume%201%20Centre%20of%20Excellence.pdf</t>
  </si>
  <si>
    <t>8/2/9/30RE (202602029</t>
  </si>
  <si>
    <t>8/2/9/30RE (202602029) BID TO APPOINT A SERVICE PROVIDER FOR THE RENTAL OF TRAFFIC CONTRAVENTION MANAGEMENT SYSTEM AND RELATED EQUIPMENT TO MIDVAAL LOCAL MUNICIPALITY FROM 1 JULY 2026 UNTIL 30 JUNE 2029</t>
  </si>
  <si>
    <t>Midvaal Local Municipality</t>
  </si>
  <si>
    <t>Services: Professional</t>
  </si>
  <si>
    <t>https://www.etenders.gov.za/home/Download/?blobName=a449ddab-8de9-4596-8de0-9c002ed8f086.pdf&amp;downloadedFileName=Advert%20for%20the%20week.pdf</t>
  </si>
  <si>
    <t>8/2/9/31RE (2026-2029)</t>
  </si>
  <si>
    <t>8/2/9/31RE (2026-2029) BID FOR THE SUPPLY, INSTALLATION, MAINTENANCE AND MONITORING OF CAMERAS AND WIRELESS RADIO NETWORK FOR CCTVS IN THE MIDVAAL LOCAL MUNICIPALITY FROM DATE OF APPOINTMENT UNTIL 30 JUNE 2029</t>
  </si>
  <si>
    <t>https://www.etenders.gov.za/home/Download/?blobName=96e7229e-7557-49da-8f25-32c4a7e0d425.pdf&amp;downloadedFileName=8-2-9-31RE%20BID%20DOCUMENT.pdf</t>
  </si>
  <si>
    <t>RE-ADVERT 004/MKLM/2025/2026</t>
  </si>
  <si>
    <t>Annual Mauane arts festival event management services for a period of thirty-six (36) months</t>
  </si>
  <si>
    <t>Moses Kotane Local Municipality</t>
  </si>
  <si>
    <t>North West</t>
  </si>
  <si>
    <t>Arts, entertainment and recreation</t>
  </si>
  <si>
    <t>MKLM council chamber</t>
  </si>
  <si>
    <t>https://www.etenders.gov.za/home/Download/?blobName=6be24b99-2482-4daf-bdfe-109c2c392292.pdf&amp;downloadedFileName=Re-advert%20004-2025-2026%20Tender-Annual%20Mauane%20arts%20festival.pdf</t>
  </si>
  <si>
    <t>KZNQ06/DSD/2026/27</t>
  </si>
  <si>
    <t>APPOINTMENT OF A SERVICE PROVIDER TO CONDUCT STATE OF THE PROVINCE DEMOGRAPHIC ANALYSIS IN RESPONDING TO DSD TRANSITION STRATEGY FOR THE KWAZULU-NATAL DEPARTMENT OF SOCIAL DEVELOPMENT</t>
  </si>
  <si>
    <t>Kwazulu Natal - Social Development</t>
  </si>
  <si>
    <t>Scientific research and development</t>
  </si>
  <si>
    <t>https://www.etenders.gov.za/home/Download/?blobName=5f8fae13-2d19-47b6-9abe-5537d3cfc44f.pdf&amp;downloadedFileName=QUOTATION%20DOCUMENT%20-%20STATE%20OF%20THE%20PROVINCE%20DEMOGRAPHIC%20ANALYSIS%20IN%20RESPONDING%20DSD%20TRANSITION%20STRATEGY.pdf</t>
  </si>
  <si>
    <t>MKRI-RFI1/2026/27</t>
  </si>
  <si>
    <t>Supply, implementation and monitoring of integration digital operating system to MKRI for a period of 36 months</t>
  </si>
  <si>
    <t>Moses Kotane Institute</t>
  </si>
  <si>
    <t>Computer programming, consultancy and related activities</t>
  </si>
  <si>
    <t>https://www.etenders.gov.za/home/Download/?blobName=52b12ec0-f360-4b6a-bef6-392649b3d562.pdf&amp;downloadedFileName=RFQ%20Integrated%20System.pdf</t>
  </si>
  <si>
    <t>7/1/002/2025-26</t>
  </si>
  <si>
    <t>Supply and Deliver of building material (Roofing material) for Kroonpark Holiday Resorts Indoor Swimming Pool Complex. 7/1/002/2025-26</t>
  </si>
  <si>
    <t>Moqhaka Local Municipality</t>
  </si>
  <si>
    <t>Free State</t>
  </si>
  <si>
    <t>Construction of buildings</t>
  </si>
  <si>
    <t>https://www.etenders.gov.za/home/Download/?blobName=765577ba-4583-43c6-9ad9-23a2f2856c99.pdf&amp;downloadedFileName=7-1-002-2025-26%20RFQ%20Supply%20and%20delivery%20of%20building%20material%20Tender%20document.pdf</t>
  </si>
  <si>
    <t>KZNQ05/DSD/2026/27</t>
  </si>
  <si>
    <t>APPOINTMENT OF A SERVICE PROVIDER TO CONDUCT SITUATIONAL ANALYSIS OF HOMELESSNESS IN KWAZULU- NATAL</t>
  </si>
  <si>
    <t>https://www.etenders.gov.za/home/Download/?blobName=39028af9-cec6-4c7f-9f1b-93ab898f4228.pdf&amp;downloadedFileName=QUOTATION%20DOCUMENT%20-%20TO%20CONDUCT%20SITUATIONAL%20ANALYSIS%20OF%20HOMELESSNESS%20IN%20KWAZULU-NATAL.pdf</t>
  </si>
  <si>
    <t>QUOTATION No. Q12/1362 OF 25/26</t>
  </si>
  <si>
    <t>APPOINTMENT OF SERVICE PROVIDER TO SUPPLY, DELIVER, INSTALL AND REMOVE SPEED FENCE, PROVIDE PORTABLE ABLUTION FACILITIES, SUPPLY AND DELIVER GIFT BAGS AT PIETERMARITZBURG AIRPORT.</t>
  </si>
  <si>
    <t>Msunduzi Local Municipality</t>
  </si>
  <si>
    <t>https://www.etenders.gov.za/home/Download/?blobName=cdd03332-da94-4cd6-ad80-32de3509b8a5.pdf&amp;downloadedFileName=Q12-1362%20DOCUMENT.pdf</t>
  </si>
  <si>
    <t>KZNQ04/DSD/2026/27</t>
  </si>
  <si>
    <t>APPOINTMENT OF A SERVICE PROVIDER TO CONDUCT STATUS OF SUBSTANCE ABUSE IN KWAZULU- NATAL</t>
  </si>
  <si>
    <t>https://www.etenders.gov.za/home/Download/?blobName=e803686d-c295-4ec6-850e-92c719fb17f9.pdf&amp;downloadedFileName=QUOTATION%20DOCUMENT%20-%20TO%20CONDUCT%20STATUS%20OF%20SUBSTANCE%20ABUSE%20IN%20KWAZULU-NATAL.pdf</t>
  </si>
  <si>
    <t>REQNHFC010211</t>
  </si>
  <si>
    <t>PROVISION OF AN ONLINE LEGAL RESEARCH PLATFORM FOR NHFC FOR THREE (3) YEARS</t>
  </si>
  <si>
    <t>National Housing Finance Corporation Limited</t>
  </si>
  <si>
    <t>https://www.etenders.gov.za/home/Download/?blobName=a79e1166-e10b-4e45-a0a1-28829fca195a.pdf&amp;downloadedFileName=RFQ_LEGAL%20RESEARCH%20PLATFORM.pdf</t>
  </si>
  <si>
    <t>T02-05-26</t>
  </si>
  <si>
    <t>REQUEST FOR BID (RFB) FOR THE SUPPLY, DELIVERY, IMPLEMENTATION AND LEASING OF NETWORKED MULTIFUNCTION PRINTING DEVICES (MFD/PS) FOR A PERIOD OF THREE (03) YEARS.</t>
  </si>
  <si>
    <t>Land and Agricultural Development Bank of South Africa</t>
  </si>
  <si>
    <t>Information and communication</t>
  </si>
  <si>
    <t>https://teams.microsoft.com/meet/350798054758825?p=daY7z3Wt2GVdzhx0yv</t>
  </si>
  <si>
    <t>https://www.etenders.gov.za/home/Download/?blobName=d7705968-e2ff-468c-bc2e-52cf9c686e21.pdf&amp;downloadedFileName=ANNEXURE%20H%20-%20BRIBERY%20AND%20CORRUPTION%20DECLARATION.pdf</t>
  </si>
  <si>
    <t>T03/05/26</t>
  </si>
  <si>
    <t>REQUEST FOR PROPOSAL (RFP) FOR THE IMPLEMENTATION OF LEGAL CONTRACT DRAFTING AND ONLINE LIBRARY SYSTEM INCLUDING MAINTENANCE AND SUPPORT FOR A PERIOD OF THREE (03) YEARS</t>
  </si>
  <si>
    <t>https://teams.microsoft.com/meet/311784252754347?p=UkZF7UnM23IALMUinp</t>
  </si>
  <si>
    <t>https://www.etenders.gov.za/home/Download/?blobName=8f210352-0e42-43b7-93c1-af209b574ffc.pdf&amp;downloadedFileName=ANNEXURE%20H%20-%20BRIBERY%20AND%20CORRUPTION%20DECLARATION.pdf</t>
  </si>
  <si>
    <t>NRF/SAAO/RFQ/117256</t>
  </si>
  <si>
    <t>16:00</t>
  </si>
  <si>
    <t>Manufacture, supply and delivery of heavy-duty fabric part for large blind assembly</t>
  </si>
  <si>
    <t>National Research Foundation</t>
  </si>
  <si>
    <t>Other manufacturing</t>
  </si>
  <si>
    <t>SAAO, Auditorium, 2 Observatory Road, Observatory, 7925</t>
  </si>
  <si>
    <t>https://www.etenders.gov.za/home/Download/?blobName=31822391-cef7-40b6-8c20-b95bb516abd0.pdf&amp;downloadedFileName=RFQ%20117256%20-%20Manufacture,%20%20supply%20%20and%20delivery%20of%20heavy-duty%20fabric%20part%20for%20large%20blind%20assembly.pdf</t>
  </si>
  <si>
    <t>NRF/SAAO/RFQ/117259</t>
  </si>
  <si>
    <t>Supply and delivery of one gear-motor for telescope dome drive</t>
  </si>
  <si>
    <t>Repair and installation of machinery and equipment</t>
  </si>
  <si>
    <t>https://www.etenders.gov.za/home/Download/?blobName=6ffcd359-addc-4707-afa6-5d009516d6bd.pdf&amp;downloadedFileName=RFQ11729%20-%20Supply%20and%20delivery%20of%20one%20gearmotor%20for%20telescope%20dome%20drive.pdf</t>
  </si>
  <si>
    <t>B248-2026</t>
  </si>
  <si>
    <t>Compilation of mSCOA and GRAP-Compliant Annual Financial Statements Fixed Asset Register and Ad-Hoc Support for a period of 36 Months</t>
  </si>
  <si>
    <t>Joe Morolong Local Municipality</t>
  </si>
  <si>
    <t>Northern Cape</t>
  </si>
  <si>
    <t>https://www.etenders.gov.za/home/Download/?blobName=8cd12876-2e11-4a8a-8a9e-8323b37a54fe.pdf&amp;downloadedFileName=BidDoc-AFS-B248-2026.pdf</t>
  </si>
  <si>
    <t>IZIKO RFQ-CYP 25/05/2026</t>
  </si>
  <si>
    <t>FOR THE SUPPLY AND INSTALLATION OF FRAMELESS GLASS DOORS</t>
  </si>
  <si>
    <t>Iziko Museums of Cape Town</t>
  </si>
  <si>
    <t>Iziko Museums 25 Queen Victoria Str Cape Town</t>
  </si>
  <si>
    <t>https://www.etenders.gov.za/home/Download/?blobName=30d43499-bc54-40ac-910a-3e6cbb085fcb.pdf&amp;downloadedFileName=Supply%20and%20Installation%20of%20Glass%20Doors.pdf</t>
  </si>
  <si>
    <t>RFQ/08/2026-2027B</t>
  </si>
  <si>
    <t>The National Research Foundation- South African Agency for Science and Technology Advancement (NRF-SAASTA) wishes to appoint a suitable public relations/media relations service provider to negotiate/influence media across South Africa for National Science Month 2026.</t>
  </si>
  <si>
    <t>Thursday 28 May 2026 (online) Microsoft teams: Join: https://teams.microsoft.com/meet/3467472937060</t>
  </si>
  <si>
    <t>https://www.etenders.gov.za/home/Download/?blobName=5d06f24e-9ed6-44b0-aabd-87db606476aa.pdf&amp;downloadedFileName=RFQ-08-2025-2026%20-%20NSM2026_Media%20Negotiation_Influencing%20Re-advert%20with%20Updates.pdf</t>
  </si>
  <si>
    <t>RFQJW26ZZ26 R</t>
  </si>
  <si>
    <t>APPOINTMENT OF A SERVICE PROVIDER TO PROVIDE IN-HOUSE TRAINING ON JBCC (Edition 6.2): (CPD Verified with ECSA, SACPMP, SACPQS, PMSA)</t>
  </si>
  <si>
    <t>Johannesburg Water</t>
  </si>
  <si>
    <t>https://www.etenders.gov.za/home/Download/?blobName=7ba5fcd0-6d06-4779-9177-ce9c90c49d33.pdf&amp;downloadedFileName=RFQJW26ZZ26_IN-HOUSE%20TRAINING%20ON%20JBCC.pdf</t>
  </si>
  <si>
    <t>RFQJW094TN26</t>
  </si>
  <si>
    <t>RFQJW094TN26 - LABORATORY BOTTLE TOP DISPENSERS</t>
  </si>
  <si>
    <t>https://www.etenders.gov.za/home/Download/?blobName=6d274371-b150-41f4-9da3-e2d5d89d3b95.pdf&amp;downloadedFileName=RFQJW094TN26%20-%20LABORATORY%20BOTTLE%20TOP%20DISPENSERS.pdf</t>
  </si>
  <si>
    <t>RFQJW099TN26</t>
  </si>
  <si>
    <t>RFQJW099TN26 - VESDA SYSTEM SERVICING</t>
  </si>
  <si>
    <t>65 Ntemi Piliso Street, Turbine Hall, Newtown, Johannesburg</t>
  </si>
  <si>
    <t>https://www.etenders.gov.za/home/Download/?blobName=98504bbe-7a5f-43e0-9fc0-f0830cc17c55.pdf&amp;downloadedFileName=RFQJW099TN26%20-%20VESDA%20SYSTEM%20SERVICING.pdf</t>
  </si>
  <si>
    <t>RFQJW113NS26</t>
  </si>
  <si>
    <t>Supply, Deliver And Off-Load Electric Motors And Geared Motors</t>
  </si>
  <si>
    <t>Supplies: Electrical Equipment</t>
  </si>
  <si>
    <t>Northern Wastewater Treatment Works (Diepsloot</t>
  </si>
  <si>
    <t>https://www.etenders.gov.za/home/Download/?blobName=d59e4d42-6cd8-484a-a036-852c33d3c4af.pdf&amp;downloadedFileName=RFQJW113NS26-Supply,%20Deliver%20And%20Off-Load%20Electric%20Motors%20And%20Geared%20Motors(25%20May-11%20June).pdf</t>
  </si>
  <si>
    <t>WORKINGONHEIGHTS/TRAINING/10364732</t>
  </si>
  <si>
    <t>REQUEST FOR QUOTATION (RFQ) FOR THE DELIVERY OF WORKING ON HEIGHTS TRAINING SERVICES</t>
  </si>
  <si>
    <t>Passenger Rail Agency of South Africa</t>
  </si>
  <si>
    <t>Education</t>
  </si>
  <si>
    <t>https://www.etenders.gov.za/home/Download/?blobName=da89a051-e37b-4965-a2e8-cb55fe0121a4.pdf&amp;downloadedFileName=RFQ%20-%20WORKING%20ON%20HEIGHTS-10364732.pdf</t>
  </si>
  <si>
    <t>HDA/NW/2026/002</t>
  </si>
  <si>
    <t>REQUEST FOR PROPOSAL FOR THE APPOINTMENT OF A SERVICE PROVIDER FOR THE ACQUISITION OF SUITABLE PROPERTY FOR OFFICES AND PARKING SPACE FOR THE HOUSING DEVELOPMENT AGENCY WITHIN THE RUSTENBURG AREA IN THE NORTH-WEST PROVINCE.</t>
  </si>
  <si>
    <t>Housing Development Agency</t>
  </si>
  <si>
    <t>https://www.etenders.gov.za/home/Download/?blobName=3893034b-8055-4235-b6b0-6de9323a41b9.pdf&amp;downloadedFileName=Tender%20document%20-%20Advert%20-%20HDANW2026002.pdf</t>
  </si>
  <si>
    <t>FOSPHB-RFP-10-26/27</t>
  </si>
  <si>
    <t>FOSPHB-RFP-10-26/27 REQUEST FOR PROPOSAL FOR FOR THE SUPPLY PROVISION OF ON-SITE WASTE MANAGEMENT SERVICES INCLUDING SERVICING OF SKIP BINS USING CONTRACTOR-OWNED ROLL-ON ROLL-OFF SKIP TRUCKS AT FOSKOR MINING DIVISION (PHALABORWA) FOR A PERIOD OF 3 (THREE) YEARS.</t>
  </si>
  <si>
    <t>Industrial Development Corporation of South Africa Limited</t>
  </si>
  <si>
    <t>Limpopo</t>
  </si>
  <si>
    <t>https://www.etenders.gov.za/home/Download/?blobName=f9f08043-b88c-4e0d-bc38-90ce79afb357.zip&amp;downloadedFileName=FOSPHB-RFP-10-26-27-Waste%20Management-Owned%20Skip%20Bins%20%20Roll-Off%20Skip%20Trucks.zip</t>
  </si>
  <si>
    <t>re advert RFQ 25-26/25</t>
  </si>
  <si>
    <t>10:30</t>
  </si>
  <si>
    <t>Assessment of sand filters</t>
  </si>
  <si>
    <t>Phumelela Local Municipality</t>
  </si>
  <si>
    <t>Civil engineering</t>
  </si>
  <si>
    <t>Memel water works</t>
  </si>
  <si>
    <t>https://www.etenders.gov.za/home/Download/?blobName=fbd5785a-f746-41a8-9633-bb306d9eb573.pdf&amp;downloadedFileName=RFQ%2025%20filter%20sand.pdf</t>
  </si>
  <si>
    <t>HSRC/25/05/2026</t>
  </si>
  <si>
    <t>PLUMBING REPAIR &amp; MAINTENANCE WORK (AS AND WHEN REQUIRED</t>
  </si>
  <si>
    <t>Human Sciences Research Council</t>
  </si>
  <si>
    <t>134 Pretorius Street ,Pretoria South Africa 0002</t>
  </si>
  <si>
    <t>https://www.etenders.gov.za/home/Download/?blobName=1dcec804-6583-4058-be78-481c5f639d6c.pdf&amp;downloadedFileName=SBD%206.1%20IN%20TERMS%20OF%20PPR2022%20(Amended).pdf</t>
  </si>
  <si>
    <t>RE-8/3/2-35/2026</t>
  </si>
  <si>
    <t>RE-CALCULATION OF PROVISION FOR REHABILITATION OF 8 LANDFILL SITES AS REQUIRED BY GRAP 19- PROVISIONS, CONTINGENT LIABILITIES AND CONTINGENT ASSETS</t>
  </si>
  <si>
    <t>Govan Mbeki Local Municipality</t>
  </si>
  <si>
    <t>Administrative and support activities</t>
  </si>
  <si>
    <t>https://www.etenders.gov.za/home/Download/?blobName=88ebaa70-0495-4366-9da8-7860a39aa594.pdf&amp;downloadedFileName=Grap%2019.pdf</t>
  </si>
  <si>
    <t>C/O-OTP-RES-TA-001/05/26</t>
  </si>
  <si>
    <t>Appointment of a Panel of Transaction Advisors for Strategy Support, Capital Raising and Turnkey Project Implementation 36 months</t>
  </si>
  <si>
    <t>GERT SIBANDE TVET COLLEGE</t>
  </si>
  <si>
    <t>https://www.etenders.gov.za/home/Download/?blobName=3e79eba5-ab04-467e-8f9d-95b857db7c4d.pdf&amp;downloadedFileName=Tender%20Notice%2025%20May%202026.pdf</t>
  </si>
  <si>
    <t>10371067</t>
  </si>
  <si>
    <t>REQUEST FOR QUOTATION (RFQ) FOR SUPPLY AND DELIVERY OF UNIFORM AND PERSONNEL PROTECTIVE EQUIPMENT (PPE) IN THE GAUTENG REGION FOR A “ONCE OFF” BASIS</t>
  </si>
  <si>
    <t>Supplies: Clothing/Textiles/Footwear</t>
  </si>
  <si>
    <t>6th Floor Boardroom, Shosholoza Meyl Junction,</t>
  </si>
  <si>
    <t>https://www.etenders.gov.za/home/Download/?blobName=64b41d2d-3a8e-4d0e-99e8-83fec2cb401f.pdf&amp;downloadedFileName=RFQ%2010371067.pdf</t>
  </si>
  <si>
    <t>SHEREP/TRAINING/10364566</t>
  </si>
  <si>
    <t>REQUEST FOR QUOTATION (RFQ) FOR THE DELIVERY OF SHE REP TRAINING SERVICES</t>
  </si>
  <si>
    <t>https://www.etenders.gov.za/home/Download/?blobName=c68aaaea-eca8-4f2a-8332-422410fbebde.pdf&amp;downloadedFileName=RFQ%20-%20SHE%20REP%20-10364566.pdf</t>
  </si>
  <si>
    <t>8/2/RNM0632</t>
  </si>
  <si>
    <t>SUPPLY AND DELIVERY OF BLANKETS, FOAM MATTRESS AND ROOF PLASTIC SHEET FOR A PERIOD OF 3 YEARS</t>
  </si>
  <si>
    <t>Ray Nkonyeni Local Municipality</t>
  </si>
  <si>
    <t>https://www.etenders.gov.za/home/Download/?blobName=9797c72e-25ed-441a-9dc3-6b88fa344600.pdf&amp;downloadedFileName=BLANKETS%208%202%20RNM0632%20LATEST.pdf</t>
  </si>
  <si>
    <t>RFQ-112-343</t>
  </si>
  <si>
    <t>Uncoated A3 90Gsm Paper</t>
  </si>
  <si>
    <t>Statistics South Africa</t>
  </si>
  <si>
    <t>https://www.etenders.gov.za/home/Download/?blobName=0c20db17-c4db-459e-b4c6-610f8a3498d4.docx&amp;downloadedFileName=RFQ.docx</t>
  </si>
  <si>
    <t>TNPA/2026/03/0469/2692/RFP</t>
  </si>
  <si>
    <t>FOR THE DETAILED PRE-FEASIBILITY ENGINEERING STUDY FOR COASTAL PROTECTION STRUCTURES AT ALKANTSTRAND AND NORTHERN BEACHES OF RICHARDS BAY FOR A PERIOD OF EIGHT (8) MONTHS</t>
  </si>
  <si>
    <t>Transnet National Ports Authority</t>
  </si>
  <si>
    <t>Professional, scientific and technical activities</t>
  </si>
  <si>
    <t>https://www.etenders.gov.za/home/Download/?blobName=a17b3e35-7d3a-4029-8126-03603392117d.PDF&amp;downloadedFileName=CLARIF~1.PDF</t>
  </si>
  <si>
    <t>RFQ/INV/03/2026/27</t>
  </si>
  <si>
    <t>Appointment of a service provider to conduct investigation within the context of PFMA reporting</t>
  </si>
  <si>
    <t>Universal Service and Access Agency of South Africa</t>
  </si>
  <si>
    <t>https://www.etenders.gov.za/home/Download/?blobName=58a88e25-4bac-41da-9653-363055fe5625.pdf&amp;downloadedFileName=Terms%20of%20Reference%20for%20Investigation%20within%20the%20context%20of%20PFMA%20Reporting.pdf</t>
  </si>
  <si>
    <t>BS01/04/2026</t>
  </si>
  <si>
    <t>APPOINTMENT OF A PANEL OF MAXIMUM THREE (03) CONTRACTORS TO IMPLEMENT ELECTRICAL PROJECTS FOR THE 2026/27, 2027/28 AND 2028/29 FINANCIAL YEARS AS AND WHEN REQIURED</t>
  </si>
  <si>
    <t>Steve Tshwete Local Municipality</t>
  </si>
  <si>
    <t>Electricity, gas, steam and air conditioning</t>
  </si>
  <si>
    <t>ELECTRICAL WORKSHOP BOARDROOM, MUNICIPAL STORES (MAGASYN)</t>
  </si>
  <si>
    <t>https://www.etenders.gov.za/home/Download/?blobName=5ff8dc06-9db8-4bb0-8f2c-2fee13118e4b.pdf&amp;downloadedFileName=TENDER%20ADVERT%20-%20BS01-04-2026.pdf</t>
  </si>
  <si>
    <t>BS02/05/2026</t>
  </si>
  <si>
    <t>APOINTMENT OF SERVICE PROVIDER FOR SUPPLY AND DELIVERY OF PERSONAL PROTECTIVE GEAR FOR EMERGENCY SERVICES FOR A PERIOD OF 36 MONTHS AS AND WHERN REQUIRED</t>
  </si>
  <si>
    <t>NDONDO MAMPANE FIRE STATION, LECTURE ROOM</t>
  </si>
  <si>
    <t>https://www.etenders.gov.za/home/Download/?blobName=32f28654-c174-4422-9605-e152ffd41ef2.pdf&amp;downloadedFileName=TENDER%20ADVERT%20-%20BS02-05-2026.pdf</t>
  </si>
  <si>
    <t>BS05/05/2026</t>
  </si>
  <si>
    <t>APPOINTMENT OF PANEL OF MAXIMUM FOUR (04) CONTRACTORS TO ASSIST WITH MINOR ELECTRICAL WORKS FOR THE 2026/27, 2027/28 AND 2028/29 FINANCIAL YEARS ON AN AS AND WHEN REQUIRED BASIS</t>
  </si>
  <si>
    <t>ELECTRICAL WORKSHOP BOARDROOM , MUNICIPAL STORES (MAGASYN)</t>
  </si>
  <si>
    <t>https://www.etenders.gov.za/home/Download/?blobName=c4012020-7202-485a-bc84-0b38641edec3.pdf&amp;downloadedFileName=TENDER%20ADVERT%20-%20BS05-05-2026.pdf</t>
  </si>
  <si>
    <t>BS01/05/2026</t>
  </si>
  <si>
    <t>RE-ADVERT : APPOINTMENT OF MAXIMUM OF THREE (03) CONTRACTORS ON THE PANEL FOR MAINTENANCE OF WATER AND WASTEWATER TREATMENT WORKS INFRASTRUCTURE AS AND WHEN REQUIRED FOR A PERIOD OF 36 MONTHS</t>
  </si>
  <si>
    <t>Water collection, treatment and supply</t>
  </si>
  <si>
    <t>LIBRARY AUDITORUIM , GERARD SEKOKO LIBRARY , CIVIC CENTER CNR WALTER SISULU AND WANDERS</t>
  </si>
  <si>
    <t>https://www.etenders.gov.za/home/Download/?blobName=59a413df-1e62-4c59-b62f-c93fea6ee02f.pdf&amp;downloadedFileName=TENDER%20ADVERT%20-%20BS01-05-2026.pdf</t>
  </si>
  <si>
    <t>BS03/05/2026</t>
  </si>
  <si>
    <t>APPOINTMENT OF A PANEL OF MAXIMUM OF FIVE (5) SERVICES PROVIDERS FOR CATERING SERVICES AS AND WHEN REQUIRED FOR ATHE PERIOD OF 24 MONTHS</t>
  </si>
  <si>
    <t>Food and beverage service activities</t>
  </si>
  <si>
    <t>MAYORS PARLOUR , SECOND FLOOR CIVIC CENTER CNR WALTER SISULU AND WANDERS</t>
  </si>
  <si>
    <t>https://www.etenders.gov.za/home/Download/?blobName=de0e2db3-105f-4d84-95d5-6735d8b76f0e.pdf&amp;downloadedFileName=TENDER%20ADVERT%20-%20BS03-05-2026.pdf</t>
  </si>
  <si>
    <t>TNPA/2026/05/0931/5219/RFP</t>
  </si>
  <si>
    <t>PE NATIONAL FIRE SERVICES INFRASTRUCTURE AND EQUIPMENT UPGRADE PHASE 2A (CONSTRUCTION OF A NEW FIRE BUILDING)</t>
  </si>
  <si>
    <t>TNPA Lower Ground Canteen, Port Administration Building, Green Street, Port of Port Elizabeth</t>
  </si>
  <si>
    <t>https://www.etenders.gov.za/home/Download/?blobName=9e499a59-d133-4db7-a5c1-158f36ec257e.zip&amp;downloadedFileName=12.2%20ENGINEERING%20DRAWINGS.zip</t>
  </si>
  <si>
    <t>RFQ BB 28/2026</t>
  </si>
  <si>
    <t>THE APPOINTMENT OF A SERVICE PROVIDER FOR THE SUPPLY AND DELIVERY OF LAPTOPS TO SOUTH CAPE TVET COLLEGE.</t>
  </si>
  <si>
    <t>South Cape TVET College</t>
  </si>
  <si>
    <t>Supplies: Computer Equipment</t>
  </si>
  <si>
    <t>https://www.etenders.gov.za/home/Download/?blobName=381d4f23-ee95-4d3c-b2f3-86ffd358d0cc.pdf&amp;downloadedFileName=RFQ%20BB%2028_2026%20Laptops.pdf</t>
  </si>
  <si>
    <t>ALM/SCM/46/2025-26</t>
  </si>
  <si>
    <t>Provision of insurance services for municipal assets for a period of 3 years.</t>
  </si>
  <si>
    <t>Amahlathi Local Municipality</t>
  </si>
  <si>
    <t>https://www.etenders.gov.za/home/Download/?blobName=60b4ff1a-1602-4ae2-9a55-a11c4a67dd4d.pdf&amp;downloadedFileName=BID%20ADVERTS%20-%20Provision%20of%20insurance%20services%20for%20municipal%20assests%20for%20a%20period%20of%20%203%20years.pdf</t>
  </si>
  <si>
    <t>H004L2705RFQ00046</t>
  </si>
  <si>
    <t>Professional Proof Reading, Editing, Design, Layout and Printing of the BMA 2025/26 Annual Report</t>
  </si>
  <si>
    <t>Border Management Authority</t>
  </si>
  <si>
    <t>Printing and reproduction of recorded media</t>
  </si>
  <si>
    <t>https://www.etenders.gov.za/home/Download/?blobName=a1bdf6c4-20e8-43f9-8a38-929028680ea2.pdf&amp;downloadedFileName=QUOTE%20PACK%20-%20H004L2705RFQ00046.pdf</t>
  </si>
  <si>
    <t>16325</t>
  </si>
  <si>
    <t>REQUEST FOR POTENTIAL SERVICE PROVIDERS TO SUBMIT A QUOTATION TO AIDC FOR THE SUPPLY, INSTALLATION, SERVICE AND REMOVAL OF AN OLD TWO-POST LIFT AT THE WINTERVELD ENTERPRISE HUB.</t>
  </si>
  <si>
    <t>Automotive Industry Development Centre (AIDC)</t>
  </si>
  <si>
    <t>https://www.etenders.gov.za/home/Download/?blobName=c10c56f5-dd85-4399-bb2c-2bd091475f01.pdf&amp;downloadedFileName=Annexure%20A_Integrity%20Pact%20for%20Businesses.pdf</t>
  </si>
  <si>
    <t>RFQ-ETQ-26-27-031</t>
  </si>
  <si>
    <t>Request for Proposal: Capable Service Provider for the Review of the Occupational Certificate and Related Part Qualifications 1. SAQAID :103277 2. SAQA ID :103270 3. SAQA ID :118733 4. SAQA ID :102317</t>
  </si>
  <si>
    <t>Manufacturing, Engineering and Related Services SETA (merSETA)</t>
  </si>
  <si>
    <t>https://www.etenders.gov.za/home/Download/?blobName=68242993-23ee-42d9-b4e8-5e24ba2a3f6c.docx&amp;downloadedFileName=SBD%206.1%20IN%20TERMS%20OF%20PPR2022%20with%20goals%20(3)%20(2)%20(2)%20(2)%20(1)%20(2)%20(1).docx</t>
  </si>
  <si>
    <t>RFQ-FAC-26-27-032</t>
  </si>
  <si>
    <t>PROVISION OF DIRECTORS AND OFFICERS LIABILITY INSURANCE COVER</t>
  </si>
  <si>
    <t>Activities auxiliary to financial service and insurance activities.</t>
  </si>
  <si>
    <t>https://www.etenders.gov.za/home/Download/?blobName=3822fd44-90ca-4d8c-b0c1-6df77b9fb429.doc&amp;downloadedFileName=Standard%20Bidding%20Document%20(SDB)%204_Annexure%20A%20(%20(3)%20(4)%20(2)%20(2)%20(1)%20(2)%20(1).doc</t>
  </si>
  <si>
    <t>BOCMA RFQ13/2026</t>
  </si>
  <si>
    <t>ITEM : REQUEST FOR QUOTATION: DEEP CLEANING OF OFFICE CARPET WORCESTER OFFICE REF: BOCMA RFQ13/2026 Specification and RFQ documents must be requested from Noxolo Mafanya The is a compulsory site inspection on Thursday 28 May 2026 from 10:00 am to 13:00pm No submissions will be accepted if no site inspection was attended Email: nmafanya@bocma.co.za Tel : 023 346 8000 Address: CNR Mountain Mill&amp; East Lake Road , worcester, 6850(opposite N1)</t>
  </si>
  <si>
    <t>Breede-Gouritz Catchment Management Agency</t>
  </si>
  <si>
    <t>WORCESTER OFFICE</t>
  </si>
  <si>
    <t>https://www.etenders.gov.za/home/Download/?blobName=034c9747-626f-46ab-8554-c7ade06790ba.docx&amp;downloadedFileName=Advert%20Deep%20Cleaning%2025.05.2026%20re-%20issue.docx</t>
  </si>
  <si>
    <t>RFQ0001210</t>
  </si>
  <si>
    <t>00:00</t>
  </si>
  <si>
    <t>TO APPOINT A SERVICE PROVIDER (SP) TO PROVIDE THE DEPARTMENT OF FORESTRY, FISHERIES AND THE ENVIRONMENT (DFFE) / MARINE LIVING RESOURCES FUND (MLRF) FOR THE SUPPLY AND DELIVERY OF CLEANING MATERIAL.</t>
  </si>
  <si>
    <t>Marine Living Resources Fund</t>
  </si>
  <si>
    <t>https://www.etenders.gov.za/home/Download/?blobName=cd2b7c25-0aa9-40b9-b6fe-5fa2a26e178e.pdf&amp;downloadedFileName=RFQ0001210.pdf</t>
  </si>
  <si>
    <t>VDM/COMM/04/05/2026/01</t>
  </si>
  <si>
    <t>SUPPLY AND DELIVERY OF 20 EMERGENCY TEMPORARY SHELTERS</t>
  </si>
  <si>
    <t>Vhembe District Municipality</t>
  </si>
  <si>
    <t>ENTERENCE OF VHEMBE DISTRICT MUNICIPALITY</t>
  </si>
  <si>
    <t>https://www.etenders.gov.za/home/Download/?blobName=598328c6-6b18-41d2-a106-353924aedb8e.pdf&amp;downloadedFileName=SUPPLY%20AND%20DELIVERY%20OF%2020%20EMERGENCY%20TEMPORARY%20SHELTERS.pdf</t>
  </si>
  <si>
    <t>RFQ/VDM/COMM/23/03/2026/01</t>
  </si>
  <si>
    <t>REQUEST TO PURCHASE AND INSTALL SIX FLOODS LIGHTS AND REPLACE LIGHTS THAT ARE NOT WORKING AT OBED MASHABA FIRE STATION</t>
  </si>
  <si>
    <t>https://www.etenders.gov.za/home/Download/?blobName=19b27940-593f-48c4-a510-335e7cf094c2.pdf&amp;downloadedFileName=REQUEST%20TO%20PURCHASE%20AND%20INSTALL%20SIX%20FLOODS%20LIGHTS%20AND%20REPLACE%20LIGHTS%20THAT%20ARE%20NOT%20WORKING%20AT%20OBED%20MASHABA%20FIRE%20STATION.pdf</t>
  </si>
  <si>
    <t>RFQ/VDM/COMM/19/05/2026/02</t>
  </si>
  <si>
    <t>REQUEST TO PURCHASE OF SIX (6) 118 PIECES TOOLS BOXES FOR VHEMBE DISTRICT MUNICIPALITY FIRE STATIONS</t>
  </si>
  <si>
    <t>https://www.etenders.gov.za/home/Download/?blobName=df98da9d-c44f-46f9-af6c-ccc467f81675.pdf&amp;downloadedFileName=REQUEST%20TO%20PURCHASE%20OF%20SIX%20(6)%20118%20PIECES%20TOOLS%20BOXES%20FOR%20VHEMBE%20DISTRICT%20MUNICUPALITY%20FIRE%20STATIOINS.pdf</t>
  </si>
  <si>
    <t>RFQ 74238</t>
  </si>
  <si>
    <t>Provision of Painting Maintenance Service at OR Tambo International Airport for a period of six (6)Months</t>
  </si>
  <si>
    <t>Airports Company of South Africa</t>
  </si>
  <si>
    <t>Services: Building</t>
  </si>
  <si>
    <t>https://www.etenders.gov.za/home/Download/?blobName=faa4ba80-d668-4c3c-9b61-48bba006c15b.pdf&amp;downloadedFileName=RFQ%2074238%20Provision%20of%20Painting%20Maintenance%20Service.pdf</t>
  </si>
  <si>
    <t>T2026/05/20/WARD05MIG2026/2027</t>
  </si>
  <si>
    <t>CONSTRUCTION OF MBOSHONGWENI/MFISHANE ROAD IN WARD 05</t>
  </si>
  <si>
    <t>Umvoti Local Municipality</t>
  </si>
  <si>
    <t>100 pine street, Town Hall, Greytown 3250</t>
  </si>
  <si>
    <t>https://www.etenders.gov.za/home/Download/?blobName=4701023f-e750-4eff-9eac-42e9a63a4134.pdf&amp;downloadedFileName=TENDER%20ADVERT%20FOR%20CONSTRUCTION%20OF%20MBHOSHONGWENI%20ROAD.pdf</t>
  </si>
  <si>
    <t>VDM/TECH/16/03/2026/01</t>
  </si>
  <si>
    <t>PANEL OF (10) PROFESSIONAL SERVICE PROVIDERS TO CALIBRATE FLOW METERS AS AND WHEN REQUIRED FOR THE PERIOD OF 36 MONTHS</t>
  </si>
  <si>
    <t>https://www.etenders.gov.za/home/Download/?blobName=f899d883-1933-49d2-bd0e-30042b2a9316.pdf&amp;downloadedFileName=PANEL%20OF%20(10)%20PROFFESSIONAL%20SERVICE%20PROVIDERS%20TO%20CALIBRATE%20FLOW%20METERS%20AS%20AND%20WHEN%20REQUIRED%20FOR%20THE%20PERIOD%20OF%2036%20MONTHS.pdf</t>
  </si>
  <si>
    <t>T2026/05/20/WARD01 SPORTFIELD-PHASE 3 COMPLETION</t>
  </si>
  <si>
    <t>CONSTRUCTION OF WARD 01 SPORTFIELD-PHASE 3 COMPLETION</t>
  </si>
  <si>
    <t>https://www.etenders.gov.za/home/Download/?blobName=6ce1ffd9-2e0a-42f7-bdb7-0f3fc7d14958.pdf&amp;downloadedFileName=TENDER%20ADVERT%20FOR%20CONSTRUCTION%20OF%20WARD%2001%20SPORTFIELD-PHASE%203.pdf</t>
  </si>
  <si>
    <t>T2026/05/21/AMSCA</t>
  </si>
  <si>
    <t>PROPOSALS ARE INVITED FROM RECOGNIZED REGISTERED PROFESSIONALS TO SUBMIT PROPOSALS FOR PROVIDING ASSET MANAGEMNT SUPPORT AND CONDITIONS ASSESSMENT ON ALL THE TANGIBLE AND INTANGIBLE CAPITAL ASSETS FOR UMVOTI MUNICIPALITY FOR THE PERIOD OF 36 MONTHS AS AND WHEN REQUIRED</t>
  </si>
  <si>
    <t>https://www.etenders.gov.za/home/Download/?blobName=bb332bb3-ed66-43a6-8dd2-523599aac06b.pdf&amp;downloadedFileName=advert%20for%20the%20assets%20management%20support%20and%20condition%20assessment%20on%20all%20tangible%20and%20intangible%20capital%20assets.pdf</t>
  </si>
  <si>
    <t>ULM-BTO 003 / 26</t>
  </si>
  <si>
    <t>Supply, Deliver and Printing of Consumer Accounts Statements (36 Months Contract) - re-advert</t>
  </si>
  <si>
    <t>Umzimkhulu Local Municipality</t>
  </si>
  <si>
    <t>uMzimkhulu Municipality Makhosini Building Boardroom,247 Mzimkhulu Mlonyana Street, uMzimkhulu 3297.</t>
  </si>
  <si>
    <t>https://www.etenders.gov.za/home/Download/?blobName=3cbb4ed0-e628-49e4-bc78-e8f730f249c6.pdf&amp;downloadedFileName=25-05-2026%20QUOTATION%20RE-ADVERT%20-%20SUPPLY,%20DEVILER%20AND%20PRINTING%20OF%20CONSUMER%20ACCOUNTS%20STATEMENTS%20(36%20MONTHS%20CONTRACT).pdf</t>
  </si>
  <si>
    <t>RFQ/VDM/TECH/15/05/2026/02</t>
  </si>
  <si>
    <t>REQUSET FOR BOREHOLE BEARING FOR SHAFTS</t>
  </si>
  <si>
    <t>https://www.etenders.gov.za/home/Download/?blobName=876e320c-ab37-49c1-878b-7f546350047b.pdf&amp;downloadedFileName=REQUEST%20FOR%20BOREHOLE%20BEARING%20FOR%20SHAFTS.pdf</t>
  </si>
  <si>
    <t>OVI012605RFQ00000014</t>
  </si>
  <si>
    <t>Agricultural Research Council</t>
  </si>
  <si>
    <t>https://www.etenders.gov.za/home/Download/?blobName=148b7da4-56b8-4b6f-95e4-008826d6ee34.pdf&amp;downloadedFileName=specs%20for%20toxoplasma.pdf</t>
  </si>
  <si>
    <t>OVI012605RFQ00000013</t>
  </si>
  <si>
    <t>https://www.etenders.gov.za/home/Download/?blobName=0814c688-8bbd-46a0-a669-5fcbb5613d68.pdf&amp;downloadedFileName=specs%20printers.pdf</t>
  </si>
  <si>
    <t>WTE-2609ES</t>
  </si>
  <si>
    <t>SUPPLY &amp; DELIVERY OF BUILT IN CUPBOARDS &amp; STOVES IN THREE (03) HOUSES AT MIDMAR UNDER EASTERN OPERATIONS</t>
  </si>
  <si>
    <t>Water and Sanitation</t>
  </si>
  <si>
    <t>Manufacture of furniture</t>
  </si>
  <si>
    <t>MIDMAR DAM: SECURITY ENTRANCE</t>
  </si>
  <si>
    <t>https://www.etenders.gov.za/home/Download/?blobName=43de193f-0e63-4899-ae56-6a64c68c8761.pdf&amp;downloadedFileName=Drawings%20with%20specifications.pdf</t>
  </si>
  <si>
    <t>ATNS/RFQ/02/2026/13/ATS_Smart TV FAOR and FACT-2</t>
  </si>
  <si>
    <t>APPOINTMENT OF A SERVICE PROVIDER FOR THE SUPPLY, DELIVERY AND INSTALLATION OF SMART TV EQUIPPED WITH USB AND HDMI PORTS, WHITEBOARDS, RETRACTABLE SCREENS, BINDING MACHINES, LAMINATING MACHINES, MAGNETIC GLASS WHITEBOARDS, SHREDDER FOR CAPETOWN (FACT) AND OR TAMBO (FAOR)</t>
  </si>
  <si>
    <t>Air Traffic and Navigation Services Company Limited</t>
  </si>
  <si>
    <t>https://www.etenders.gov.za/home/Download/?blobName=0932a41d-49e0-4803-9e64-a9add9f7201a.pdf&amp;downloadedFileName=Bid%20Document.docx.pdf</t>
  </si>
  <si>
    <t>T2025/26/026</t>
  </si>
  <si>
    <t>Refurbishment and Upgrade of Protea Drive Bridge in Cool Air Ward 7</t>
  </si>
  <si>
    <t>uMshwathi local Municipality</t>
  </si>
  <si>
    <t>New Hanover Community Hall</t>
  </si>
  <si>
    <t>https://www.etenders.gov.za/home/Download/?blobName=df421157-65ff-47b5-b22e-ba35f0615cc2.pdf&amp;downloadedFileName=Refurbishment%20and%20Upgrade%20of%20Protea%20Drive%20Bridge%20Tender%20Advert%20Signed.pdf</t>
  </si>
  <si>
    <t>CSIR RFP 1227/08/06/2026</t>
  </si>
  <si>
    <t>16:30</t>
  </si>
  <si>
    <t>Request for Proposals (RFP) Appointment of a service provider to assess existing Eco-Industrial Parks (EIP) incentives and identify non- energy related incentives that support EIP transformation for the CSIR</t>
  </si>
  <si>
    <t>Council for Scientific and Industrial Research (CSIR)</t>
  </si>
  <si>
    <t>https://www.etenders.gov.za/home/Download/?blobName=7041de24-55e0-4526-8e1b-63325bce0bf3.pdf&amp;downloadedFileName=RFP%201227-08-06-2026%20RFP%20Support%20development%20of%20EIP%20Incentives.pdf</t>
  </si>
  <si>
    <t>T2026/05/18/SDAMB</t>
  </si>
  <si>
    <t>SUPPLY, DELIVERY, INSTALLATION, MAINTENANCE AND MONITORING ALARM,ARMED RESPONSE AND BANKING SERVICES FOR THE PERIOD OF 36 MONTHS</t>
  </si>
  <si>
    <t>https://www.etenders.gov.za/home/Download/?blobName=ebaf5943-2730-48be-be09-01b2068560c8.pdf&amp;downloadedFileName=SUPPLY,%20DELIVERY,%20INSTALLATION,%20MAINTENANCE%20AND%20MONITORING%20ARLAM,%20ARMED%20RESPONSE.pdf</t>
  </si>
  <si>
    <t>CTC 12</t>
  </si>
  <si>
    <t>INSPECTION, TESTING AND COMPILATION OF REPORT FOR EXISTING ON-SITE GAS INSTALLATION AND GAS APPLIANCES AT DEPARTMENT OF WATER AND SANITATION INFRASTRUCTURE IBTS ROODEPLAAT, NEAR KWAMHLANGA ROAD IN PRETORIA</t>
  </si>
  <si>
    <t>https://www.etenders.gov.za/home/Download/?blobName=43dbcddc-c05f-4a2c-ade7-2ab75744fe85.pdf&amp;downloadedFileName=CTC%2012%20INSPECTION,%20TESTING%20AND%20COMPILATION%20OF%20REPORT%20FOR%20EXISTING%20ON-SITE%20GAS%20INSTALLATION%20AND%20GAS%20APPLIANCES%20AT%20DEPARTMENT%20OF%20WATER%20AND%20SANITATION%20INFRASTRUCTURE%20IBTS%20ROODEPLAAT,%20NEAR%20KWAMHLANGA%20ROAD%20IN%20PRETORIA.pdf</t>
  </si>
  <si>
    <t>8-2-1-602</t>
  </si>
  <si>
    <t>REPAIR AND REFURBISHMENT OF EZIBOMVU GRAVEL ROAD IN WARD 14</t>
  </si>
  <si>
    <t>Abaqulusi Local Municipality</t>
  </si>
  <si>
    <t>https://www.etenders.gov.za/home/Download/?blobName=99dcfe5f-1457-495b-b201-14d4ab2ac485.pdf&amp;downloadedFileName=EZIBOMVU%20TENDER%20DOCUMENT%208-2-1-602.pdf</t>
  </si>
  <si>
    <t>OVI012605RFQ00000012</t>
  </si>
  <si>
    <t>https://www.etenders.gov.za/home/Download/?blobName=ec582093-8489-4822-9ab2-cbf18f12b1b7.pdf&amp;downloadedFileName=specs%20ph%20meter%20neil.pdf</t>
  </si>
  <si>
    <t>8-2-1-590</t>
  </si>
  <si>
    <t>HIRE OF WATER TANKERS FOR KHAMBI AND CORONATION AREA FOR A PERIOD OF 36 MONTHS</t>
  </si>
  <si>
    <t>Water transport</t>
  </si>
  <si>
    <t>https://www.etenders.gov.za/home/Download/?blobName=98bd48e1-1a5d-4c45-8867-63ec32ce9477.pdf&amp;downloadedFileName=HIRE%20OF%20WATER%20TANKERSFOR%20KHAMBI%20AND%20CORONATION%20AREA%20FOR%20PERIOD%20OF%2036%20MONTHS%208-2-1-590.pdf</t>
  </si>
  <si>
    <t>8-2-1-589</t>
  </si>
  <si>
    <t>HIRE OF WATER TANKERS FOR HLAHLINDLELA AREA FOR A PERIOD OF 36 MONTHS</t>
  </si>
  <si>
    <t>https://www.etenders.gov.za/home/Download/?blobName=1e4d9b62-7462-4071-881f-e6b9d360a53c.pdf&amp;downloadedFileName=HIRE%20OF%20WATER%20TANKERSFOR%20HLAHLINDLELA%20AREA%20FOR%20PERIOD%20OF%2036%20MONTHS%208-2-1-589.pdf</t>
  </si>
  <si>
    <t>8-2-1-603</t>
  </si>
  <si>
    <t>CONSTRUCTION OF SIGODINI GRAVEL ROAD WARD 15</t>
  </si>
  <si>
    <t>https://www.etenders.gov.za/home/Download/?blobName=03acd6fb-393e-4711-8a37-9d93d86c2911.pdf&amp;downloadedFileName=ESIGODINI%20TENDER%20DOCUMENT%208-2-1-603.pdf</t>
  </si>
  <si>
    <t>8-2-1-610</t>
  </si>
  <si>
    <t>REPAIR AND REFURBISHMENT OF NKONGOLWANE GRAVEL ROAD IN WARD 23</t>
  </si>
  <si>
    <t>https://www.etenders.gov.za/home/Download/?blobName=3975ad8c-5f10-4a16-9464-b2730a8765d9.pdf&amp;downloadedFileName=NKONGOLWANE%20TENDER%20DOCUMENT%208-2-1-610.pdf</t>
  </si>
  <si>
    <t>8-2-1-608</t>
  </si>
  <si>
    <t>REPAIR AND REFURBISHMENT OF St JUTE GRAVEL ROAD IN WARD 21</t>
  </si>
  <si>
    <t>https://www.etenders.gov.za/home/Download/?blobName=a1323407-bd88-4595-9f47-259d741fcb2b.pdf&amp;downloadedFileName=ST.%20JUTE%20TENDER%20DOCUMENT%208-2-1-608.pdf</t>
  </si>
  <si>
    <t>8-2-1-600</t>
  </si>
  <si>
    <t>REPAIR AND REFURBISHMENT OF HLUMA (NSEKA) GRAVEL ROAD IN WARD 13</t>
  </si>
  <si>
    <t>https://www.etenders.gov.za/home/Download/?blobName=a11ad1bf-8ac7-42c8-98b1-52c784a5c34c.pdf&amp;downloadedFileName=HLUMA%20TENDER%20DOCUMENTS%208-2-1-600.pdf</t>
  </si>
  <si>
    <t>8-2-1-594</t>
  </si>
  <si>
    <t>REPAIR AND REFURBISHMENT OF NGOTSHE GRAVEL ROAD IN WARD 1</t>
  </si>
  <si>
    <t>https://www.etenders.gov.za/home/Download/?blobName=ee09251d-7f1b-407b-a27a-ecc88259117a.pdf&amp;downloadedFileName=NGOTSHE%20TENDER%20DOCUMENT%208-2-1-594.pdf</t>
  </si>
  <si>
    <t>8-2-1-604</t>
  </si>
  <si>
    <t>REPAIR AND REFURBISHMENT OF KHOKHOBA GRAVEL ROAD IN WARD 16</t>
  </si>
  <si>
    <t>https://www.etenders.gov.za/home/Download/?blobName=beb6369b-7e93-4518-8b26-42cff535942b.pdf&amp;downloadedFileName=KHOKHOBA%20TENDER%20DOCUMENTS%208-2-1-604.pdf</t>
  </si>
  <si>
    <t>8-2-1-605</t>
  </si>
  <si>
    <t>REPAIR AND REFURBISHMENT OF MVUZINI (NCECENI) GRAVEL ROAD IN WARD 17</t>
  </si>
  <si>
    <t>https://www.etenders.gov.za/home/Download/?blobName=8f908ab6-b20d-472d-a013-a91bae3d0963.pdf&amp;downloadedFileName=EMVUZINI%20TENDER%20%20DOCUMENT%208-2-1-605.pdf</t>
  </si>
  <si>
    <t>ASA 07/05/2026</t>
  </si>
  <si>
    <t>RE-ADVERT: APPOINTMENT OF A SUITABLE SERVICE PROVIDER TO RENDER DESIGN, LAYOUT, EDIT, PROOFREAD, AND PRINTING OF THE ANNUAL REPORT AND APP FOR THE PERIOD OF THREE (3) YEARS.</t>
  </si>
  <si>
    <t>Agrément South Africa</t>
  </si>
  <si>
    <t>https://www.etenders.gov.za/home/Download/?blobName=23c1ba01-f37e-46e2-9c3a-69c8f645d6e2.pdf&amp;downloadedFileName=Terms%20of%20Reference%20-%20AR%20and%20APP.pdf</t>
  </si>
  <si>
    <t>8-2-1-606</t>
  </si>
  <si>
    <t>REPAIR AND REFURBISHMENT OF EMKHUMBANE GRAVEL ROAD IN WARD 18</t>
  </si>
  <si>
    <t>https://www.etenders.gov.za/home/Download/?blobName=f2885064-2716-4081-9095-d48a898d35b3.pdf&amp;downloadedFileName=EMKHUMBANE%20TENDER%20DOCUMENT%208-2-1-606.pdf</t>
  </si>
  <si>
    <t>8-2-1-598</t>
  </si>
  <si>
    <t>REPAIR AND REFURBISHMENT OF MZWEZWE (EAST MINE) GRAVEL ROAD IN WARD 6</t>
  </si>
  <si>
    <t>https://www.etenders.gov.za/home/Download/?blobName=42fd303e-d563-4f0e-822a-394652895f83.pdf&amp;downloadedFileName=MZWEZWE%20TENDER%20DOCUMENT%208-2-1-598.pdf</t>
  </si>
  <si>
    <t>8-2-1-599</t>
  </si>
  <si>
    <t>REPAIR AND REFURBISHMENT OF SASKO GRAVEL ROAD IN WARD 8</t>
  </si>
  <si>
    <t>https://www.etenders.gov.za/home/Download/?blobName=66e63abe-fc01-4ae6-a4d5-3dc35a16d8b8.pdf&amp;downloadedFileName=SASKO%20TENDER%20DOCUMENT%208-2-1-599.pdf</t>
  </si>
  <si>
    <t>8-2-1-596</t>
  </si>
  <si>
    <t>REPAIR AND REFURBISHMENT OF KHENCE (NGENETSHENI) GRAVEL ROAD IN WARD 3</t>
  </si>
  <si>
    <t>https://www.etenders.gov.za/home/Download/?blobName=43a9d9e3-0ed6-41f8-b613-aaa422fb37c6.pdf&amp;downloadedFileName=NGENETSHENI%20TENDER%20DOCUMENT%208-2-1-596.pdf</t>
  </si>
  <si>
    <t>8-2-1-601</t>
  </si>
  <si>
    <t>REPAIR AND REFURBISHMENT OF MBAMBONGOCU GRAVEL ROAD IN WARD 2</t>
  </si>
  <si>
    <t>https://www.etenders.gov.za/home/Download/?blobName=6af4bf80-f70b-43d7-9b08-6711883524aa.pdf&amp;downloadedFileName=MBAMBONGOCU%20TENDER%20DOCUMENT%208-2-1-601.pdf</t>
  </si>
  <si>
    <t>8-2-1-607</t>
  </si>
  <si>
    <t>REPAIR AND REFURBISHMENT OF BHEKUMTHETHO GRAVEL ROAD IN WARD 19</t>
  </si>
  <si>
    <t>https://www.etenders.gov.za/home/Download/?blobName=b1d4773e-5b0c-4f21-bcd5-5c0648967a1c.pdf&amp;downloadedFileName=BHEKUMTHETHO%20TENDER%20DOCUMENT%20-%208-2-1-607.pdf</t>
  </si>
  <si>
    <t>8-2-1-611</t>
  </si>
  <si>
    <t>REHABILITATION 0F ABAQULUSI LOCAM MUNICIPAL OFFICES AT EMONDLO</t>
  </si>
  <si>
    <t>https://www.etenders.gov.za/home/Download/?blobName=484dcf3b-6a15-40d0-bf62-e8a659021b6e.pdf&amp;downloadedFileName=EMONDLO%20OFFICE%20TENDER%20DOCUMENT%208-2-1-611.pdf</t>
  </si>
  <si>
    <t>RFP NO.: KNP-286328</t>
  </si>
  <si>
    <t>SUPPLY AND INSTALL ELEPHANT DETTERENCE PANELS WITH PROTRUDING RODS ALONG THE WESTERN BOUNDARY OF KNP FOR A DISTANCE OF 1KM.</t>
  </si>
  <si>
    <t>South African National Parks</t>
  </si>
  <si>
    <t>Link: Meeting link Dial in by phone +27 21 834 0814,,954626824#Phone conference ID: 954 626 824#</t>
  </si>
  <si>
    <t>https://www.etenders.gov.za/home/Download/?blobName=816c961e-4181-4650-814a-a2aec67c914f.pdf&amp;downloadedFileName=SANParks%20RFP%20No.KNP-286328%20Supply%20and%20install%20elephant%20detterent%20Panels%20with%20protruding%20rods%20along%20western%20boundary.%202026-1.pdf</t>
  </si>
  <si>
    <t>RFQ- 309219</t>
  </si>
  <si>
    <t>THE APPOINTMENT OF A SERVICE PROVIDER TO CONDUCT AN OCCUPATIONAL HYGIENE SURVEY AT THE KRUGER NATIONAL PARK.</t>
  </si>
  <si>
    <t>https://www.etenders.gov.za/home/Download/?blobName=7e3a03c1-3dd9-4cb5-a3b1-1a5cdfc069ff.pdf&amp;downloadedFileName=SANParks-RFQ_-HYGIENE%20SURVEY.pdf</t>
  </si>
  <si>
    <t>KNP-001-26</t>
  </si>
  <si>
    <t>APPOINTMENT OF A PANEL OF SERVICE PROVIDERS FOR THE SUPPLY, DELIVERY AND INSTALLATION OF WATER AND WASTEWATER PUMPS ON AS AND WHEN REQUIRED IN THE KRUGER NATIONAL PARK FOR THE PERIOD OF FIVE (5) YEARS.</t>
  </si>
  <si>
    <t>https://www.etenders.gov.za/home/Download/?blobName=2b61ca4c-9f52-40ff-9e3e-9d241a06b5d0.pdf&amp;downloadedFileName=KNP-001-26%20-%20SANPARKS%20BID%20DOCUMENT%20-SUPPLY%20DELIVERY%20AND%20INSTALLATION%20OF%20WATER%20%20WASTEWATER%20PUMPS.pdf</t>
  </si>
  <si>
    <t>RFQ NO.289583/SK/2026</t>
  </si>
  <si>
    <t>SUPPLY AND DELIVER OF AVGAS FUEL TO AIR SERVICES AT KRUGER NATIONAL PARK SKUKUZA CAMP</t>
  </si>
  <si>
    <t>Manufacture of coke and refined petroleum products</t>
  </si>
  <si>
    <t>https://www.etenders.gov.za/home/Download/?blobName=d64ccb0b-ae64-45ea-ad40-d08e0e3cbb11.pdf&amp;downloadedFileName=SANParks%20RFQ%20No.%20289583.pdf</t>
  </si>
  <si>
    <t>EPMLM/8/3/526 RE-ADVERT</t>
  </si>
  <si>
    <t>Appointment of a panel of audit firms for co-sourcing of the internal audit projects for a period of 36 months on an as and when required basis (RE-ADVERT)</t>
  </si>
  <si>
    <t>Ephraim Mogale Local Municipality</t>
  </si>
  <si>
    <t>https://www.etenders.gov.za/home/Download/?blobName=ad0bd9ae-9fcf-43a4-8c88-e509b73d62aa.pdf&amp;downloadedFileName=Various%20Projects%2026%20May%202026.pdf</t>
  </si>
  <si>
    <t>QUOTATION No. Q12/1315 OF 25/26</t>
  </si>
  <si>
    <t>APPOINTMENT OF SERVICE PROVIDER FOR THE FIRE DEPARTMENT INSURANCE REPAIRS TO FIRE DAMAGED SINGLE SLEEPING QUARTERS</t>
  </si>
  <si>
    <t>https://www.etenders.gov.za/home/Download/?blobName=3e674b03-2b08-4a39-8f26-624b3cc55907.pdf&amp;downloadedFileName=Quotation%20No.%2012%20-%201315%20Document.pdf</t>
  </si>
  <si>
    <t>SAMSA/116/2025/26:</t>
  </si>
  <si>
    <t>REQUEST FOR PROSPECTIVE BIDDERS TO SUBMIT A PROPOSAL FOR PROVISION OF OFF-SITE PHYSICAL RECORD MANAGEMENT SERVICES REQUIRED FOR A PERIOD OF THREE (3) YEARS .</t>
  </si>
  <si>
    <t>South African Maritime Safety Authority</t>
  </si>
  <si>
    <t>https://teams.microsoft.com/meet/399413092643673?p=xYldu7lxh8kZCe4nfx</t>
  </si>
  <si>
    <t>https://www.etenders.gov.za/home/Download/?blobName=c1f67bac-1f64-4a94-8df0-dac4d3c63397.pdf&amp;downloadedFileName=Offsite%20Storage%20-%20Final%20Bid%20Doc.pdf</t>
  </si>
  <si>
    <t>SCMU10-26/27-0003</t>
  </si>
  <si>
    <t>APPOINTMENT OF A PANEL OF SERVICE PROVIDERS FOR THE CONSTRUCTION OF ANCILLIARY WORKS ON ROADS IMPLEMENTED THROUGH IN HOUSE CONSTRUCTION TEAMS FOR A PERIOD OF 36 MONTHS</t>
  </si>
  <si>
    <t>Eastern Cape - Transport</t>
  </si>
  <si>
    <t>https://www.etenders.gov.za/home/Download/?blobName=5bf045bb-3d04-4192-9aa9-dabf8e22378a.pdf&amp;downloadedFileName=Panel%20for%20Ancilliary%20Works.pdf</t>
  </si>
  <si>
    <t>SCMU10–26/27-0002</t>
  </si>
  <si>
    <t>PANEL FOR THE SUPPLY AND DELIVERY OF CONCRETE WORKS MATERIAL / INVENTORY FOR A PERIOD OF THIRTY-SIX (36) MONTHS</t>
  </si>
  <si>
    <t>https://www.etenders.gov.za/home/Download/?blobName=74b526f6-7a28-4302-990b-386687f172da.pdf&amp;downloadedFileName=Panel%20for%20Concrete%20Products-2026.pdf</t>
  </si>
  <si>
    <t>X.004-146-2025-1F</t>
  </si>
  <si>
    <t>SUB-CONTRACT TO UNDERTAKE PAVEMENT INVESTIGATIONS, MATERIALS TESTING, AND RELATED QUALITY CONTROL ACTIVITIES FOR THE EMERGENCY ROUTINE ROAD MAINTENANCE ON NATIONAL ROUTE R59 (SECTIONS 2–3) AND NATIONAL ROUTE R30 (SECTIONS 4–6) IN THE LEJWELEPUTSWA DISTRICT MUNICIPALITY</t>
  </si>
  <si>
    <t>South African National Roads Agency Soc Limited (SANRAL)</t>
  </si>
  <si>
    <t>Services to buildings and landscape activities</t>
  </si>
  <si>
    <t>https://www.etenders.gov.za/home/Download/?blobName=176dae1b-fde4-4d9f-8ace-1121ffbf8beb.zip&amp;downloadedFileName=X.004-146-2026_1F%20-%20Sub-Consultant%20Advert.zip</t>
  </si>
  <si>
    <t>WTC (STB) 01/2026</t>
  </si>
  <si>
    <t>For supply, delivery and off-loading of branded student bags, rulers, lanyards and pencil cases on an as and when required basis for a period of thirty-six (36) months.</t>
  </si>
  <si>
    <t>WESTERN COLLEGE TVET (WESTCOL)</t>
  </si>
  <si>
    <t>https://www.etenders.gov.za/home/Download/?blobName=bb367007-b775-45e6-8e07-20efa92d0272.pdf&amp;downloadedFileName=Student%20Bags%20document%202026.pdf</t>
  </si>
  <si>
    <t>WTC (SCM) 02/2026</t>
  </si>
  <si>
    <t>For the supply, delivery and off-loading of stationery at Western TVET college six sites as and when required for a period of three (3) years.</t>
  </si>
  <si>
    <t>Supplies: Stationery/Printing</t>
  </si>
  <si>
    <t>https://www.etenders.gov.za/home/Download/?blobName=c15e27f2-4c92-4c98-bc50-7b0b15d6c8ed.docx&amp;downloadedFileName=advert%20tender%20Stationery.docx</t>
  </si>
  <si>
    <t>MISA/WSA/002/2026/2027</t>
  </si>
  <si>
    <t>APPOINTMENT OF A BIDDER TO CONDUCT HUMAN TECHNICAL CAPACITY ASSESSMENT IN 12 (MUNICIPALITIES) WATER SERVICE AUTHORITIES IN MPUMALANGA PROVINCE</t>
  </si>
  <si>
    <t>Municipal Infrastructure Support Agent</t>
  </si>
  <si>
    <t>Microsoft Teams meeting Join: https://teams.microsoft.com/meet/396732454452173?p=XO1YN0yQS2ngPakhIh</t>
  </si>
  <si>
    <t>https://www.etenders.gov.za/home/Download/?blobName=e28f71ef-a238-4dfd-9a4d-5294982b5c1e.pdf&amp;downloadedFileName=FOR%20ADVERT%20Final%20TORs%20Human%20Technical%20Capacity%20Assessment-%2026%20May%202026.pdf</t>
  </si>
  <si>
    <t>E1444DXLPV</t>
  </si>
  <si>
    <t>23:30</t>
  </si>
  <si>
    <t>Request to extend Validity Period (NO.3) for the pre-qualification of a panel of ten (10) contractors for the construction and dismantling of High Voltage (HV) distribution lines for voltages ranging from 44kV up to and including 132kV. The panel will include refurbishment, strengthening and direct customer projects within Limlanga Cluster- Limpopo, on an “as and when” required basis over a period of 60 months</t>
  </si>
  <si>
    <t>https://www.etenders.gov.za/home/Download/?blobName=4cc0b6df-e5b0-43cf-84ad-34b1f972de38.pdf&amp;downloadedFileName=Letter%20to%20extend%20validity%20-01%20Jul%202026%20till%2031%20Mar%202027.pdf</t>
  </si>
  <si>
    <t>EPMLM/8/3/548</t>
  </si>
  <si>
    <t>Appointment of various service providers for the planning and execution of the 2026 STATE OF THE MUNICIPAL ADDRESS</t>
  </si>
  <si>
    <t>https://www.etenders.gov.za/home/Download/?blobName=5fa942a0-1124-45c5-bd33-42210e12df23.pdf&amp;downloadedFileName=Various%20Projects%2026%20May%202026.pdf</t>
  </si>
  <si>
    <t>SASSA:02-26-FAC-NW</t>
  </si>
  <si>
    <t>LEASING OF OFFICE ACCOMMODATION FOR SASSA NORTH-WEST REGION FOR A PERIOD OF FIVE (5) YEARS IN MADIBENG CBD.</t>
  </si>
  <si>
    <t>South African Social Security Agency</t>
  </si>
  <si>
    <t>Accommodation</t>
  </si>
  <si>
    <t>VIRTUAL(MICROSOFT TEAMS) Meeting ID and Password on Cover Page of the invitation</t>
  </si>
  <si>
    <t>https://www.etenders.gov.za/home/Download/?blobName=4b85534d-f44e-4776-8685-3e88d5048c2d.pdf&amp;downloadedFileName=SASSA%2002-26-FAC-NW%20Leasing%20of%20office%20accomodation%20for%20SASSA%20North%20West%20Region%20for%20a%20%20period%20of%20five(5)%20yearas%20in%20Madibeng%20CBD.pdf</t>
  </si>
  <si>
    <t>ASA 08/05/2026</t>
  </si>
  <si>
    <t>Appointment of a Construction Materials Expert to advise the TECHNICAL EXECUTIVE COMMITTEE of Agrément South Africa.</t>
  </si>
  <si>
    <t>Architectural and engineering activities; technical testing and analysis</t>
  </si>
  <si>
    <t>https://www.etenders.gov.za/home/Download/?blobName=61514790-67b3-49cf-8b4b-275d87d36689.pdf&amp;downloadedFileName=General%20Conditions%20of%20Contract.pdf</t>
  </si>
  <si>
    <t>ASA 09/05/2026</t>
  </si>
  <si>
    <t>Appointment of a Sanitation Expert to Advise the Technical Executive Committee of Agrément South Africa.</t>
  </si>
  <si>
    <t>https://www.etenders.gov.za/home/Download/?blobName=bb274b16-1f45-4063-bf41-4333eb7e2765.pdf&amp;downloadedFileName=SBD%204.pdf</t>
  </si>
  <si>
    <t>EPMLM/8/3/546</t>
  </si>
  <si>
    <t>Routine Maintenance of the Municipal ICT Infrastructure and Support Provision for a period of 36 Months</t>
  </si>
  <si>
    <t>https://www.etenders.gov.za/home/Download/?blobName=80e7155e-b6f8-4514-9dc3-6f1310d6dd52.pdf&amp;downloadedFileName=Various%20Projects%2026%20May%202026.pdf</t>
  </si>
  <si>
    <t>TPT/2026/05/0516/5969/RFQ - PPA-122028</t>
  </si>
  <si>
    <t>FOR THE PROVISION WATER TANKERS FOR THREE (3) MONTHS SERVICE LEASE DL3100 AGREEMENT CONTRACT FOR TRANSNET SOC LTD.</t>
  </si>
  <si>
    <t>https://www.etenders.gov.za/home/Download/?blobName=987365ad-b569-4254-8417-b87607035043.pdf&amp;downloadedFileName=RFQ%20-%20PPA-122028.pdf</t>
  </si>
  <si>
    <t>TPT/2026/05/0526/6063/RFQ</t>
  </si>
  <si>
    <t>FOR THE PROVISION OF TWO EQUIPMENT HIRE SERVICES (TLB) FOR FOUR (4) MONTHS FOR TRANSNET PORT TERMINALS, RICHARDS BAY</t>
  </si>
  <si>
    <t>https://www.etenders.gov.za/home/Download/?blobName=65bc91a1-353f-4cd8-ab30-4715541e471b.pdf&amp;downloadedFileName=RFQ-PPA-110613.pdf</t>
  </si>
  <si>
    <t>CCMA/2026/19/EK</t>
  </si>
  <si>
    <t>APPOINTMENT OF A SERVICE PROVIDER FOR THE PROVISION OF CLEANING SERVICES AT THE CCMA EKURHULENI OFFICE FOR A PERIOD OF SIXTY (60) MONTHS</t>
  </si>
  <si>
    <t>Commission for Conciliation Mediation &amp; Arbitration</t>
  </si>
  <si>
    <t>virtual</t>
  </si>
  <si>
    <t>https://www.etenders.gov.za/home/Download/?blobName=40dceeb5-1da7-4480-a3f8-13c21b56a2d7.pdf&amp;downloadedFileName=BID%20DOCUMENT-APPOINTMENT%20OF%20A%20SERVICE%20PROVIDER%20FOR%20THE%20PROVISION%20OF%20CLEANING%20SERVICES%20AT%20THE%20CCMA%20EKURHULENI%20OFFICE%20FOR%20A%20PERIOD%20OF%20SIXTY%20(60)%20MONTHS.pdf</t>
  </si>
  <si>
    <t>CCMA/2026/02/TSH</t>
  </si>
  <si>
    <t>PROVISION OF HYGIENE SERVICES FOR THE CCMA TSHWANE OFFICE FOR A PERIOD OF SIXTY (60) MONTHS</t>
  </si>
  <si>
    <t>MS Teams</t>
  </si>
  <si>
    <t>https://www.etenders.gov.za/home/Download/?blobName=05c4079f-747a-49e2-82f0-b995f52280bd.pdf&amp;downloadedFileName=PROVISION%20OF%20HYGIENE%20SERVICES%20FOR%20THE%20CCMA%20TSHWANE%20OFFICE%20FOR%20A%20PERIOD%20OF%20SIXTY%20(60)%20MONTHS_.pdf</t>
  </si>
  <si>
    <t>CCMA/2026/21/JHB</t>
  </si>
  <si>
    <t>APPOINTMENT OF A SERVICE PROVIDER FOR THE PROVISION OF HYGIENE SERVICES FOR THE CCMA JOHANNESBURG OFFICE FOR A PERIOD OF 60 MONTHS COMMENCING ON 01 JULY 2027 TO 30 JUNE 2032</t>
  </si>
  <si>
    <t>Link</t>
  </si>
  <si>
    <t>https://www.etenders.gov.za/home/Download/?blobName=be865cb9-a76f-4b9f-bbb4-73bbb1a8ddc1.pdf&amp;downloadedFileName=BID%20DOCUMENT-THE%20APPOINTMENT%20OF%20A%20SERVICE%20PROVIDER%20FOR%20THE%20PROVISION%20OF%20HYGIENE%20SERVICES%20FOR%20THE%20CCMA%20JOHANNESBURG%20OFFICE%20FOR%20A%20PERIOD%20OF%2060%20MONTHS.pdf</t>
  </si>
  <si>
    <t>EPMLM/8/3/547</t>
  </si>
  <si>
    <t>Appointment of a panel for supply and delivery of information communication and technology (ICT) hardware and peripheral for a period of 36 months on an as and when basis</t>
  </si>
  <si>
    <t>https://www.etenders.gov.za/home/Download/?blobName=a5f3886b-c74a-48e6-bab0-03d55e20861d.pdf&amp;downloadedFileName=Various%20Projects%2026%20May%202026.pdf</t>
  </si>
  <si>
    <t>RFQ/VDM/OEM/25/05/2026/01</t>
  </si>
  <si>
    <t>REQUEST FOR DECORATION: CHURCH HALL TO ACCOMODATE 1300 PEOPLE</t>
  </si>
  <si>
    <t>VDM ENTRANCE</t>
  </si>
  <si>
    <t>https://www.etenders.gov.za/home/Download/?blobName=7f9bfa18-eeea-46bd-a8f1-2e496552517b.pdf&amp;downloadedFileName=REQUEST%20FOR%20DECORATION%20CHURCH%20HALL%20TO%20ACCOMODATE%201300%20PEOPLE.pdf</t>
  </si>
  <si>
    <t>RFQ/VDM/OEM/25/05/2026/02</t>
  </si>
  <si>
    <t>SUPPLY AND DELIVERY OF CHAIRS AND TABLES</t>
  </si>
  <si>
    <t>https://www.etenders.gov.za/home/Download/?blobName=5d75d562-b033-4e52-a69e-5e7f33f785f5.pdf&amp;downloadedFileName=SUPPLY%20AND%20DELIVERY%20OF%20CHAIRS%20AND%20TABLES.pdf</t>
  </si>
  <si>
    <t>QUOTATION 12/2025/2026</t>
  </si>
  <si>
    <t>RENTING OF YELLOW FLEET FOR A PERIOD OF 5 DAYS - Three days Hopetown and 2 days Strydenburg</t>
  </si>
  <si>
    <t>Thembelihle Local Municipality</t>
  </si>
  <si>
    <t>https://www.etenders.gov.za/home/Download/?blobName=ebded3be-8113-4514-8163-1ae78ba3c710.pdf&amp;downloadedFileName=Q12%20Hiring%20of%20Yellow%20Fleet%20Quotation.pdf</t>
  </si>
  <si>
    <t>SCMU5-26/27-0003 AMR INF</t>
  </si>
  <si>
    <t>REHABILITATION, RENOVATIONS &amp; REFURBISHMENTS TO VARIOUS DSD SERVICE OFFICES – CLUSTER 3 (CATHCART, STUTTERHEIM, KEISKAMMAHOEK, BHISHO YOUTH CARE CENTRE)</t>
  </si>
  <si>
    <t>Eastern Cape - Roads and Public Works</t>
  </si>
  <si>
    <t>https://www.etenders.gov.za/home/Download/?blobName=8fc19c06-23a9-4e33-ae2c-0a5fe7dc4898.pdf&amp;downloadedFileName=SCMU5%2026-27-0003%20REHABILITATION%20RENOVATIONS%20AND%20REFURBISHMENTS%20TO%20VARIOUS%20DSD%20SERVICES%20OFFICES%20CLUSTER%203.pdf</t>
  </si>
  <si>
    <t>RFQ AB 22/2026</t>
  </si>
  <si>
    <t>APPOINTMENT OF A SERVICE PROVIDER TO SUPPLY AND DELIVER COMPUTER HARDWARE COMPONENTS AT HESSEQUA CAMPUS SOUTH CAPE TVET COLLEGE.</t>
  </si>
  <si>
    <t>https://www.etenders.gov.za/home/Download/?blobName=a93faac5-5802-48e1-bc47-e2912bc4f737.pdf&amp;downloadedFileName=Bid%20document%202226%20COMPUTER%20HARDWARE%20HESSEQUA%20CAMPUS.pdf</t>
  </si>
  <si>
    <t>RFP090/2026</t>
  </si>
  <si>
    <t>APPOINTMENT OF A INTERGRATED DIGITAL MARKETING AND DEVELOPMENT PARTNER</t>
  </si>
  <si>
    <t>Development Bank of Southern Africa</t>
  </si>
  <si>
    <t>Microsoft Teams Meeting, Meeting Link on Tender document</t>
  </si>
  <si>
    <t>https://www.etenders.gov.za/home/Download/?blobName=1e7de66a-6695-49a6-a207-9902b0b11062.pdf&amp;downloadedFileName=RFP090-2026%20Digital%20Agency.pdf</t>
  </si>
  <si>
    <t>AMRC/KfW-FIT/2026/03</t>
  </si>
  <si>
    <t>Provision of Filter Integrity Tester for cGMP sterile filtration applications under the DSTI/KfW/SAMRC Support of Development and Production of Vaccines in South Africa Project</t>
  </si>
  <si>
    <t>Medical Research Council of South Africa</t>
  </si>
  <si>
    <t>Microsoft Teams</t>
  </si>
  <si>
    <t>https://www.etenders.gov.za/home/Download/?blobName=69ea37d7-113d-4b16-afcc-584ac956fbae.pdf&amp;downloadedFileName=KFW%20Advert.pdf</t>
  </si>
  <si>
    <t>SCMA 05/05/04R</t>
  </si>
  <si>
    <t>MINUTES TAKING COURSE</t>
  </si>
  <si>
    <t>The Presidency</t>
  </si>
  <si>
    <t>https://www.etenders.gov.za/home/Download/?blobName=8cdc00d6-a14e-45f8-bce1-52df29f7ec83.pdf&amp;downloadedFileName=RFQ%20for%20Minutes%20Taking.pdf</t>
  </si>
  <si>
    <t>RFQ2026/27-24</t>
  </si>
  <si>
    <t>To appoint a professional service provider for employee wellness services to SAQA for 36 months.</t>
  </si>
  <si>
    <t>The South African Qualifications Authority (SAQA)</t>
  </si>
  <si>
    <t>Human health and social work activities</t>
  </si>
  <si>
    <t>https://www.etenders.gov.za/home/Download/?blobName=966eacec-e37a-497b-8e49-16deaab44fd8.pdf&amp;downloadedFileName=RFQ2026-27-24-Employee%20Wellness%20Services.pdf</t>
  </si>
  <si>
    <t>RFQ 6000263233</t>
  </si>
  <si>
    <t>TRAINING: FOR SAFE HANDLING &amp; STORAGE OF GAS</t>
  </si>
  <si>
    <t>DENEL (Pty) Ltd</t>
  </si>
  <si>
    <t>https://www.etenders.gov.za/home/Download/?blobName=f1fd3e9d-ac82-40ec-9a98-6df01990f8ca.pdf&amp;downloadedFileName=6000263233%2026.05.2026%20151428.pdf</t>
  </si>
  <si>
    <t>RFQJW62SC26</t>
  </si>
  <si>
    <t>RFQJW62SC26 - Appointment of an EAP to conduct Basic Impact Assessment and application of Water Use Licence</t>
  </si>
  <si>
    <t>https://www.etenders.gov.za/home/Download/?blobName=825a523d-af0a-4d11-a3a0-0e7026471b3c.pdf&amp;downloadedFileName=RFQJW62SC26%20-%20Appointment%20of%20an%20EAP%20to%20conduct%20Basic%20Impact%20Assessment%20and%20application%20of%20Water%20Use%20Licence%20.pdf</t>
  </si>
  <si>
    <t>SCMU5-26/27-0005 AMR INF</t>
  </si>
  <si>
    <t>REHABILITATION, RENOVATIONS &amp; REFURBISHMENTS TO VARIOUS DSD SERVICE OFFICES CLUSTER 5 (IDUTYWA CLUSTER OFFICES, IDUTYWA MULTI-PURPOSE, NGQAMAKHWE)</t>
  </si>
  <si>
    <t>https://www.etenders.gov.za/home/Download/?blobName=9925a9e4-7b4f-43c3-a7ec-62e0cec0f48a.pdf&amp;downloadedFileName=SCMU5%2026-27-0005%20REHABILITATION,%20RENOVATIONS%20&amp;%20REFURBISHMENTS%20TO%20VARIOUS%20DSD%20SERVICE%20OFFICES%20CLUSTER%205%20(IDUTYWA%20CLUSTER%20OFFICES,%20IDUTYWA%20MULTI-PURPOSE,%20NGQAMAKHWE).pdf</t>
  </si>
  <si>
    <t>IHLM/192/2025-26/CORP</t>
  </si>
  <si>
    <t>CATERING FOR 450 PEOPLE AT SGCAU SPORT GROUND IN FLAGSTAFF</t>
  </si>
  <si>
    <t>Ingquza Hill Local Municipality</t>
  </si>
  <si>
    <t>https://www.etenders.gov.za/home/Download/?blobName=7f3bd9a6-a305-4b09-beae-96d028d04b16.pdf&amp;downloadedFileName=TENDER%20DOCUMENT%20FOR%20CATERING%20FOR%20450%20PEOPLE%20AT%20SGCAU%20SPORT%20GROUND%20IN%20FLAGSTAFF.pdf</t>
  </si>
  <si>
    <t>IHLM/195/2025-26/MM's</t>
  </si>
  <si>
    <t>TRANSPORT FOR 1440 PEOPLE ATTENDING INGQUZA HILL MEMORIAL LECTURE</t>
  </si>
  <si>
    <t>https://www.etenders.gov.za/home/Download/?blobName=e8e3dc46-865f-443d-b2f9-cec4baf00182.pdf&amp;downloadedFileName=BID%20DOCUMENT%20TRANSPORT%201440%20PEOPLE%20TO%20COMMEMORATION%20OF%20INGQUZA%20HILL%20MEMORIAL%20LECTURE.pdf</t>
  </si>
  <si>
    <t>IHLM/194/2025-26/MM's</t>
  </si>
  <si>
    <t>TRANSPORT FOR 1440 PEOPLE ATTENDING COMMEMORATION OF INGQUZA HILL MASSACRE</t>
  </si>
  <si>
    <t>https://www.etenders.gov.za/home/Download/?blobName=05bf2146-1c7a-47c0-aaec-a088ff9d0e4c.pdf&amp;downloadedFileName=BID%20DOCUMENT%20TRANSPORT%201440%20PEOPLE%20TO%20COMMEMORATION%20OF%20INGQUZA%20HILL%20MASSACRE.pdf</t>
  </si>
  <si>
    <t>IHLM/193/2025-26/MM's</t>
  </si>
  <si>
    <t>TRANSPORT FOR 960 PEOPLE ATTENDING WOMEN EMPOWERMENT PROGRAM</t>
  </si>
  <si>
    <t>https://www.etenders.gov.za/home/Download/?blobName=1060b833-dce6-4b17-9813-b532f7387da1.pdf&amp;downloadedFileName=BID%20DOCUMENT%20TRANSPORT%20960%20PEOPLE%20TO%20WOMEN%20EMPOWERMENT%20PROGRAM.pdf</t>
  </si>
  <si>
    <t>IZIKO RFQ R&amp;E SEP PROJ IGC 26/05/2026</t>
  </si>
  <si>
    <t>REQUEST FOR QUOTATION (RFQ) FOR APPOINTMENT OF A SERVICE PROVIDER FOR SUPPLY OF SPECIALISED MUSEUM MULTIMEDIA (AUDIO) GUIDES</t>
  </si>
  <si>
    <t>https://www.etenders.gov.za/home/Download/?blobName=51f571d2-3882-445a-9453-6db22c620796.pdf&amp;downloadedFileName=RFQ%20R&amp;E%20High-end%20multimedia%20touch%20guide%20devices.pdf</t>
  </si>
  <si>
    <t>IHLM/191/2025-26/COMM</t>
  </si>
  <si>
    <t>SUPPLY AND DELIVERY OF SOCCER KITS AND EQUIPMENT</t>
  </si>
  <si>
    <t>https://www.etenders.gov.za/home/Download/?blobName=b92b3302-bc0c-4c6e-ad0c-78b9496d8cff.pdf&amp;downloadedFileName=TENDER%20DOCUMENT%20SUPPLY%20AND%20DELIVERY%20OF%20SOCCER%20KITS%20AND%20EQUIPMENT.pdf</t>
  </si>
  <si>
    <t>KZN/PRASA/2026/05/02/Q-1</t>
  </si>
  <si>
    <t>REQUEST FOR QUOTATION (RFQ): THE APPOINTEMT OF A SERVICE PROVIDER FOR SUPPLY, DELIVER AND INSTALLATION OF HEAVY-DUTY EXTRACTOR FANS AND ASSOCIATED ACCESSORIES IN VARIOUS LOCATIONS IN KZN REGION FOR A PERIOD OF SIX (6) MONTHS.</t>
  </si>
  <si>
    <t>65 MASABALALA YENGWA AVENUE, GREYVILLE, DURBAN STATION, SHOSHOLOZA MEYL WAITING AREA.</t>
  </si>
  <si>
    <t>https://www.etenders.gov.za/home/Download/?blobName=94fdabf3-853e-44eb-aa23-3e20341e5eaa.pdf&amp;downloadedFileName=RFQ%20For%20Supply%20and%20installation%20of%20extractor%20fans%200002.pdf</t>
  </si>
  <si>
    <t>NKO 24/2026</t>
  </si>
  <si>
    <t>APPOINTMENT OF AN ELECTRICAL CONTRACTOR FOR THE INSTALLATION AND COMMISSIONING OF ELECTRICAL MATERIAL AND EQUIPMENT FOR MARLOTH PARK, HECTORSPRUIT AND KOMATIPOORT.</t>
  </si>
  <si>
    <t>Nkomazi Local Municipality</t>
  </si>
  <si>
    <t>Services: Electrical</t>
  </si>
  <si>
    <t>Kobwa Hall, Fish Eagle, Malelane, 1320</t>
  </si>
  <si>
    <t>https://www.etenders.gov.za/home/Download/?blobName=69cdba7d-a59f-4a5a-a898-872adbdcf64b.pdf&amp;downloadedFileName=Tender-electricity.pdf</t>
  </si>
  <si>
    <t>E2791NTCSARER</t>
  </si>
  <si>
    <t>Participation</t>
  </si>
  <si>
    <t>E2791NTCSARE Publication of Names of Bidders in Respect of Advertised Competitive Bids</t>
  </si>
  <si>
    <t>Real estate activities</t>
  </si>
  <si>
    <t>https://www.etenders.gov.za/home/Download/?blobName=86b3500f-5edc-49be-a736-412743cfa6ea.pdf&amp;downloadedFileName=Publication%20of%20Names%20of%20Bidders%20iro%20advertised%20Competitive%20Bids%20-%20E2791NTCSARE.pdf</t>
  </si>
  <si>
    <t>iLABS/RFQ 2026/27:31</t>
  </si>
  <si>
    <t>Appointment of a Service Provider for the Provision of Locum Pharmacist Services As and when required, for a period of twelve (12) months, for the Nuclear Medicine Department at iThemba LABS</t>
  </si>
  <si>
    <t>https://www.etenders.gov.za/home/Download/?blobName=9790d683-c348-4177-a76d-a6cb552a7c59.pdf&amp;downloadedFileName=RFQ%20Locum%20Pharmacist%20Final.pdf</t>
  </si>
  <si>
    <t>E2808GXMPDUVp</t>
  </si>
  <si>
    <t>Publication of Names - The provision of Bus Transportation Services for Eskom Employees on a daily basis, to and from Duvha Power Station from the various areas (Witbank and extensions, Middelburg and extensions including general work shifts)</t>
  </si>
  <si>
    <t>Transportation and storage</t>
  </si>
  <si>
    <t>https://www.etenders.gov.za/home/Download/?blobName=a2c5adef-2bcb-4427-bc74-c5506fac4b10.pdf&amp;downloadedFileName=Publication%20of%20Names%20of%20Bidders%20-%20E2808GXMPDUV.pdf</t>
  </si>
  <si>
    <t>ERI/2025/BMS/15 R</t>
  </si>
  <si>
    <t>Regret letter for Provision of Coal Materials Handling Operating Services, for the daily operations at Grootvlei and Hendrina Power Stations on an as and when required bases for a period of 24 months</t>
  </si>
  <si>
    <t>https://www.etenders.gov.za/home/Download/?blobName=354502c3-fc33-47e3-ae1e-5a0dc662c245.pdf&amp;downloadedFileName=Regret%20Letter%20Template%20for%20Unsuccessful%20Suppliers%20-%20Hendrian%20Ash%20(002).pdf</t>
  </si>
  <si>
    <t>HO/ ICT/ 10368772 / 05 /2026</t>
  </si>
  <si>
    <t>REQUEST FOR QUOTATION FOR OUTDOOR LED SCREEN DIGITAL BILLBOARD</t>
  </si>
  <si>
    <t>30 Wolmarans Street, Braamfontein</t>
  </si>
  <si>
    <t>https://www.etenders.gov.za/home/Download/?blobName=bb5160d9-0d76-40ee-a607-2e6821ae5548.docx&amp;downloadedFileName=RFQ_for%20OUTDOOR%20LED%20SCREEN%20DIGITAL%20BILLBOARD%20%2026%20MAY%202026.docx</t>
  </si>
  <si>
    <t>RFQ 84/2026</t>
  </si>
  <si>
    <t>DESIGN, PRINTING, SUPPLY AND DELIVERY OF WATER CONSERVATION AWARENESS MATERIALS</t>
  </si>
  <si>
    <t>Prince Albert Municipality</t>
  </si>
  <si>
    <t>https://www.etenders.gov.za/home/Download/?blobName=602fb41a-c4a7-4d2a-bab2-105c3674b1ae.pdf&amp;downloadedFileName=PAMun%20Bid%20Notice%20-%20RFQ%2084_2026%20Awareness%20materials.pdf</t>
  </si>
  <si>
    <t>RFQ 86/2026</t>
  </si>
  <si>
    <t>SUPPLY AND DELIVERY OF TOOLS AND EQUIPMENT</t>
  </si>
  <si>
    <t>https://www.etenders.gov.za/home/Download/?blobName=1eb64a9a-34c1-4231-935d-65cc0f8e09c8.pdf&amp;downloadedFileName=PAMun%20Bid%20Notice%20-%20RFQ%2086_2026%20Tools%20and%20equipment.pdf</t>
  </si>
  <si>
    <t>RFQ 85/2026</t>
  </si>
  <si>
    <t>CONSTRUCTION HEALTH &amp; SAFETY SERVICES FOR UPGRADING OF ODENDAAL SPORT FACILITY</t>
  </si>
  <si>
    <t>https://www.etenders.gov.za/home/Download/?blobName=cae89f42-c325-4b9a-845a-dc14b39d5c0d.pdf&amp;downloadedFileName=Bid%20Notice%20-%20RFQ%2085_2026%20(Odendaal%20Sport_Construction%20OHS%20Agent).pdf</t>
  </si>
  <si>
    <t>HDA/NW/2026/004</t>
  </si>
  <si>
    <t>THE APPOINTMENT OF AN ACCREDITED ASBESTOS INSPECTION AUTHORITY (AIA) TEAMS TO UNDERTAKE ASBESTOS INSPECTION AUTHORITY (AIA) SERVICES FOR ASBESTOS ROOFS REMOVAL AND REPLACEMENT OF GOVERNMENT-SUBSIDIZED UNITS WITHIN THE NORTH WEST PROVINCE.</t>
  </si>
  <si>
    <t>https://www.etenders.gov.za/home/Download/?blobName=2b4a6a18-ff78-48e5-94f0-d01e74a516eb.pdf&amp;downloadedFileName=Tender%20Document%20-%20AIA%20Ketlengrivier%20and%20JB%20Marks.pdf</t>
  </si>
  <si>
    <t>RFQ008/2026</t>
  </si>
  <si>
    <t>APPOINTMENT OF A SERVICE PROVIDER TO PROVIDE MOUNTED TRUCK CRANE TRAINING AND RE-CERTIFICATION FOR THE TRUCK OPERATOR.</t>
  </si>
  <si>
    <t>National Regulator for Compulsory Specifications</t>
  </si>
  <si>
    <t>Other professional, scientific and technical activities</t>
  </si>
  <si>
    <t>https://www.etenders.gov.za/home/Download/?blobName=6b087642-89b9-452e-aa62-3f96cf94b288.pdf&amp;downloadedFileName=RFQ%20008.2026%20-%20Request%20for%20quotation%20Crane%20truck%20test%20license%20and%20re-certification%20%202026.pdf</t>
  </si>
  <si>
    <t>NLC2026-007</t>
  </si>
  <si>
    <t>REQUEST FOR PROPOSAL FOR THE APPOINTMENT OF A SERVICE PROVIDER TO IMPLEMENT AND SUPPORT A GOVERNED ENTERPRISE DATA WAREHOUSE AND ANALYTICS PLATFORM FOR THE NLC DIGITAL MODERNISATION PROGRAMME FOR A PERIOD OF FIVE YEARS</t>
  </si>
  <si>
    <t>National Lotteries Commission</t>
  </si>
  <si>
    <t>Information service activities</t>
  </si>
  <si>
    <t>Block D, Htfield Gardens, Corner Hilda and Arcadia Street. Hatfield</t>
  </si>
  <si>
    <t>https://www.etenders.gov.za/home/Download/?blobName=0180a5ec-c06b-4fd8-8419-d3dd09c3760f.xlsx&amp;downloadedFileName=Annexure%20F_NLC2026-007%20-%20Price%20Sechedule.xlsx</t>
  </si>
  <si>
    <t>E2946GXPOU</t>
  </si>
  <si>
    <t>PROVISION OF CONTINUOUS EMISSION MONITORING SYSTEMS (CEMS) CALIBRATION AND CORRELATION TESTING AND BENZENE, TOLUENE, ETHYLBENZENE, AND XYLENES (BTEX) FOR A PERIOD OF 5 YEARS AT ANKERLIG AND GOURIKA GAS TURBINE STATIONS</t>
  </si>
  <si>
    <t>https://www.etenders.gov.za/home/Download/?blobName=6019104d-e003-4fae-88a9-f1e010a301d8.pdf&amp;downloadedFileName=Invitation%20to%20Tender%20(ITT)%20-%20E2946GXPOU%20(003).pdf</t>
  </si>
  <si>
    <t>RFQ 03/05/20266</t>
  </si>
  <si>
    <t>APPOINTMENT OF SERVICE PROVIDER FOR SOIL CONTAMINATION AND CLASSIFICATION TESTS (CHEMICAL ANALYSIS)</t>
  </si>
  <si>
    <t>Kwa-Zulu Natal - Ezemvelo KwaZulu-Natal Wildlife</t>
  </si>
  <si>
    <t>Waste collection, treatment and disposal activities; materials recovery</t>
  </si>
  <si>
    <t>https://www.etenders.gov.za/home/Download/?blobName=33bf03fd-66a3-4bae-abe4-6973028d07e9.pdf&amp;downloadedFileName=SBD%20SOIL%20CONTAMINATION%20AND%20CLASSIFICATION%20TESTS%202.pdf</t>
  </si>
  <si>
    <t>PT26/005</t>
  </si>
  <si>
    <t>PROCUREMENT OF MOBILE/PORTABLE ABLUTIONS, GUARD HOUSES AND OFFICE UNITS FOR THE MADLANGA COMMISSION AT JUSTICE COLLEGE (BRIDGETTE MABANDLA BUILDING) FOR A PERIOD OF 10 MONTHS</t>
  </si>
  <si>
    <t>Public Works</t>
  </si>
  <si>
    <t>https://www.etenders.gov.za/home/Download/?blobName=960a0aa6-a053-415f-94f4-8baf5a1c632e.pdf&amp;downloadedFileName=TENDER%20DOCUMENT%20PT26-005.pdf</t>
  </si>
  <si>
    <t>E2933GXMPMAT</t>
  </si>
  <si>
    <t>Repairs of Ash Dam Filter Drains and Piezometer to improve Ash Dam Stability at Matla Power Station for a period of twelve (12) months.</t>
  </si>
  <si>
    <t>https://www.etenders.gov.za/home/Download/?blobName=b1af6db2-fb20-478c-acc7-09df5eec8871.pdf&amp;downloadedFileName=SCOPE%20OF%20WORK%20.pdf</t>
  </si>
  <si>
    <t>E2930DXMPOU</t>
  </si>
  <si>
    <t>Full rewinding and testing of transformers and NECRTs in Limlanga Cluster (500Kva, 750Kva, 1000Kva,1250kVA, 1600Kva, 2000Kva, 2500Kva, 3150kVA, 3500kVA, 4000Kva and 5000Kva) and NECRTs from 6,6kV, 11Kv, 22Kv, 33Kv and 44Kv and provide for auxiliary box, 24 way module, 12 way module, nameplate, LED light and heater on an “as and when required” basis over period of 5 years.</t>
  </si>
  <si>
    <t>https://teams.microsoft.com/meet/337658465615993?p=e2jcItfyT8fQIkm0b6</t>
  </si>
  <si>
    <t>https://www.etenders.gov.za/home/Download/?blobName=81a6794a-e033-4181-b040-d5fb89eef9ed.pdf&amp;downloadedFileName=Quality%20requirements%20(Form%20A)%20%20-%20240-68099512%20Form%20A_Cat%203_%20Rev%209.pdf</t>
  </si>
  <si>
    <t>TEN0000000077/GTAC004-2026-27</t>
  </si>
  <si>
    <t>THE APPOINTMENT OF A SERVICE PROVIDER TO DELIVER MICROSOFT 365 E5, AZURE SQL DATABASE, AND OFFICE 365 EXTRA FILE STORAGE SERVICES FOR THE MFIP PROGRAMME MANAGEMENT UNIT (PMU)</t>
  </si>
  <si>
    <t>Government Technical Advisory Centre (GTAC)</t>
  </si>
  <si>
    <t>https://www.etenders.gov.za/home/Download/?blobName=e5a84f4c-b5ea-41cb-ad39-44b63eac628c.pdf&amp;downloadedFileName=TEN0000000077-GTAC004-2026-27%20Advert.pdf</t>
  </si>
  <si>
    <t>ORD-MECH 2026/27</t>
  </si>
  <si>
    <t>INVITATION FOR EXPRESSION OF INTEREST FOR DATABASE UPDATE OF MECHANISATION CONTRACTORS FOR A PERIOD OF THREE YEARS ENDING ON 2026</t>
  </si>
  <si>
    <t>Eastern Cape - Rural Development and Agrarian Reform</t>
  </si>
  <si>
    <t>Agricultural Products and Services</t>
  </si>
  <si>
    <t>https://www.etenders.gov.za/home/Download/?blobName=e316271c-d6f1-40d3-8bca-94045cf2f21c.pdf&amp;downloadedFileName=EOL%20-%20MECHANISATION%20SERVICES.pdf</t>
  </si>
  <si>
    <t>RFQ 16815</t>
  </si>
  <si>
    <t>SUPPLY AND DELIVER OF CHERRY PICKER at Chief Dawid Stuurman Airport</t>
  </si>
  <si>
    <t>https://www.etenders.gov.za/home/Download/?blobName=7d0c52e7-83a6-409e-bacc-40de2b141961.pdf&amp;downloadedFileName=SUPPLY%20AND%20DELIVER%20OF%20CHERRY%20PICKER.pdf</t>
  </si>
  <si>
    <t>RFQ 16816</t>
  </si>
  <si>
    <t>SUPPLY AND DELIVER OF BALER</t>
  </si>
  <si>
    <t>https://www.etenders.gov.za/home/Download/?blobName=9e88a463-48ab-48a2-b015-69caefdfb06c.pdf&amp;downloadedFileName=RFQ_16816_SUPPLY%20AND%20DELIVER%20OF%20BALER%20at%20Chief%20Dawid%20Stuurman%20Airport.pdf</t>
  </si>
  <si>
    <t>3_2026</t>
  </si>
  <si>
    <t>Wupperthal: Freezer link Frozen Foods: The supply, delivery, and installation of drip irrigation infrastructure and a pre-fabricated cold-room storage facility.</t>
  </si>
  <si>
    <t>CASIDRA (SOC) Limited</t>
  </si>
  <si>
    <t>Kanolvlei Farm, Wupperthal</t>
  </si>
  <si>
    <t>https://www.etenders.gov.za/home/Download/?blobName=cbf340af-b2fc-4fcf-bcb1-86b18a676ec9.pdf&amp;downloadedFileName=CASIDRA%20PORTAL.pdf</t>
  </si>
  <si>
    <t>Rec 74107</t>
  </si>
  <si>
    <t>PREVENTATIVE AND CORRECTIVE MAINTENANCE OF ALL UNINTERRUPTED POWER SUPPLIES (UPS) AND BATTERIES, BATTERIES REPLACEMENT AND SPARE PARTS FOR A PERIOD OF 12 MONTHS</t>
  </si>
  <si>
    <t>Teams</t>
  </si>
  <si>
    <t>https://www.etenders.gov.za/home/Download/?blobName=9439329b-32ed-43ce-9548-44535a537865.pdf&amp;downloadedFileName=Rec%2074107%20TSC3%20UPS%20Maintenace%20at%20CTIA_RFQ%2074107-12%20Months%20Contract_Vetted.pdf</t>
  </si>
  <si>
    <t>PR10116089</t>
  </si>
  <si>
    <t>14:00</t>
  </si>
  <si>
    <t>The Road Accident Fund (RAF) wishes to appoint a suitable service provider for the Design, Copyediting, Proofreading, Layout, Printing, Distribution and Interactive PDF Creation of the Road Accident Fund’s Annual Report of 2025 - 2026.</t>
  </si>
  <si>
    <t>Road Accident Fund</t>
  </si>
  <si>
    <t>https://www.etenders.gov.za/home/Download/?blobName=b50055b5-e8df-4718-9cf9-307200a4d16e.odt&amp;downloadedFileName=Annexure%20A%20-%20Bidders%20Client%20Reference.odt</t>
  </si>
  <si>
    <t>PR10116077</t>
  </si>
  <si>
    <t>The Road Accident Fund (RAF) wishes to appoint a suitable service provider to provide an Artlist Max Team subscription for the Social Digital Media (SDM) Team for a period of twelve (12) months.</t>
  </si>
  <si>
    <t>https://www.etenders.gov.za/home/Download/?blobName=7ec213a5-2a83-4b0a-a7d3-737503555d85.pdf&amp;downloadedFileName=Annexure%20A%20-%20Security%20Measures.pdf</t>
  </si>
  <si>
    <t>RFQ 10564</t>
  </si>
  <si>
    <t>INSTALLATION OF TEMPORARY ABLUTION FACILITIES AND REPAIR OF EXISTING ABLUTION FOR A PERIOD OF 17 MONTHS AT GEORGE AIRPORT</t>
  </si>
  <si>
    <t>ACSA Offices, 1st Floor, Terminal Building, Outeniqua Boardroom, George Airport</t>
  </si>
  <si>
    <t>https://www.etenders.gov.za/home/Download/?blobName=39ae87e6-61e2-4e61-900a-d66c86bab454.pdf&amp;downloadedFileName=NEC3%20ECC%20-%20George%20Airport%20Ablutions.pdf</t>
  </si>
  <si>
    <t>RAF/2026/00030</t>
  </si>
  <si>
    <t>REQUEST FOR INFORMATION – IMPLEMENTATION OF A LITIGATION/LEGAL CASE MANAGEMENT SOLUTION</t>
  </si>
  <si>
    <t>Legal and accounting activities</t>
  </si>
  <si>
    <t>https://www.etenders.gov.za/home/Download/?blobName=c820d488-ab84-495e-81f8-d8e84d85b6b1.pdf&amp;downloadedFileName=RFI%20-%20Litigation%20case%20management.pdf</t>
  </si>
  <si>
    <t>73343...</t>
  </si>
  <si>
    <t>REQUEST FOR QUOTATIONS FOR THE APPOINTMENT OF An accredited contractor to carry out the relocation of 35-meter-high mast and two electrical kiosks for Period of Three months at OR Tambo International Airport</t>
  </si>
  <si>
    <t>https://www.etenders.gov.za/home/Download/?blobName=629c03fb-29af-421b-8fb3-58a946659af4.pdf&amp;downloadedFileName=RFQ%2073343%20High%20Mast%20Relocations%20May.pdf</t>
  </si>
  <si>
    <t>Cancellation E1867GXMPMAT</t>
  </si>
  <si>
    <t>Cancellation E1867GXMPMAT Supply and Delivery of Fresh Fruits and Vegetables to Eskom Matla Power Station for a period of (2) years</t>
  </si>
  <si>
    <t>Supplies: Perishable Provisions</t>
  </si>
  <si>
    <t>https://www.etenders.gov.za/home/Download/?blobName=80785829-682d-4846-940e-c1119938c2c9.pdf&amp;downloadedFileName=Tender%20Cancellation%20-%20E1133GXMPMAT.pdf</t>
  </si>
  <si>
    <t>RFQ 16814</t>
  </si>
  <si>
    <t>SUPPLY AND DELIVER OF HEAVY DUTY TRACTORS at Chief Dawid Stuurman Airport.</t>
  </si>
  <si>
    <t>https://www.etenders.gov.za/home/Download/?blobName=c5cefda2-294d-4e26-bf92-16608839d59c.pdf&amp;downloadedFileName=RFQ_16814_SUPPLY%20AND%20DELIVER%20OF%20HEAVY%20DUTY%20TRACTORS%20at%20Chief%20Dawid%20Stuurman%20Airport..pdf</t>
  </si>
  <si>
    <t>REQNHFC010156</t>
  </si>
  <si>
    <t>PROVISION OF SUPPORT AND MAINTENANCE FOR SAGE EVOLUTION FOR A PERIOD OF TWENTY-FOUR (24) MONTHS</t>
  </si>
  <si>
    <t>https://www.etenders.gov.za/home/Download/?blobName=fa5739dc-94da-40d3-8025-7bf2202bde98.pdf&amp;downloadedFileName=RFQ_SUPPORT%20AND%20MAINTENANCE%20OF%20SAGE%20PASTEL%20EVOLUTION%20FINAL.pdf</t>
  </si>
  <si>
    <t>ZNTD06370W</t>
  </si>
  <si>
    <t>DEPARTMENT OF SOCIAL DEVELOPMENT:KWADABEKA:ZAKHE CYCC:REPLACE COLLAPSED PERIMETER FENCING</t>
  </si>
  <si>
    <t>Kwazulu Natal - Public Works (Head Office)</t>
  </si>
  <si>
    <t>https://www.etenders.gov.za/home/Download/?blobName=5a3ba812-38f7-42d8-b7cc-201dde8c0155.pdf&amp;downloadedFileName=TENDER%20DOCUMENT.061643.pdf</t>
  </si>
  <si>
    <t>RFQ/SASSETA/2526102/4P</t>
  </si>
  <si>
    <t>15:00</t>
  </si>
  <si>
    <t>Appointment of a Subject Matter Expert (SME) to develop EISA/FISA Instruments/ exam script as well as provide EISA/FISA Exam Marking memo for Registered Occupational Qualifications (Occupational Certificate: Paralegal NQF Level 5 Credit/s 330)</t>
  </si>
  <si>
    <t>Safety and Security Sector Education and Training Authority (Sasseta)</t>
  </si>
  <si>
    <t>https://www.etenders.gov.za/home/Download/?blobName=81145f9a-a233-4603-b366-3ceb6ef021f4.pdf&amp;downloadedFileName=2.%20Annexure%20A.pdf</t>
  </si>
  <si>
    <t>ZNQP 05/04/2026</t>
  </si>
  <si>
    <t>Rendering of security services for Department of Public Works and infrastructure: eThekwini Regional Office at Umlazi Depot for a period of ten (10) months.</t>
  </si>
  <si>
    <t>https://www.etenders.gov.za/home/Download/?blobName=72865b92-3e19-4820-a76b-d3db08802bdb.pdf&amp;downloadedFileName=BID-DOCUMENT-UMLAZI-DEPOT-ZNQP-05-04-2026.pdf</t>
  </si>
  <si>
    <t>SBM 32/25/26</t>
  </si>
  <si>
    <t>ELECTRICAL, MECHANICAL MAINTENANCE AND REFURBISHMENT OF WATER AND SEWER PUMP STATIONS AND WASTEWATER TREATMENT WORKS IN THE SALDANHA BAY MUNICIPALITY FOR THE PERIOD 01 JULY 2026 TO 30 JUNE 2029.</t>
  </si>
  <si>
    <t>SALDANHA BAY MUNICIPALITY</t>
  </si>
  <si>
    <t>Specialised construction activities</t>
  </si>
  <si>
    <t>Municipal Council Chambers, 12 Main Road, Vredenburg (or virtually as advertised)</t>
  </si>
  <si>
    <t>https://www.etenders.gov.za/home/Download/?blobName=fd6a610e-0d05-49e2-aa49-cbf162100525.pdf&amp;downloadedFileName=SBM%2032%2025%2026%20%20Tender%20Document.pdf</t>
  </si>
  <si>
    <t>E2321GXMPCAM00</t>
  </si>
  <si>
    <t>Tender Cancellation Letter (E2321GXMPCAM)</t>
  </si>
  <si>
    <t>https://www.etenders.gov.za/home/Download/?blobName=90049093-5ce9-44c7-a60b-d2e0882af16b.pdf&amp;downloadedFileName=Tender%20Cancellation%20Letter.pdf</t>
  </si>
  <si>
    <t>PR10116289</t>
  </si>
  <si>
    <t>The Road Accident Fund (RAF) wishes to appoint a suitable service provider for Renewal of twenty (20) Miro Collaboration Tool Licenses for a period of twelve (12) months.</t>
  </si>
  <si>
    <t>https://www.etenders.gov.za/home/Download/?blobName=4e808978-e886-4f68-918e-6610c3c7b25b.docx&amp;downloadedFileName=SBD%206.1%20IN%20TERMS%20OF%20PPR2022.docx</t>
  </si>
  <si>
    <t>E2923GXMPKUS</t>
  </si>
  <si>
    <t>Supply and Delivery of Spares (Electrical) for Replenishment at Kusile Power Station (Once-off)</t>
  </si>
  <si>
    <t>Microsoft Teams meeting Join: https://teams.microsoft.com/meet/317597325065653?p=I9FeX9iNTYWP2otjU7</t>
  </si>
  <si>
    <t>https://www.etenders.gov.za/home/Download/?blobName=3c3973a2-7834-48c2-a806-1fa75ddb1c96.xlsx&amp;downloadedFileName=Unpriced%20BoQ%20for%20Supply%20and%20Delivery%20of%20Spares%20for%20Replenishment%20at%20Kusile%20Power%20Station%20(Once%20-%20Off)%2021.05.26.xlsx</t>
  </si>
  <si>
    <t>RFQ/SASSETA/2425136/7/8</t>
  </si>
  <si>
    <t>Appointment of Subject Matter Experts to develop Exemplars, EISA instruments as well as Provide EISA Exam Script and Marking script for Registered Occupational Qualification (Family Law)</t>
  </si>
  <si>
    <t>https://www.etenders.gov.za/home/Download/?blobName=322cabd9-1ae8-4dd7-99ee-52bcbf1f95e6.pdf&amp;downloadedFileName=Annexure%20A%20GCC.pdf</t>
  </si>
  <si>
    <t>RFQ 201980</t>
  </si>
  <si>
    <t>APPOINTMENT OF A SERVICE PROVIDER TO PROVIDE GARDENING SERVICES AT SABS EAST LONDON OFFICE FOR PERIOD OF 36 MONTHS.</t>
  </si>
  <si>
    <t>SA Bureau of Standards</t>
  </si>
  <si>
    <t>SABS East London Office</t>
  </si>
  <si>
    <t>https://www.etenders.gov.za/home/Download/?blobName=e9332ced-a2fc-4dfb-8d26-875d6035b4ca.pdf&amp;downloadedFileName=RFQ%20201980%20Gardening%20Services.pdf</t>
  </si>
  <si>
    <t>RFQ 201880</t>
  </si>
  <si>
    <t>APPOINTMENT OF A SERVICE PROVIDER TO PROVIDE JDE FUNCTIONAL SUPPORT SERVICES AS AND WHEN NEEDED FOR THE PERIOD OF 6 MONTHS.</t>
  </si>
  <si>
    <t>https://www.etenders.gov.za/home/Download/?blobName=034ac4e9-e425-491d-ae69-185bae80df67.pdf&amp;downloadedFileName=RFQ%20201880%20JDE%20Functional%20Support%20Services.pdf</t>
  </si>
  <si>
    <t>SBM 21/25/26</t>
  </si>
  <si>
    <t>SUPPLY, DELIVERY AND IMPLEMENTATION OF TRAFFIC CONTROL DEVICES (TRAFFIC SIGNALS) TO SALDANHA BAY MUNICIPALITY FOR A PERIOD ENDING 30 JUNE 2029.</t>
  </si>
  <si>
    <t>https://www.etenders.gov.za/home/Download/?blobName=9ccafee6-f06f-4abf-a8ef-aac55221a61e.pdf&amp;downloadedFileName=SBM%2021%2025%2026%20-%20Tender%20document.pdf</t>
  </si>
  <si>
    <t>SBM 44/24/25</t>
  </si>
  <si>
    <t>SUPPLY AND DELIVERY OF ROADWORK SERVICES FOR SALDANHA BAY MUNICIPALITY FOR THE PERIOD 01 JULY 2026 TO 30 JUNE 2029.</t>
  </si>
  <si>
    <t>https://www.etenders.gov.za/home/Download/?blobName=4b9fd23a-125c-44fd-90dd-e16db6d1bf80.pdf&amp;downloadedFileName=SBM%2044%2024%2025%20-%20Tender%20document%20.pdf</t>
  </si>
  <si>
    <t>RFQ/LOG/2026/10251849/21</t>
  </si>
  <si>
    <t>APPOINTMENT OF SERVICE PROVIDER TO SERVICE AND MAINTAIN TRANE CHILLER 1 AND 2 FOR SABC KZN FOR A PERIOD OF THREE (3) YEARS.</t>
  </si>
  <si>
    <t>South African Broadcasting Corporation Limited</t>
  </si>
  <si>
    <t>100 KE MASINGA ROAD, DURBAN</t>
  </si>
  <si>
    <t>https://www.etenders.gov.za/home/Download/?blobName=78ea922a-835f-4936-b185-90b4f4523346.pdf&amp;downloadedFileName=2026ADDENDUM%20RFQ%20APPOINTMENT%20OF%20SERVICE%20PROVIDER%20TO%20SERVICE%20AND%20MAINTAIN%20TRANE%20CHILLER%201%20AND%202%20FOR%20SABC%20KZN%20FOR%20A%20PERIOD%20OF%20THREE%20(3)%20YEARS.pdf</t>
  </si>
  <si>
    <t>SCMU5-26/27-0004 AMR INF</t>
  </si>
  <si>
    <t>REHABILITATION, RENOVATIONS &amp; REFURBISHMENTS TO VARIOUS DSD SERVICE OFFICES CLUSTER 4 (MDANTSANE NU 1, SILVER CROWN, JOHN X MERRIMAN YCC, HOUSE ON THE ROCK)</t>
  </si>
  <si>
    <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t>
  </si>
  <si>
    <t>IZIKO RFQ R&amp;E PROXIMITY SENSORS IGC 06/02/2026</t>
  </si>
  <si>
    <t>REQUEST FOR QUOTATION (RFQ) FOR APPOINTMENT OF A SERVICE PROVIDER FOR SUPPLY OF SPECIALISED PROXIMITY SENSORS.</t>
  </si>
  <si>
    <t>https://www.etenders.gov.za/home/Download/?blobName=078745ae-4911-4cb5-ab75-25c0cff8f894.pdf&amp;downloadedFileName=Iziko-RTQ-RE%20%20Proximity%20Meter%20SEP%20MUS%20SECURITY%20003.pdf</t>
  </si>
  <si>
    <t>PR10370666</t>
  </si>
  <si>
    <t>Purchase of Ticket Material (i.e Pitix; Itix and Itix Thermal Ribbons)</t>
  </si>
  <si>
    <t>https://www.etenders.gov.za/home/Download/?blobName=85d706a0-2d40-4b2a-9d1a-0e6e353f4860.pdf&amp;downloadedFileName=Ticket%20Material%20Specification%20PR10370666.pdf</t>
  </si>
  <si>
    <t>Q41-2025</t>
  </si>
  <si>
    <t>Supply and Delivery of First Aid Bags/Kits with contents</t>
  </si>
  <si>
    <t>Overberg District Municipality</t>
  </si>
  <si>
    <t>https://www.etenders.gov.za/home/Download/?blobName=a12a5796-76c7-4c7d-af8c-7e8af75f3656.pdf&amp;downloadedFileName=Q41-2025_Bid%20Doc.pdf</t>
  </si>
  <si>
    <t>Q30B-2025</t>
  </si>
  <si>
    <t>Provision For Municipal Health Services By-Law Review</t>
  </si>
  <si>
    <t>https://www.etenders.gov.za/home/Download/?blobName=7022d0cb-9387-497e-9b1f-b63f77714442.pdf&amp;downloadedFileName=Q30B-2025%20Bid%20Doc.pdf</t>
  </si>
  <si>
    <t>RFQ0001211</t>
  </si>
  <si>
    <t>Request to appoint a service provider (SP) to provide the Fisheries Management branch of the Department of Forestry, Fisheries and the Environment (DFFE) /MLRF to supply and deliver tools and equipment to be delivered at 39 Neptune Street Paarden Eiland.</t>
  </si>
  <si>
    <t>https://www.etenders.gov.za/home/Download/?blobName=79db2531-75bf-47f1-9ceb-2d4198d7382a.pdf&amp;downloadedFileName=RFQ0001211.pdf</t>
  </si>
  <si>
    <t>T62A-2025</t>
  </si>
  <si>
    <t>Supply, Delivery and Installation of Audio-visual Equipment at the Council Chambers of Overberg District Municipality</t>
  </si>
  <si>
    <t>Overberg District Municipality, 26 Long Street, Bredasdorp, 7280</t>
  </si>
  <si>
    <t>10367747(11)</t>
  </si>
  <si>
    <t>SUPPLY AND DELIVER OF MAINT CONSUM FOR PLOTTERS</t>
  </si>
  <si>
    <t>https://www.etenders.gov.za/home/Download/?blobName=10bbb289-7a13-4c37-9d9f-4e69e691daee.docx&amp;downloadedFileName=SCOPE%20AND%20Decription%20of%20Infra%20Project%20Office%20Plotter.docx</t>
  </si>
  <si>
    <t>ZNQ UM 3625 U</t>
  </si>
  <si>
    <t>Rendering of Cleaning Services for Dept. of Public Works and Infrastructure: Umkhanyakude Sub District - Mtubatuba for the period of 24 Months</t>
  </si>
  <si>
    <t>https://www.etenders.gov.za/home/Download/?blobName=91b4af11-4334-47e4-ab6b-42bfb7a1f368.pdf&amp;downloadedFileName=Cleaning%20Document%20-%20UMkhanyakude%20Sub-District%20-%202026.pdf</t>
  </si>
  <si>
    <t>RFP 04/02/26-27</t>
  </si>
  <si>
    <t>Appointment of a panel of service providers for Headhunting of Executive Positions for a period of three (3) years</t>
  </si>
  <si>
    <t>Postbank SOC</t>
  </si>
  <si>
    <t>Employment activities</t>
  </si>
  <si>
    <t>https://teams.microsoft.com/meet/382431865524440?p=T5EYY3WelunHYYleEN</t>
  </si>
  <si>
    <t>https://www.etenders.gov.za/home/Download/?blobName=fa101129-e9cf-4e50-a7d8-6fb4e39ad25d.pdf&amp;downloadedFileName=RFP%2004_02-26-27%20Appointment%20of%20a%20panel%20of%20service%20providers%20for%20Headhunting%20of%20Executive%20Positions%20for%20three%20(3)%20years.pdf</t>
  </si>
  <si>
    <t>PT26/006</t>
  </si>
  <si>
    <t>RENDERING OF CLEANING SERVICES AT MOMENTUM BUILDING FOR A PERIOD OF 36 MONTHS.</t>
  </si>
  <si>
    <t>https://www.etenders.gov.za/home/Download/?blobName=2722924b-119a-41a1-8bbc-4c2c46dfc55d.pdf&amp;downloadedFileName=TENDER%20DOCUMENT%20PT26-006.pdf</t>
  </si>
  <si>
    <t>RFQ No. 06/2026</t>
  </si>
  <si>
    <t>Procurement of Customer Experience Survey Services for three (03) months</t>
  </si>
  <si>
    <t>Advertising and market research</t>
  </si>
  <si>
    <t>https://www.etenders.gov.za/home/Download/?blobName=0e825c86-105d-4b9f-b879-65ee59176dce.pdf&amp;downloadedFileName=RFQ%20No.%2006-2026_Customer%20Experience%20Surveys.pdf</t>
  </si>
  <si>
    <t>SCMU3-25/26-0156-LDH</t>
  </si>
  <si>
    <t>Livingstone hospital, Gqeberha: repairs renovations and refurbishment of the holding area in the accident &amp; emergency department</t>
  </si>
  <si>
    <t>Eastern Cape - Health</t>
  </si>
  <si>
    <t>Nurses Home Ground Floor Entrance, Livingstone Tertiary Hospital</t>
  </si>
  <si>
    <t>https://www.etenders.gov.za/home/Download/?blobName=c96fab19-968a-4c6c-871d-3ee8e6670014.pdf&amp;downloadedFileName=Bid%20Document%20Livingstone%20Hospital%20RRR%20to%20Holding%20area.pdf</t>
  </si>
  <si>
    <t>SCMU3-25/26-0178-FRE</t>
  </si>
  <si>
    <t>Invitation to quote on the supply and delivery of Starch and Cereals for a period of 5 months to Frere Hospital</t>
  </si>
  <si>
    <t>https://www.etenders.gov.za/home/Download/?blobName=5d971551-5748-4fe4-b147-29b64b952005.pdf&amp;downloadedFileName=2026%20May%20%20RFQ_Starch_Cereals.pdf</t>
  </si>
  <si>
    <t>SCMU3-25/26-0179-FRE</t>
  </si>
  <si>
    <t>RENDERING TRAINING SERVICES TO FRERE TERTIARY HOSPITAL AS PER LIST ON THIS DOCUMENT</t>
  </si>
  <si>
    <t>https://www.etenders.gov.za/home/Download/?blobName=8954cb1d-5393-4a57-9b16-157dc1470d63.pdf&amp;downloadedFileName=RFQ_Training_2026.pdf</t>
  </si>
  <si>
    <t>SCMU3-26/27-0167-HO</t>
  </si>
  <si>
    <t>REQUEST FOR PROPOSALS FOR ASSESSMENT AND EMPLOYEE MENTAL WELLNESS CAPACITATION PROGRAMME (EMWP).</t>
  </si>
  <si>
    <t>Office administrative, office support and other business support activities</t>
  </si>
  <si>
    <t>https://teams.microsoft.com/meet/315062928822074?p=7bAIJKWk4cZHcMJVP0</t>
  </si>
  <si>
    <t>https://www.etenders.gov.za/home/Download/?blobName=de73e7b5-f58a-4ae7-90af-bc36730ed258.pdf&amp;downloadedFileName=BID%20DOCUMENT%20Proposals%20for%20assessmentand%20Employee%20Mental%20WellnessCpacitation%2021%20(1)%2027.05.2026%20(2)%20TN%20(1).pdf</t>
  </si>
  <si>
    <t>E2955CXMWP</t>
  </si>
  <si>
    <t>PROVISION OF FORENSIC AND ANTI-CORRUPTION SERVICES FOR ESKOM AND ESKOM SUBSIDIARIES (FORENSIC INVESTIGATIONS BACKLOG PROJECT) FOR A PERIOD OF 18 MONTHS (12 MONTHS WITH 6 MONTHS CONTINGENCY)</t>
  </si>
  <si>
    <t>Ms Teams</t>
  </si>
  <si>
    <t>https://www.etenders.gov.za/home/Download/?blobName=7a869e9e-ef46-4acb-be72-03f38bed1325.xlsx&amp;downloadedFileName=Annexure%20L%20-%20Pricing%20Schedule%20-%20Forensic%20Invetigations%20Backlog%20Project.xlsx</t>
  </si>
  <si>
    <t>RE-ADVERT GSDM 82/2024</t>
  </si>
  <si>
    <t>APPOINTMENT OF A SERVICE PROVIDER(S) FOR REFERRAL AND SUB-CONTRACTING SERVICES ON TESTING OF POTABLE WATER, RAW WATER, WASTEWATER AND SLUDGE SAMPLES FOR THE GERT SIBANDE DISTRICT MUNICIPALITY WATER QUALITY LABORATORY FOR A PERIOD OF THREE YEARS</t>
  </si>
  <si>
    <t>Gert Sibande District Municipality</t>
  </si>
  <si>
    <t>A compulsory clarification briefing session will be held on the Virtual platform https://teams.micro</t>
  </si>
  <si>
    <t>https://www.etenders.gov.za/home/Download/?blobName=fc1ec074-932d-46e1-8130-494b17bc1fff.pdf&amp;downloadedFileName=GSDM82-2024%20Referral%20%20Sub-contracting%20Services%20RE-ADVERT.pdf</t>
  </si>
  <si>
    <t>CCB2026/05/01</t>
  </si>
  <si>
    <t>Supply of cleaning materials</t>
  </si>
  <si>
    <t>Castle Control Board</t>
  </si>
  <si>
    <t>https://www.etenders.gov.za/home/Download/?blobName=49d58ef6-ec62-4368-8394-eeeb4277e482.pdf&amp;downloadedFileName=CCB2026-05-01%20Cleaning%20Material.pdf</t>
  </si>
  <si>
    <t>8/3/2-38/2026</t>
  </si>
  <si>
    <t>SUPPLY/DEVELOPMENT, CUSTOMIZATION, DELIVERY AND IMPLEMENTATION OF AN ECL (EXPECTED CREDIT LOSS) MODEL IN TERMS OF GRAP 104 FOR FINANCIAL YEAR ENDING 30 JUNE 2026</t>
  </si>
  <si>
    <t>https://www.etenders.gov.za/home/Download/?blobName=f1a911cd-8db7-4110-bb03-ae901a15d102.pdf&amp;downloadedFileName=ECL%20Advert.pdf</t>
  </si>
  <si>
    <t>RAF/2026/00018</t>
  </si>
  <si>
    <t>THE ROAD ACCIDENT FUND (RAF) SEEKS TO APPOINT AN EXPERIENCED AND SUITABLE SERVICE PROVIDER FOR THE DELIVERY, CONFIGURATION, IMPLEMENTATION, MAINTENANCE AND SUPPORT OF A CLOUD-BASED INTEGRATED MEDICAL MANAGEMENT SOLUTION TO THE ROAD ACCIDENT FUND FOR A PERIOD OF FIVE (5) YEARS</t>
  </si>
  <si>
    <t>Eco Glades 2 Office Park, 420 Witch-Hazel Avenue, Centurion</t>
  </si>
  <si>
    <t>https://www.etenders.gov.za/home/Download/?blobName=f1098030-bf72-4a9b-9b87-f42c49c5a037.pdf&amp;downloadedFileName=RFB%20RAF%202026%2000018%20CLOUD%20BASED%20INTEGRATED%20MEDICAL%20MANAGEMENT%20SOLUTION.pdf</t>
  </si>
  <si>
    <t>RE-8/3/1-20/2025</t>
  </si>
  <si>
    <t>RE-EMZINONI BULK WATER SUPPLY</t>
  </si>
  <si>
    <t>Bethal Town Hall</t>
  </si>
  <si>
    <t>https://www.etenders.gov.za/home/Download/?blobName=e5b85ed9-7581-4941-8e78-7fa4c0ff292b.pdf&amp;downloadedFileName=Emzinoni%20Bulk%20advert.pdf</t>
  </si>
  <si>
    <t>EOI</t>
  </si>
  <si>
    <t>Expression of interest</t>
  </si>
  <si>
    <t>EXPRESSION OF INTEREST (EOI) - APPOINTMENT OF THE ENTITIES/PARTNERS TO DESIGN, EQUIP, AND OPERATE A LEADER AND FOOTWEAR ARTISAN SKILLS DEVELOPMENT CENTRE - ONLINE BRIEFING MEETING ON 01/06/2026 AT 10H00</t>
  </si>
  <si>
    <t>Elangeni TVET College</t>
  </si>
  <si>
    <t>Online</t>
  </si>
  <si>
    <t>https://www.etenders.gov.za/home/Download/?blobName=ce325a8e-1d67-44b5-a5c4-98cb576f8964.pdf&amp;downloadedFileName=Advert%20for%20EOI%20LEATHER%20AND%20FOOTWARE.pdf</t>
  </si>
  <si>
    <t>CKDM010 - 2025/2026</t>
  </si>
  <si>
    <t>• CKDM010 – 2025/2026: Provision of ICT Support for the Central Karo District Municipality for a period of three (3) years. . Functionality criteria of a minimum of 25 out of 30 points exist to be further evaluated. A mandatory site meeting will be held on 08 June 2026 at 10:00 at the Solly Essop Council Chambers, Central Karoo District Municipality, 63 Donkin Street, Beaufort West. No bidders will be allowed to attend the compulsory site inspection meeting if they arrive more than 10 minutes after the meeting has commenced</t>
  </si>
  <si>
    <t>Central Karoo District Municipality</t>
  </si>
  <si>
    <t>Solly Essop Council Chambers, Central Karoo District Municipality, 63 Donkin Street, Beaufort West.</t>
  </si>
  <si>
    <t>https://www.etenders.gov.za/home/Download/?blobName=ddc18a1e-84fe-4619-b79b-0a253e3ba2fb.pdf&amp;downloadedFileName=Advert_CKDM010%20and%20CKDM011.pdf</t>
  </si>
  <si>
    <t>CIS/05/2026</t>
  </si>
  <si>
    <t>REQUEST FOR TENDER [RFT] FOR THE APPOINTMENT OF A SERVICE PROVIDER FOR THE PROVISION OF CIVIL SERVICES FOR SANPC REFINERY OVER A PERIOD OF 36 MONTHS AS AND WHEN REQUIRED BASIS.</t>
  </si>
  <si>
    <t>CEF (Pty) Ltd</t>
  </si>
  <si>
    <t>Activities of households as employers of domestic personnel</t>
  </si>
  <si>
    <t>1 REFINERY ROAD, PROSPECTION, DURBAN</t>
  </si>
  <si>
    <t>https://www.etenders.gov.za/home/Download/?blobName=55da6517-6cd0-4d3a-8224-7d0f5c0bfcfe.zip&amp;downloadedFileName=For%20Issue.zip</t>
  </si>
  <si>
    <t>FSCA2026/27-T005</t>
  </si>
  <si>
    <t>PROVISION OF BACKUP SOFTWARE LICENSES AND MANAGEMENT SERVICES</t>
  </si>
  <si>
    <t>FINANCIAL SECTOR CONDUCT AUTHORITY (FSCA)</t>
  </si>
  <si>
    <t>https://www.etenders.gov.za/home/Download/?blobName=1afd2611-3535-4b28-878f-93885a1b399d.pdf&amp;downloadedFileName=TOR%20FSCA202627-T005%20[PROVISION%20OF%20BACKUP%20SOFTWARE%20LICENSES%20AND%20MANAGEMENT%20SERVICES]%20published.pdf</t>
  </si>
  <si>
    <t>FSCA2026/27-T006</t>
  </si>
  <si>
    <t>PANEL OF CHAIRPERSONS FOR DISCIPLINARY HEARINGS AND INITIATORS</t>
  </si>
  <si>
    <t>A MS Teams link will be provided on the FSCA’s website.</t>
  </si>
  <si>
    <t>https://www.etenders.gov.za/home/Download/?blobName=934e2e89-5f94-4746-9a0b-9ae998db3594.pdf&amp;downloadedFileName=TOR%20FSCA202627-T006%20PANEL%20OF%20CHAIRPERSONS%20AND%20INITIATORS%20OF%20THE%20DISCIPLINARY%20HEARINGS%20[PUBLISHED].pdf</t>
  </si>
  <si>
    <t>34207-1D</t>
  </si>
  <si>
    <t>Coastal Stormwater and Catchment Management Area Based Infrastructure Repairs Maintenance Contract as and when required for 36 months: Central Region</t>
  </si>
  <si>
    <t>Ethekwini Metropolitan Municipality</t>
  </si>
  <si>
    <t>Hoy Park parking entrance, off Somtseu Road (GPS Coordinates: 29°50’43”S; 31°01’52”E).</t>
  </si>
  <si>
    <t>https://www.etenders.gov.za/home/Download/?blobName=ccc4bf5f-907a-4898-beea-c29cd017d8b7.pdf&amp;downloadedFileName=34207-1D%20Tender%20Document.pdf</t>
  </si>
  <si>
    <t>34209-1D</t>
  </si>
  <si>
    <t>Coastal Stormwater and Catchment Management Area Based Infrastructure Repairs as and when required for 36 months: North Region</t>
  </si>
  <si>
    <t>Hoy Park parking entrance, off Somtseu Road. (GPS Coordinates: 29°50’43”S; 31°01’52”E).</t>
  </si>
  <si>
    <t>https://www.etenders.gov.za/home/Download/?blobName=7691262b-82cb-48d5-b53d-1f28a1c62b78.pdf&amp;downloadedFileName=34209-1D%20Tender%20Document.pdf</t>
  </si>
  <si>
    <t>34402-1D</t>
  </si>
  <si>
    <t>Coastal Stormwater and Catchment Management Area Based Infrastructure Repairs Maintenance Contract for 36 months: South Region</t>
  </si>
  <si>
    <t>https://www.etenders.gov.za/home/Download/?blobName=ac594bbb-9ee3-4dfd-91ac-7dff7ee0ccb6.pdf&amp;downloadedFileName=34402-1D%20Tender%20Document.pdf</t>
  </si>
  <si>
    <t>COJ0104-25/26</t>
  </si>
  <si>
    <t>SUPPLY, DELIVERY AND PRINTING OF PROMOTIONALS MATERIALS FOR TRANSPORT DEPARTMENT</t>
  </si>
  <si>
    <t>City Council of Johannesburg</t>
  </si>
  <si>
    <t>https://www.etenders.gov.za/home/Download/?blobName=d135ec98-790e-4c3a-94d0-a44b6832389c.pdf&amp;downloadedFileName=COJ0104-25-26%20TRANSPORT%20DEP%20PRINTING.pdf</t>
  </si>
  <si>
    <t>COJ0105-25/26</t>
  </si>
  <si>
    <t>APPOINTMENT OF A SUITABLE SERVICE PROVIDER FOR THE SCRAP BALING SERVICE ON AN AS AND WHEN REQUIRED BASIS FOR A PERIOD NOT EXCEEDING 12 MONTHS</t>
  </si>
  <si>
    <t>https://www.etenders.gov.za/home/Download/?blobName=b2845208-feef-40c8-9e52-f82cf2eaa617.pdf&amp;downloadedFileName=COJ0105-25-25%20PUBLIC%20SAFETY%20SCRAB.pdf</t>
  </si>
  <si>
    <t>JTC0033/2025-26</t>
  </si>
  <si>
    <t>REQUEST FOR QUOTATION FROM SUITABLE, QUALIFIED AND REGISTERED SERVICE PROVIDERS TO PROVIDE TRANSFERS &amp; SHUTTLE SERVICES FOR THE AFRICAN DATA SCIENCE (ADSC) CONFERENCE ON 23 – 27 JUNE 2026</t>
  </si>
  <si>
    <t>Travel agency, tour operator, reservation service and related activities</t>
  </si>
  <si>
    <t>https://www.etenders.gov.za/home/Download/?blobName=c89605b7-7e62-4e40-aac0-10887adb2482.pdf&amp;downloadedFileName=African%20Data%20Science%20Conference%202026%20ToR.pdf</t>
  </si>
  <si>
    <t>34794-1D</t>
  </si>
  <si>
    <t>Coastal Stormwater and Catchment Management Area Based Infrastructure Repairs Maintenance for 36 months: INK (Inanda, Ntuzuma &amp; KwaMashu Areas) Region</t>
  </si>
  <si>
    <t>https://www.etenders.gov.za/home/Download/?blobName=1625197d-902f-4d5e-b00d-359086646416.pdf&amp;downloadedFileName=34794-1D%20-%20Baseline%20Risk%20Assessment..pdf</t>
  </si>
  <si>
    <t>35389-1N</t>
  </si>
  <si>
    <t>Herrwood Drive, Umhlanga, Ward 35: Stormwater Attenuation Pond</t>
  </si>
  <si>
    <t>7 Sandringham Court, Umhlanga, Ward 35.</t>
  </si>
  <si>
    <t>https://www.etenders.gov.za/home/Download/?blobName=46244577-b672-496b-9622-20a15ccc360e.pdf&amp;downloadedFileName=SchedQuantitiesSectionSummaryRep.pdf</t>
  </si>
  <si>
    <t>35745-1R</t>
  </si>
  <si>
    <t>Gravel to surface upgrade of TRK 86912 and TRK 86954, Ward 59</t>
  </si>
  <si>
    <t>TRK 86912 (GPS Coordinates: 29°36’07.0”S; 30°56’23.9”E).</t>
  </si>
  <si>
    <t>https://www.etenders.gov.za/home/Download/?blobName=988d0c0b-fde3-49c4-9171-3e7d1619a0c0.pdf&amp;downloadedFileName=35745-1R%20Tender%20Document.pdf</t>
  </si>
  <si>
    <t>CKDM011 - 2025/2026</t>
  </si>
  <si>
    <t>CKDM011 – 2025/2026: Installation and delivery of one (1) Poly Prop Canopy, with pump and hose reels</t>
  </si>
  <si>
    <t>https://www.etenders.gov.za/home/Download/?blobName=7913ec71-fb75-425c-9a6c-028a949aa0b7.pdf&amp;downloadedFileName=Advert_CKDM010%20and%20CKDM011.pdf</t>
  </si>
  <si>
    <t>34611-5E</t>
  </si>
  <si>
    <t>Procurement of a Grid Operation Solution for the Energy Management Directorate for a period of 24 months</t>
  </si>
  <si>
    <t>https://www.etenders.gov.za/home/Download/?blobName=76325191-5b6e-4dd2-9f19-480ab74683eb.pdf&amp;downloadedFileName=34611-5E%20Tender%20Document.pdf</t>
  </si>
  <si>
    <t>35412-5E</t>
  </si>
  <si>
    <t>Ellipse support and maintenance with EAM Module Migration to CAMS for mSCOA compliance (24 months)</t>
  </si>
  <si>
    <t>https://www.etenders.gov.za/home/Download/?blobName=213897a3-b038-4eed-ae40-b9d987d318ac.pdf&amp;downloadedFileName=35412%20-%205E%20Tender%20Document%20.pdf</t>
  </si>
  <si>
    <t>SANRAL C.002-053-2023/1S</t>
  </si>
  <si>
    <t>CONSULTING ENGINEERING SERVICES FOR THE TRAINING AND CONSTRUCTION MANAGEMENT SERVICES FOR A COMMUNITY DEVELOPMENT PROJECT TO UPGRADE ACCESS ROADS AND STORMWATER SYSTEM IN AND AROUND KWAMHLANGA NEAR NATIONAL ROAD R573 SECTION 2 FROM KM8.60 TO KM13.00</t>
  </si>
  <si>
    <t>virtually on MS Teams Meeting ID: 329 019 579 190 180 Passcode: Eh2cJ2DN.</t>
  </si>
  <si>
    <t>https://www.etenders.gov.za/home/Download/?blobName=444b03b1-3934-4975-8430-723cb316edb6.zip&amp;downloadedFileName=Appendix%20D3-#893597(OHS%20Audit%20Questionnare).zip</t>
  </si>
  <si>
    <t>WDM/2026/27-06</t>
  </si>
  <si>
    <t>OFFICE SPACE ACCOMODATION IN MOKOPANE</t>
  </si>
  <si>
    <t>Waterberg District Municipality</t>
  </si>
  <si>
    <t>Rental and leasing activities</t>
  </si>
  <si>
    <t>https://www.etenders.gov.za/home/Download/?blobName=4e88a2f1-ba11-40d8-8183-2a1beb07c3c1.pdf&amp;downloadedFileName=WDM-%202026%2027-06.pdf</t>
  </si>
  <si>
    <t>WDM/2026/27-07</t>
  </si>
  <si>
    <t>OFFICE SPACE ACCOMODATION IN THABAZIMBI</t>
  </si>
  <si>
    <t>https://www.etenders.gov.za/home/Download/?blobName=7caa9568-001c-43ef-9f08-279e7208bf46.pdf&amp;downloadedFileName=WDM-%202026%2027-07.pdf</t>
  </si>
  <si>
    <t>NLM-QUO-26/098</t>
  </si>
  <si>
    <t>17:00</t>
  </si>
  <si>
    <t>RFQ TO SUPPLY SYSTEM CONTROL VALVES FOR NW PLASMA GAS PROJECT</t>
  </si>
  <si>
    <t>South African Nuclear Energy Corporation Limited</t>
  </si>
  <si>
    <t>https://www.etenders.gov.za/home/Download/?blobName=7aff4cbc-6343-4843-8088-037675b37e6a.pdf&amp;downloadedFileName=ENS-NWPVR-SPE-25004.pdf</t>
  </si>
  <si>
    <t>SANAS/SOLAR/2026-27/02</t>
  </si>
  <si>
    <t>APPOINTMENT OF A SERVICE PROVIDER FOR SUPPLY, INSTALLATION AND MAINTENANCE OF HYBRID PV SOLAR SYSTEM FOR A PERIOD OF 36 MONTHS.</t>
  </si>
  <si>
    <t>South African National Accreditation System</t>
  </si>
  <si>
    <t>Venue: SANAS Offices Address: 303 Libertas Office Park, Highway Street, Equestria.</t>
  </si>
  <si>
    <t>https://www.etenders.gov.za/home/Download/?blobName=b3b9f1a1-b41e-4566-91ce-0a0a255d66a9.pdf&amp;downloadedFileName=Tender%20document%20for%20Solar%20Panel-Reissue.pdf</t>
  </si>
  <si>
    <t>RCCH21/2025</t>
  </si>
  <si>
    <t>RCCH21/2025 - FOR THE SUPPLY, DELIVERY, INSTALLATION, DEMONSTRATION, AND COMMISSIONING OF FOUR (4) CARTRIDGE BASED BLOOD GAS ANALYSERS TO BE PLACED FOR A THREE-YEAR PERIOD, AT RED CROSS WAR MEMORIAL CHILDREN’S HOSPITAL</t>
  </si>
  <si>
    <t>Western Cape - Health</t>
  </si>
  <si>
    <t>Supplies: Medical</t>
  </si>
  <si>
    <t>https://www.etenders.gov.za/home/Download/?blobName=1b839be0-8e70-4674-9191-e442adbedfba.pdf&amp;downloadedFileName=RCCH21-2025%20-%20BID%20DOCUMENT.pdf</t>
  </si>
  <si>
    <t>RFQ-HO-1697.1</t>
  </si>
  <si>
    <t>PUBLIC KEY INFRASTRUCTURE AND CERTIFICATE LIFECYCLE MANAGEMENT SERVICES FOR ONE YEAR</t>
  </si>
  <si>
    <t>https://www.etenders.gov.za/home/Download/?blobName=7db2a3d7-cf5e-43ac-b356-8c15fcbfd3fc.pdf&amp;downloadedFileName=RFQ%20-%20HO-%201697.1%20-%20Public%20Key%20Infrastructure%20And%20Certificate%20Lifecycle%20Management%20Services%20For%20One%20Year.pdf</t>
  </si>
  <si>
    <t>PPRA 02/2026</t>
  </si>
  <si>
    <t>APPOINTMENT OF A SERVICE PROVIDER FOR PROVISIONING OF GROUP INTERNAL AUDIT SERVICES FOR A PERIOD OF THREE (3) YEARS FOR THE PROPERTY PRACTITIONERS’ REGULATORY AUTHORITY</t>
  </si>
  <si>
    <t>Estate Agency Affairs Board</t>
  </si>
  <si>
    <t>https://www.etenders.gov.za/home/Download/?blobName=45e02371-68e7-4ba1-9fbc-e013566e38ab.pdf&amp;downloadedFileName=INTERNAL%20AUDIT%20SERVICES%2027%20MAY%202026.pdf</t>
  </si>
  <si>
    <t>RFQ-112-296</t>
  </si>
  <si>
    <t>GroupWise Training</t>
  </si>
  <si>
    <t>https://www.etenders.gov.za/home/Download/?blobName=6e16d3b4-0886-42b4-978e-5b6adf22e4a8.pdf&amp;downloadedFileName=Specification.pdf</t>
  </si>
  <si>
    <t>RQ-112295 B</t>
  </si>
  <si>
    <t>Introduction to Excel Training (See attached specification and quote according to it).</t>
  </si>
  <si>
    <t>https://www.etenders.gov.za/home/Download/?blobName=27dd1bac-0462-4ed9-ad64-1b7c48eae00f.pdf&amp;downloadedFileName=Revised%20specification%20for%20Excel%20Training.pdf</t>
  </si>
  <si>
    <t>WDM/2026/27-01</t>
  </si>
  <si>
    <t>PROVISION OF TRAVEL AGENCY</t>
  </si>
  <si>
    <t>https://www.etenders.gov.za/home/Download/?blobName=e3b36eb2-905a-41d7-b97c-1249f8a3838d.pdf&amp;downloadedFileName=WDM-%202026%2027-01.pdf</t>
  </si>
  <si>
    <t>WDM/2026/27-02</t>
  </si>
  <si>
    <t>ADVERTISING AGENCY</t>
  </si>
  <si>
    <t>https://www.etenders.gov.za/home/Download/?blobName=b0b99abe-a505-4308-b7dd-ce742db2c6dc.pdf&amp;downloadedFileName=WDM-%202026%2027-02.pdf</t>
  </si>
  <si>
    <t>WDM/2026/27-03</t>
  </si>
  <si>
    <t>PROVISION OF SECURITY SERVICES</t>
  </si>
  <si>
    <t>Security and investigation activities</t>
  </si>
  <si>
    <t>https://www.etenders.gov.za/home/Download/?blobName=692d8587-e8ae-4bcf-87f1-29023ba8740a.pdf&amp;downloadedFileName=WDM-%202026%2027-03.pdf</t>
  </si>
  <si>
    <t>WDM/2026/27-04</t>
  </si>
  <si>
    <t>OCCUPATIONAL MEDICAL EXAMINATION AND DISEASES</t>
  </si>
  <si>
    <t>https://www.etenders.gov.za/home/Download/?blobName=35e8d15e-33c8-432c-b60d-1a7f49f91131.pdf&amp;downloadedFileName=WDM-%202026%2027-04.pdf</t>
  </si>
  <si>
    <t>WDM/2026/27-05</t>
  </si>
  <si>
    <t>SUPPLY AND DELIVERY OF PPE</t>
  </si>
  <si>
    <t>https://www.etenders.gov.za/home/Download/?blobName=85e933f8-f52a-48c6-b26c-4709056fba47.pdf&amp;downloadedFileName=WDM-%202026%2027-05.pdf</t>
  </si>
  <si>
    <t>RFQ 4185/26</t>
  </si>
  <si>
    <t>Supply and Installation of retractable security aluminium window burglar at Irene Weather Office and aluminium single door at Polokwane Weather office.</t>
  </si>
  <si>
    <t>South African Weather Service</t>
  </si>
  <si>
    <t>Irene Weather Office</t>
  </si>
  <si>
    <t>https://www.etenders.gov.za/home/Download/?blobName=85339aa6-9e45-465e-94f5-c519a18bdc7b.pdf&amp;downloadedFileName=RFQ-4185%20Installation%20of%20Burglar%20bars%20and%20Aluminium%20-.pdf</t>
  </si>
  <si>
    <t>RFQ 4289b/25</t>
  </si>
  <si>
    <t>Supply and delivery of one (1) portable gas dilution calibrator for the Irene Lab Ambient Air Quality Monitoring Station</t>
  </si>
  <si>
    <t>https://www.etenders.gov.za/home/Download/?blobName=7111fc19-b793-4538-9a01-d2a411598423.pdf&amp;downloadedFileName=RFQ%204289b.pdf</t>
  </si>
  <si>
    <t>RFQ 034 2026/27</t>
  </si>
  <si>
    <t>Supply, delivery and installation/mounting of 2 X Heavy-duty TV trolley stand – Mobile floor stand with wheels &amp; shelves</t>
  </si>
  <si>
    <t>Special Investigation Unit</t>
  </si>
  <si>
    <t>https://www.etenders.gov.za/home/Download/?blobName=153f5381-2cf3-4d32-9808-427b4c483bed.docx&amp;downloadedFileName=Final%20RFQ%20Template%20-%20DBN%20Heavy%20duty%20TV%20Stand.docx</t>
  </si>
  <si>
    <t>TMT-ECDOE-26/27-WTI-CL1R1</t>
  </si>
  <si>
    <t>CONSTRUCTION OF TANK STANDS, INSTALLATION OF RAIN WATER GOODS AND WATER TANKS AT VARIOUS SCHOOLS IN NELSON MANDELA BAY MUNICIPALITY IN THE EASTERN CAPE PROVINCE UNDER WATER TANKS PROGRAMME</t>
  </si>
  <si>
    <t>THE MVULA TRUST</t>
  </si>
  <si>
    <t>https://www.etenders.gov.za/home/Download/?blobName=f23750c1-7a04-407b-b456-15d8394b283c.pdf&amp;downloadedFileName=TMT-ECDoE-2627-WTI-NMBCL1R1.pdf</t>
  </si>
  <si>
    <t>TMT-ECDOE-26/27-WTI-JQ-CL26R</t>
  </si>
  <si>
    <t>EMERGENCY INSTALLATION OF WATER TANKS AT VARIOUS SCHOOLS IN THE EASTERN CAPE PROVINCE</t>
  </si>
  <si>
    <t>https://www.etenders.gov.za/home/Download/?blobName=e8e6d45b-ac7a-4b7b-b43c-e5d31c83cb23.pdf&amp;downloadedFileName=LOWER%20ESINXAKU%20JUNIOR.pdf</t>
  </si>
  <si>
    <t>TMT-ECDOE-26/27-WTI-AN-CL100</t>
  </si>
  <si>
    <t>https://www.etenders.gov.za/home/Download/?blobName=a75b05b6-cbe4-4722-99cb-1c9ac17d6caf.pdf&amp;downloadedFileName=RFQ_TMT-ECDOE-2526-WTI%20-ANE-100.pdf</t>
  </si>
  <si>
    <t>RQ-112455A</t>
  </si>
  <si>
    <t>Drone Remote Pilot License Training (See attached specification and quote according to it)</t>
  </si>
  <si>
    <t>https://www.etenders.gov.za/home/Download/?blobName=02bc388b-d191-40ad-b0d6-07f72a078d0f.pdf&amp;downloadedFileName=Revised%20Specification%20Drone%20remote%20pilot%20license%20training.pdf</t>
  </si>
  <si>
    <t>RQ-112312A</t>
  </si>
  <si>
    <t>COBIT 5 Training ( Refer to the attached specification and quote according to it)</t>
  </si>
  <si>
    <t>https://www.etenders.gov.za/home/Download/?blobName=1ff4ad4c-594a-4d1a-a9fe-021799c18616.pdf&amp;downloadedFileName=Revised%20specification%20for%20COBIT%205%20Training.pdf</t>
  </si>
  <si>
    <t>CET-003</t>
  </si>
  <si>
    <t>PROVIDE DIESEL MECHANIC PREPERATION AND TRADE TEST TRAINING FOR DWS CONSTRUCTION EAST OFFICIAL AT TRAINING PROVIDERS PREMISES. • 1 Candidate will attend training • Official must receive accredited certificate • Accreditation letter to offer diesel mechanic preparation and trade test training must be submitted together with a qouatation • Training should take place at service providers premises • Training dates will be communicated by training officer to the training provider</t>
  </si>
  <si>
    <t>https://www.etenders.gov.za/home/Download/?blobName=e195504e-9158-44d3-98f2-c7c1cd648e19.pdf&amp;downloadedFileName=Specification.pdf</t>
  </si>
  <si>
    <t>PRR00321</t>
  </si>
  <si>
    <t>Annual Renewal of Mimecast License for a period of three years.</t>
  </si>
  <si>
    <t>Council on Higher Education</t>
  </si>
  <si>
    <t>https://www.etenders.gov.za/home/Download/?blobName=a4de1119-2e68-47f2-8daf-2bbd2e7bbd79.pdf&amp;downloadedFileName=PRR00321%20Standard%20Bidding%20Documents%20and%20Spec.pdf</t>
  </si>
  <si>
    <t>REQ00228</t>
  </si>
  <si>
    <t>REQ00228-SUPPLY, DELIVERY AND INSTALLATION OF BRANDING AND SIGNAGE FOR UMZINYATHI DISTRICT DEVELOPMENT AGENCY ON BEHALF OF SSETHEMBE SERVICES</t>
  </si>
  <si>
    <t>Umzinyathi District Municipality</t>
  </si>
  <si>
    <t>https://www.etenders.gov.za/home/Download/?blobName=c619abdd-6efb-4997-95ce-8130f88d93f9.pdf&amp;downloadedFileName=ADVERT%20REQ00228-SUPPLY,%20DELIVERY%20AND%20INSTALLATION%20OF%20BRANDING%20AND%20SIGNAGE%20FOR%20UMZINYATHI%20DISTRICT%20DEVELOPMENT%20AGENCY%20ON%20BEHALF%20OF%20SSETHEMBE%20SERVICES.pdf</t>
  </si>
  <si>
    <t>WTE-2605ES</t>
  </si>
  <si>
    <t>DESIGN, SUPPLY, DELIVERY AND INSTALLATION OF HIGH MAST LIGHTS AT WAGENSDRIFT DAM NEAR ESTCOURT TOWN.</t>
  </si>
  <si>
    <t>WAGENSDRIFT DAM</t>
  </si>
  <si>
    <t>https://www.etenders.gov.za/home/Download/?blobName=a3f2831f-3cc5-4092-840d-0df75e3c8d21.pdf&amp;downloadedFileName=ViewTenderNoticePdf.pdf</t>
  </si>
  <si>
    <t>CSIR RFP 1228/10/06/2026</t>
  </si>
  <si>
    <t>Request for Proposals (RFP) The provision of services for the development of the Regional Innovation Support Programme (RISP) three-year strategic overview report for Financial Years 2023/24 to 2025/26</t>
  </si>
  <si>
    <t>MS TEAMS LINK</t>
  </si>
  <si>
    <t>https://www.etenders.gov.za/home/Download/?blobName=051b2233-c831-4698-b6d9-00a3fa6b3055.pdf&amp;downloadedFileName=1128RFP.pdf</t>
  </si>
  <si>
    <t>TMT-ECDOE-26/27-WTI-SB-CL108</t>
  </si>
  <si>
    <t>https://www.etenders.gov.za/home/Download/?blobName=df5ab644-413b-4e0e-b71d-5c356c33b368.pdf&amp;downloadedFileName=RFQ_TMT-ECDOE-2526-WTI%20-SB-108.pdf</t>
  </si>
  <si>
    <t>TPT/2026/05/0522/6037/RFQ</t>
  </si>
  <si>
    <t>PROVISION OF ON-SITE MEDICAL EMERGENCY SERVICES AT TRANSNET PORT TERMINALS (TPT), RICHARDS BAY TERMINAL FOR A PERIOD OF FOUR (4) MONTHS</t>
  </si>
  <si>
    <t>https://www.etenders.gov.za/home/Download/?blobName=0393504a-81b8-448e-a5d9-9280b8ff7915.pdf&amp;downloadedFileName=Addendum%20Form%20Hire%20of%20TLB.pdf</t>
  </si>
  <si>
    <t>SSC WC Q01 (2026/2027) DLRRD</t>
  </si>
  <si>
    <t>THE APPOINTMENT OF A SERVICE PROVIDER TO RENDER GENERAL CLEANING SERVICES AT ABSA BUILDING, 2 REIBEECK STREET, FORESHORE CAPE TOWN FOR THE DEPARTMENT OF LAND REFORM AND RURAL DEVELOPMENT: PROVINCIAL SHARED RESOURCE CENTRE WESTERN CAPE (PSSC) FOR A PERIOD OF 6 (SIX) MONTHS.</t>
  </si>
  <si>
    <t>Department of Agriculture, Land Reform &amp; Rural Development</t>
  </si>
  <si>
    <t>4TH FLOOR BOADROOM 2 RIEBEEK STREET</t>
  </si>
  <si>
    <t>https://www.etenders.gov.za/home/Download/?blobName=73eeff81-3f3f-4e71-bc33-789475117f0c.pdf&amp;downloadedFileName=SSC%20WC%20Q01%20CLEANING%20ABSA%20BUILDING%202026.pdf</t>
  </si>
  <si>
    <t>TE/2026/05/1570/5147/RFQ</t>
  </si>
  <si>
    <t>For the cleaning and unblocking of gutters; building repairs including downpipes at Koedoespoort diesel depot workshops, stores and offices for a period of two months.</t>
  </si>
  <si>
    <t>Transnet Engineering Diesel Depot 1 Poplier Avenue Lindo Park Pretoria 0186</t>
  </si>
  <si>
    <t>https://www.etenders.gov.za/home/Download/?blobName=69489ba8-07f6-4134-ab93-658845278437.pdf&amp;downloadedFileName=Annexure%20A%20Scope%20of%20work.pdf</t>
  </si>
  <si>
    <t>TNPA/2026/05/0988/5537/RFQ</t>
  </si>
  <si>
    <t>FOR THE SUPPLY, DELIVERY, INSTALLATION AND COMMISSIONING OF MILD STEEL PIPES AND BUTTERFLY VALVES AT BERTH 208 &amp; 209 IN THE PORT OF RICHARDS BAY FOR A PERIOD OF SEVEN (07) MONTHS.</t>
  </si>
  <si>
    <t>Employee Care Center</t>
  </si>
  <si>
    <t>https://www.etenders.gov.za/home/Download/?blobName=eab81a6c-c0ed-4dc7-992c-f1f7d44f7965.pdf&amp;downloadedFileName=FOR%20THE%20SUPPLY,%20DELIVERY,%20INSTALLATION%20AND%20COMMISSIONING%20OF%20MILD%20STEEL%20PIPES%20AND%20BUTTERFLY%20VALVES%20AT%20BERTH%20208%20&amp;%20209.pdf</t>
  </si>
  <si>
    <t>TE/2026/03/1061/3623_RFP</t>
  </si>
  <si>
    <t>Repairs to Substations inside Compressor House, Bay2, Bay28 and Bay55</t>
  </si>
  <si>
    <t>Main Boardroom, Transnet Engineering</t>
  </si>
  <si>
    <t>https://www.etenders.gov.za/home/Download/?blobName=6763c3d6-142f-423a-bbbf-50d767cf2444.pdf&amp;downloadedFileName=Bill_of_Quantity_Electrical_Substationrepairs_yPRrNnj.pdf</t>
  </si>
  <si>
    <t>TFR/2026/05/0002/114461/RFP HOAC VAR 57488</t>
  </si>
  <si>
    <t>SUPPLY AND DELIVERY OF OHTE WIRES AS AND WHEN REQUIRED FOR THE EASTERN REGION FOR A PERIOD OF 12 MONTHS</t>
  </si>
  <si>
    <t>https://www.etenders.gov.za/home/Download/?blobName=2461d933-da85-4f9c-9c79-954af073f927.pdf&amp;downloadedFileName=RFP%20HOAC%20VAR%2057488%20OHTE%20WIRES%2022052026_merged%20(1).pdf</t>
  </si>
  <si>
    <t>SCMP 05/05/03R</t>
  </si>
  <si>
    <t>MICROSOFT EXCEL BASIC AND ADVANCED</t>
  </si>
  <si>
    <t>https://www.etenders.gov.za/home/Download/?blobName=500e9dbd-a632-4586-83a9-125ef71ef001.pdf&amp;downloadedFileName=SBD%204_Annexure%20A.pdf</t>
  </si>
  <si>
    <t>MISA/RWTW/FS/004/2026/27</t>
  </si>
  <si>
    <t>APPOINTMENT OF A PROFESSIONAL SERVICES PROVIDER FOR MAKELEKETLA (WINBURG): REFURBISHMENT OF WASTEWATER TREATMENT WORKS AND PUMP STATION NO. 2</t>
  </si>
  <si>
    <t>https://teams.microsoft.com/meet/343150552916283?p=hoSj4hwreFanKgVXtL</t>
  </si>
  <si>
    <t>https://www.etenders.gov.za/home/Download/?blobName=b72ae26d-3dac-48f3-ab4b-3e85e9bc424f.pdf&amp;downloadedFileName=FINAL%20Winburg%20WWTW%20_ToR.pdf</t>
  </si>
  <si>
    <t>TPT/2026/05/0483/5825/RFP</t>
  </si>
  <si>
    <t>18:00</t>
  </si>
  <si>
    <t>FOR THE RENTAL OF SEVEN (7) 500KVA MOBILE GENERATORS FOR TRANSNET SOC LTD (REG NO. 1990/000900/30) OPERATING AS TRANSNET PORT TERMINALS (HEREINAFTER REFERRED AS “TPT”) FOR NGQURA CONTAINER TERMINAL (NCT) FOR A PERIOD OF 3,5 MONTHS.</t>
  </si>
  <si>
    <t>Please Join Microsoft Teams under section 2 (Notice to bidders)</t>
  </si>
  <si>
    <t>https://www.etenders.gov.za/home/Download/?blobName=eebe1c56-eeca-408b-98d5-39fc137f96e7.pdf&amp;downloadedFileName=Master%20Agreement%20for%20Rental%20of%20Generators%20for%20a%20period%20of%203,5%20months).pdf</t>
  </si>
  <si>
    <t>RFB 07-2025/2026-1</t>
  </si>
  <si>
    <t>RE-ADVERT FOR APPOINTMENT OF AN IT SECURITY/CYBERSECURITY SERVICE PROVIDER FOR COMPREHENSIVE CYBERSECURITY ASSESSMENT, DIGITAL FORENSICS, INCIDENT RESPONSE AND MANAGED SERVICES FOR A PERIOD OF THREE (03) YEARS.</t>
  </si>
  <si>
    <t>Small Enterprise Development and Finance Agency</t>
  </si>
  <si>
    <t>Via Microsoft Teams</t>
  </si>
  <si>
    <t>https://www.etenders.gov.za/home/Download/?blobName=07073b9a-729a-40a9-ac40-6148f78def5f.pdf&amp;downloadedFileName=SEDFA%20-NDA%20Information%20Enquiry-RFB%2007-2025-26.pdf</t>
  </si>
  <si>
    <t>Q003/2025/26</t>
  </si>
  <si>
    <t>The Appointment of a B-BBEE Verification Agency for the Cape Town Stadium (RF) SOC Limited</t>
  </si>
  <si>
    <t>Cape Town Stadium (RF) SOC LIMITED</t>
  </si>
  <si>
    <t>https://www.etenders.gov.za/home/Download/?blobName=cd4ac030-b8b5-4ecf-b2e8-61769f257a60.pdf&amp;downloadedFileName=Q003.2025.26_Advert_Appointment%20of%20a%20BBBEE%20Verification%20Agency.pdf</t>
  </si>
  <si>
    <t>ZNT26/27KZNSB01</t>
  </si>
  <si>
    <t>Appointment of service provider to supply and delivery of outboard motors for the Kwazulu-Natal Sharks Board Maritime Centre of Excellence.</t>
  </si>
  <si>
    <t>Kwa-Zulu Natal - Natal Sharks Board</t>
  </si>
  <si>
    <t>1a Herrwood Drive uMhlanga Rocks</t>
  </si>
  <si>
    <t>https://www.etenders.gov.za/home/Download/?blobName=eb6fc9cb-9304-4fc8-8605-525c97d5f686.docx&amp;downloadedFileName=Advert%20for%20outboard%20motors.docx</t>
  </si>
  <si>
    <t>PHP012605RFQ00000015</t>
  </si>
  <si>
    <t>Pressure vessels: Service and pressure test</t>
  </si>
  <si>
    <t>https://www.etenders.gov.za/home/Download/?blobName=cd856d51-bf85-4660-93e4-03d12fb3e264.docx&amp;downloadedFileName=PHP01REQ003481_20260513134754%20(1).docx</t>
  </si>
  <si>
    <t>KM01/05/2026</t>
  </si>
  <si>
    <t>REQUEST FOR PROPOSALS FOR THE APPOINTMENT OF A REPUTABLE SERVICE PROVIDER TO PROVIDE INFRASTRUCTURE AS A SERVICE, SD-WAN SOLUTION AND INTERNET CONNECTIVITY, INFRASTUCTURE AND EMAIL SECURITY, CONTACT CENTRE AS A SERVICE AND MICROSOFT TEAMS PHONE, SUPPORT AND MAINTENANCE FOR A PERIOD OF THREE (03) YEARS</t>
  </si>
  <si>
    <t>ttps://teams.microsoft.com/meet/359613852382692?p=KjPxMgJVotKfW8dAMb</t>
  </si>
  <si>
    <t>https://www.etenders.gov.za/home/Download/?blobName=cbf5758d-7c39-4f5a-b2a8-82e40c6efbb7.pdf&amp;downloadedFileName=RFP%20Infrastructure%20Hosting%20services%202026%2027%20May%20(003).pdf</t>
  </si>
  <si>
    <t>MISA/IAF/IA/003/2026/2027</t>
  </si>
  <si>
    <t>APPOINTMENT OF A SUITABLY QUALIFIED PROFESSIONAL SERVICE PROVIDER FOR THE PROVISION OF INTERNAL AUDIT FUNCTION FOR A PERIOD OF 36 MONTHS</t>
  </si>
  <si>
    <t>https://teams.microsoft.com/meet/34666914407330?p=F8uWqaPcBJBb7YmmkR</t>
  </si>
  <si>
    <t>https://www.etenders.gov.za/home/Download/?blobName=85ac4dec-10a0-4ec9-9d35-d0cb6739713a.pdf&amp;downloadedFileName=Final%20(For%20Advertising)%20BSC%20TOR%20Internal%20Audit%2027-05-2026.pdf</t>
  </si>
  <si>
    <t>RFQ NHC/2026/27/004</t>
  </si>
  <si>
    <t>Provision of Legal Services for a period of 4 months</t>
  </si>
  <si>
    <t>National Heritage Council of South Africa</t>
  </si>
  <si>
    <t>https://www.etenders.gov.za/home/Download/?blobName=951ac4c2-f7bd-44b3-bc44-82a8dcd15d01.pdf&amp;downloadedFileName=RFQ%20NHC-2026-27-004%20-%20Legal%20Services.pdf</t>
  </si>
  <si>
    <t>ZNQ 20-26-27</t>
  </si>
  <si>
    <t>Suitable and capable print media companies are hereby invited to provide newspaper advertising services for the period of three (3) months for the KZN Department of Public Works and Infrastructure, Oliver Tambo House, 191 Prince Alfred Street, Pietermaritzburg.</t>
  </si>
  <si>
    <t>https://www.etenders.gov.za/home/Download/?blobName=82e2714a-8d8d-46bf-a709-0c0326ca7f22.pdf&amp;downloadedFileName=Znq%2020.26.27%20%20Appointment%20of%20a%20Print%20Media%20Company.pdf</t>
  </si>
  <si>
    <t>MISA/RWTW/FS/005/2026/2027</t>
  </si>
  <si>
    <t>APPOINTMENT OF A PROFESSIONAL SERVICES PROVIDER FOR THE REFURBISHMENT OF ZASTRON WWTW IN MOHOKARE LOCAL MUNICIPALITY IN THE FREE STATE PROVINCE.</t>
  </si>
  <si>
    <t>https://teams.microsoft.com/meet/399155902716222?p=Dj55UAj8BpKz4C5vVE</t>
  </si>
  <si>
    <t>https://www.etenders.gov.za/home/Download/?blobName=5d1c28ab-126f-4aa2-800a-cc4c5d9a3f37.pdf&amp;downloadedFileName=ToR_Refurbishment%20of%20Zastron%20WWTW_20260526%20Rev04%20(002)%20(002).pdf</t>
  </si>
  <si>
    <t>CHD-MECH 2026/27</t>
  </si>
  <si>
    <t>Expression of Interest for mechanisation database update</t>
  </si>
  <si>
    <t>Eastern Cape - Agriculture</t>
  </si>
  <si>
    <t>Block H, Bathandwa Ndondo Office Park Komani</t>
  </si>
  <si>
    <t>https://www.etenders.gov.za/home/Download/?blobName=c5eeaecd-5b12-4e60-b021-fa88cb287d19.pdf&amp;downloadedFileName=EoI%20-%20Mechanisation%20Services%20-%202026%20final%20final%20.pdf</t>
  </si>
  <si>
    <t>ASA 06/05/2026</t>
  </si>
  <si>
    <t>Appointment of a Fire Expert to advise the Technical Executive Committee of Agrément South Africa.</t>
  </si>
  <si>
    <t>https://www.etenders.gov.za/home/Download/?blobName=342161d9-7a83-4407-9440-0faf67a763f1.pdf&amp;downloadedFileName=General%20Conditions%20of%20Contract.pdf</t>
  </si>
  <si>
    <t>ASA 10/05/2026</t>
  </si>
  <si>
    <t>Appointment of a Structural Expert to Advise the Technical Executive Committee of Agrément South Africa.</t>
  </si>
  <si>
    <t>https://www.etenders.gov.za/home/Download/?blobName=227142a4-276c-47b4-8c27-20492c4c3282.pdf&amp;downloadedFileName=SBD%206.1%20IN%20TERMS%20OF%20PPR2022%20.pdf</t>
  </si>
  <si>
    <t>ASA 11/05/2026</t>
  </si>
  <si>
    <t>Appointment of a Roads Engineering Expert to advise the TECHNICAL EXECUTIVE COMMITTEE of Agrément South Africa.</t>
  </si>
  <si>
    <t>https://www.etenders.gov.za/home/Download/?blobName=eeb4a932-808e-4576-b409-1d5361f19269.pdf&amp;downloadedFileName=General%20Conditions%20of%20Contract.pdf</t>
  </si>
  <si>
    <t>E1225GXMPCAMM</t>
  </si>
  <si>
    <t>Publication of Award: Installation of Ash Water Return Dam Pipeline (Pipeline 2) at Camden Power Station for a period of 12 months.</t>
  </si>
  <si>
    <t>https://www.etenders.gov.za/home/Download/?blobName=ffa917c4-06a0-45c1-add5-a6957835fff4.pdf&amp;downloadedFileName=Regret%20Letter%20Template%20for%20Unsuccessful%20Suppliers%20-%20Ash%20Water%20Return%20Dam%20Pipeline.pdf</t>
  </si>
  <si>
    <t>LDPWRI-R/20774.</t>
  </si>
  <si>
    <t>Appointment of service provider for decommissioning of fuel tanks and land remediation across 05 District within Limpopo Province for a period of 24 months</t>
  </si>
  <si>
    <t>Limpopo - Public Works</t>
  </si>
  <si>
    <t>CAPRICORN DISTRICT NEXT CORRECTIONAL SERVICES OFFICE</t>
  </si>
  <si>
    <t>https://www.etenders.gov.za/home/Download/?blobName=37bbea5c-66c4-450e-9ef2-492a47bbc70c.pdf&amp;downloadedFileName=LDPWRI-R20774.pdf</t>
  </si>
  <si>
    <t>2026020301A</t>
  </si>
  <si>
    <t>Supply, Delivery and Installation of Fencing</t>
  </si>
  <si>
    <t>Kwazulu Natal - Economic Development, Tourism and Environ Affairs</t>
  </si>
  <si>
    <t>https://www.etenders.gov.za/home/Download/?blobName=8e5502f6-3d44-4ea5-b7dd-db5e69b0eb98.pdf&amp;downloadedFileName=RFQ2026020301A.pdf</t>
  </si>
  <si>
    <t>RFT102/05/2025/26</t>
  </si>
  <si>
    <t>APPOINTMENT OF A SERVICE PROVIDER FOR THE PROVISION AND MANAGEMENT OF A PREPAID ELECTRICITY VENDING SYSTEM AND SUPPLY FOR MADIBENG LOCAL MUNICIPALITY FOR A PERIOD OF THIRTY-SIX (36) MONTHS.</t>
  </si>
  <si>
    <t>Madibeng Local Municipality</t>
  </si>
  <si>
    <t>https://www.etenders.gov.za/home/Download/?blobName=4b1c638e-40a6-45e5-b9e9-a7682923a5e1.pdf&amp;downloadedFileName=SIGNED%20INVITATION%20TO%20TENDER%20AS%20AT%2027%20MAY%202026.pdf</t>
  </si>
  <si>
    <t>RFT103/05/2025/26</t>
  </si>
  <si>
    <t>APPOINTMENT OF SERVICE PROVIDER FOR METER READING SERVICE FOR MADIBENG LOCAL MUNICIPALITY FOR A PERIOD OF THREE YEARS (36 MONTHS).</t>
  </si>
  <si>
    <t>https://www.etenders.gov.za/home/Download/?blobName=147c3a85-1b52-458c-b346-af5b6212ad2c.pdf&amp;downloadedFileName=SIGNED%20INVITATION%20TO%20TENDER%20AS%20AT%2027%20MAY%202026.pdf</t>
  </si>
  <si>
    <t>RFT104/05/2025/26</t>
  </si>
  <si>
    <t>APPOINTMENT OF A PANEL OF SIX SERVICE PROVIDERS FOR SUPPLY 21m3 REL COMPACTOR TRUCKS ON RENTAL BASIS AND THE EXTENSION OF WASTE MANAGEMENT SERVICES TO UNSERVICED AREAS AS AND WHEN REQUIRED.</t>
  </si>
  <si>
    <t>https://www.etenders.gov.za/home/Download/?blobName=08039556-56f4-4ba2-9f8b-be49d489c3ec.pdf&amp;downloadedFileName=SIGNED%20INVITATION%20TO%20TENDER%20AS%20AT%2027%20MAY%202026.pdf</t>
  </si>
  <si>
    <t>RFQ-2026-005-027</t>
  </si>
  <si>
    <t>APPOINTMENT OF A SERVICE PROVIDER FOR THE PROVISION OF PUBLIC RELATIONS MANAGEMENT AND STRATEGIC CORPORATE COMMUNICATION SERVICES TO THE NATIONAL LOTTERIES COMMISSION ON AN “AS AND WHEN” REQUIRED BASIS FOR A MAXIMUM OF TWELVE (12) MONTHS</t>
  </si>
  <si>
    <t>https://www.etenders.gov.za/home/Download/?blobName=2eca5de6-baaa-41a1-9387-6bfa0e00a2d3.pdf&amp;downloadedFileName=PUBLIC%20RELATIONS%20MANAGEMENT%20AND%20STRATEGIC%20CORPORATE%20COMMUNICATION%20SERVICES%20TO%20THE%20NATIONAL%20LOTTERIES%20COMMISSION.pdf</t>
  </si>
  <si>
    <t>E1046GCDMPKUSR3</t>
  </si>
  <si>
    <t>WETLAND OFFSET AT KUSILE POWER STATION 60Y ADF PROJECT</t>
  </si>
  <si>
    <t>Kusile Power Station; Group Capital Offices; Auditorium</t>
  </si>
  <si>
    <t>https://www.etenders.gov.za/home/Download/?blobName=6120b7c3-046d-413e-a1b8-f53503c5871a.pdf&amp;downloadedFileName=240-128515850-Documentation%20Handover%20Specification%20(1).pdf</t>
  </si>
  <si>
    <t>E1083GXMPDUV REGRET LETTER</t>
  </si>
  <si>
    <t>E1083GXMPDUV: REGRET LETTER: Duvha Power Station additional offices and Classrooms for the duration of (18) months</t>
  </si>
  <si>
    <t>https://www.etenders.gov.za/home/Download/?blobName=8d00043b-cd8f-4cd6-b3f5-6efe0f3ba0ae.pdf&amp;downloadedFileName=Regret%20Letter%20Template%20for%20Unsuccessful%20Suppliers%20-%20February%202025.pdf</t>
  </si>
  <si>
    <t>E2952GXMPKEN</t>
  </si>
  <si>
    <t>PROVISION OF ROUTINE AND AD HOC CONDITION MONITORING SERVICE AT KENDAL POWER STATION FOR A PERIOD OF FIVE (5) YEARS</t>
  </si>
  <si>
    <t>https://teams.microsoft.com/meet/358040473935567?p=tI9D3qTQzzVXgjCXbp Meeting ID: 358 040 473 935 56</t>
  </si>
  <si>
    <t>https://www.etenders.gov.za/home/Download/?blobName=70675d85-af17-4fbe-890f-e2f0fc6329d7.pdf&amp;downloadedFileName=Quality%20-%20Annexure%20R-%20Quality%20returnables.pdf</t>
  </si>
  <si>
    <t>RFQ 84 2026</t>
  </si>
  <si>
    <t>SUPPLY AND DELIVERY OF BRANDED MERCHANDISE FOR YOUTH IMBIZO 2026</t>
  </si>
  <si>
    <t>Nelson Mandela National Museum</t>
  </si>
  <si>
    <t>https://www.etenders.gov.za/home/Download/?blobName=71df467e-cef0-4a44-8687-9d7be4315176.pdf&amp;downloadedFileName=SKM_C550i26052403180.pdf</t>
  </si>
  <si>
    <t>RFT105/05/2025/26</t>
  </si>
  <si>
    <t>APPOINTMENT OF PANEL OF EIGHT SERVICE PROVIDERS FOR THE MAINTENANCE OF MECHANICAL EQUIPMENT FOR WATER AND SANITATION INFRASTRUCTURE OVER A PERIOD OF 36 MONTHS.</t>
  </si>
  <si>
    <t>https://www.etenders.gov.za/home/Download/?blobName=8899cda9-faf1-46a8-93b8-00e4e0ca3477.pdf&amp;downloadedFileName=SIGNED%20INVITATION%20TO%20TENDER%20AS%20AT%2027%20MAY%202026.pdf</t>
  </si>
  <si>
    <t>RFT106/05/2025/26</t>
  </si>
  <si>
    <t>APPOINTMENT OF SERVICE PROVIDERS (PANEL OF SIX) FOR A SUPPLY,DELIVERY AND OFF-LOADING OF AGGREGATES AND CEMENT ON AN AS AND WHEN REQUIRED BASIS FOR A PERIOD NOT EXCEEDING 36 MONTHS.</t>
  </si>
  <si>
    <t>https://www.etenders.gov.za/home/Download/?blobName=651b17eb-2205-4dd8-aa4e-52f65a1c1c29.pdf&amp;downloadedFileName=SIGNED%20INVITATION%20TO%20TENDER%20AS%20AT%2027%20MAY%202026.pdf</t>
  </si>
  <si>
    <t>RFT107/05/2025/26</t>
  </si>
  <si>
    <t>APPOINTMENT OF SERVICE PROVIDERS (PANEL OF SIX) FOR SUPPLY, DELIVERY AND OFF-LOADING BITUMINOUS BINDERS ON AN AS AND WHEN REQUIRED BASIS FOR A PERIOD NOT EXCEEDING 36 MONTHS</t>
  </si>
  <si>
    <t>https://www.etenders.gov.za/home/Download/?blobName=8bab4e69-0385-4098-9bdb-77e8a29d4cbc.pdf&amp;downloadedFileName=SIGNED%20INVITATION%20TO%20TENDER%20AS%20AT%2027%20MAY%202026.pdf</t>
  </si>
  <si>
    <t>RFT108/05/2025/26</t>
  </si>
  <si>
    <t>APPOINTMENT OF SERVICE PROVIDERS (PANEL OF SIX) FOR SUPPLY, DELIVERY AND OFF-LOADING STORMWATER DRAINAGE MATERIALS ON AN AS AND WHEN REQUIRED BASIS FOR A PERIOD NOT EXCEEDING 36 MONTHS.</t>
  </si>
  <si>
    <t>https://www.etenders.gov.za/home/Download/?blobName=dca7aee9-174b-4fff-ba60-1abb97c4edc7.pdf&amp;downloadedFileName=SIGNED%20INVITATION%20TO%20TENDER%20AS%20AT%2027%20MAY%202026.pdf</t>
  </si>
  <si>
    <t>E2971GXMPDUV</t>
  </si>
  <si>
    <t>Supply and delivery of Various Bearings, Taper Locks, Plummer blocks and Sleeves at Duvha Power Station on As and when Required for a period of five (5) years.</t>
  </si>
  <si>
    <t>https://teams.microsoft.com/meet/389367703900623?p=4Vx9ft3ORqu41nA8AZ</t>
  </si>
  <si>
    <t>https://www.etenders.gov.za/home/Download/?blobName=f1a18ba1-3818-494e-8818-9bf84e122377.pdf&amp;downloadedFileName=Materials%20Management%20%20Scope%20of%20Work%20%20supply%20and%20deliver%20of%20varius%20bearings.pdf</t>
  </si>
  <si>
    <t>E2960DXGOU</t>
  </si>
  <si>
    <t>Provision of Electrical, Airconditioning, Generator and UPS Maintenance Contract for Gauteng Cluster, as and when required basis for a period of 5 years</t>
  </si>
  <si>
    <t>MS TEAMS</t>
  </si>
  <si>
    <t>https://www.etenders.gov.za/home/Download/?blobName=4fc585b0-9c03-498b-8d5a-e0bbf4a949f2.zip&amp;downloadedFileName=Tender%20documents.zip</t>
  </si>
  <si>
    <t>FBC T3/2026</t>
  </si>
  <si>
    <t>DEMOLITION OF CONCRETE FLOORS AND CONSTRUCTION OF NEW CONCRETE FLOORS AT THE MOTOR WORKSHOP AND CONCRETE REPAIRS AT THE RESTAURANT: WESTLAKE CAMPUS</t>
  </si>
  <si>
    <t>False Bay TVET College</t>
  </si>
  <si>
    <t>False Bay TVET College: Westlake Campus, Westlake Drive, Westlake, 7945</t>
  </si>
  <si>
    <t>https://www.etenders.gov.za/home/Download/?blobName=7ea31d0d-6894-40f2-92c1-6357faa9beb1.pdf&amp;downloadedFileName=CIDB%20Advert%20-%20FBC%20T3-2026.pdf</t>
  </si>
  <si>
    <t>SCM/BID33/25/26</t>
  </si>
  <si>
    <t>PROCUREMENT OF A SERVICE PROVIDER: THE REPAIR AND REFURBISHMENT OF TSHIAME WASTEWATER TREATMENT WORKS</t>
  </si>
  <si>
    <t>Maluti-a-Phofung Local Municipality</t>
  </si>
  <si>
    <t>(Tshiame) Sediba Hall</t>
  </si>
  <si>
    <t>https://www.etenders.gov.za/home/Download/?blobName=c5088666-6eab-4067-942c-57eb80965e84.pdf&amp;downloadedFileName=GCC.pdf</t>
  </si>
  <si>
    <t>RFQ202627/06 (1)</t>
  </si>
  <si>
    <t>RE-ADVERTISEMENT: REQUEST FOR QUOTATIONS FOR THE PROVISION OF CERTIFIED INFORMATION SECURITY MANAGER (CISM) TRAINING TO TRADE &amp; INVESTMENT KWAZULU-NATAL STAFF MEMBER.</t>
  </si>
  <si>
    <t>Kwa-Zulu Natal - Trade and Investment KwaZulu-Natal</t>
  </si>
  <si>
    <t>https://www.etenders.gov.za/home/Download/?blobName=aa685c1a-f000-465e-844f-a63e98ff9f13.pdf&amp;downloadedFileName=RFQ202627-06%20CISM%20Training%20re-advertisement.pdf</t>
  </si>
  <si>
    <t>FBC T10/2026</t>
  </si>
  <si>
    <t>SUPPLY &amp; DELIVERY OF SMART BOARDS (SERVICE 1), COMPUTERS (SERVICE 2) AND PRINTERS (SERVICE 3) AT THE NEW MITCHELL’S PLAIN CAMPUS</t>
  </si>
  <si>
    <t>ONLINE</t>
  </si>
  <si>
    <t>https://www.etenders.gov.za/home/Download/?blobName=ec693f9f-0b21-42ad-8317-c021d6eb3ca7.pdf&amp;downloadedFileName=TENDER%20NOTICE%20AND%20INVITATION%20TO%20BID%20-%20FBC%20T10-2026.pdf</t>
  </si>
  <si>
    <t>SCM/MLM/83/25-26</t>
  </si>
  <si>
    <t>Training of EPWP beneficiaries on occupational health and safety</t>
  </si>
  <si>
    <t>Mnquma Local Municipality</t>
  </si>
  <si>
    <t>https://www.etenders.gov.za/home/Download/?blobName=94b75d84-853f-478d-98ea-7019d3df7250.pdf&amp;downloadedFileName=Bid%20Doc%20-%20Training%20of%20EPWP%20beneficiaries%20on%20occupational%20health%20and%20safety.pdf</t>
  </si>
  <si>
    <t>RFT109/05/2025/26</t>
  </si>
  <si>
    <t>APPOINTMENT OF A THREE (3) PANEL OF SERVICE PROVIDERS TO RENDER TRAVEL MANAGEMENT SERVICES IN RESPECT OF AIR TRAVEL, CAR HIRE, CONFERENCING AND ACCOMMODATION FOR MADIBENG LOCAL MUNICIPALITY FOR A PERIOD OF 36 MONTHS AS AND WHEN REQUIRED.</t>
  </si>
  <si>
    <t>https://www.etenders.gov.za/home/Download/?blobName=edd78bb8-8119-44a2-bbac-0cc5a3959d5a.pdf&amp;downloadedFileName=SIGNED%20INVITATION%20TO%20TENDER%20AS%20AT%2027%20MAY%202026.pdf</t>
  </si>
  <si>
    <t>E2963DXGOU</t>
  </si>
  <si>
    <t>For the provision of medicine, pharmaceutical consumables and oxygen supply and delivery contract for a period of 60 months on “an as when required” basis</t>
  </si>
  <si>
    <t>Microsoft teams</t>
  </si>
  <si>
    <t>https://www.etenders.gov.za/home/Download/?blobName=668da4ec-e4f9-47fb-926e-a37b549595a4.zip&amp;downloadedFileName=Tender%20Documents%20-E2963DXGOU.zip</t>
  </si>
  <si>
    <t>E2463CXMWP-Cancel</t>
  </si>
  <si>
    <t>CANCELLATION FOR Lease agreement establishment for various East Grid sites (Empangeni, Newcastle and Westville Offices)</t>
  </si>
  <si>
    <t>https://www.etenders.gov.za/home/Download/?blobName=af9d5c34-424a-43c7-9b86-1d5d266053d8.pdf&amp;downloadedFileName=Tender%20Cancellation%20Letter%20for%20Lease%20Agreement%20East%20Grid.pdf</t>
  </si>
  <si>
    <t>TNC/SS/21/2026</t>
  </si>
  <si>
    <t>APPOINTMENT OF SERVICE PROVIDER TO PROVIDE SECURITY SERVICES TO TSHWANE NORTH TVET COLLEGE FOR THE FOLLOWING CAMPUSES: PRETORIA, MAMELODI AND CENTRAL OFFICE, SOSHANGUVE NORTH, SOSHANGUVE SOUTH, ROSSLYN, TEMBA, AND FARM HAAKDOORNBOOM FOR A PERIOD OF 36 MONTHS</t>
  </si>
  <si>
    <t>Tshwane north tvet college</t>
  </si>
  <si>
    <t>PRETORIA CAMPUS (420 Helen Joseph Street, former Church Street)</t>
  </si>
  <si>
    <t>https://www.etenders.gov.za/home/Download/?blobName=7680ae87-dcc2-4b09-a372-e5c8e2c311dc.pdf&amp;downloadedFileName=Advert%20Security%20Services.pdf</t>
  </si>
  <si>
    <t>E2962NTCSAMWP</t>
  </si>
  <si>
    <t>The Marketing Professional Services Contracts across five (5) Categories of for the National Transmission Company South Africa (Pty) Ltd (NTCSA) on an as and when required basis for a period of five (5) years.</t>
  </si>
  <si>
    <t>https://teams.microsoft.com/meet/387886991070991?p=1DV9VbcNSBjahfHRP3</t>
  </si>
  <si>
    <t>https://www.etenders.gov.za/home/Download/?blobName=8cea4efa-886e-47e1-8f63-170300bc5000.docx&amp;downloadedFileName=240-110600836_%20Enviromental%20Requirements%20Proforma_Final.docx</t>
  </si>
  <si>
    <t>WMM-LM 19/02/25/02 WMS</t>
  </si>
  <si>
    <t>Extension of Waste Management Services for 24 Months</t>
  </si>
  <si>
    <t>https://www.etenders.gov.za/home/Download/?blobName=ed087b99-5761-4c91-b740-38385e4bdc28.pdf&amp;downloadedFileName=TENDER%20FOR%20EXTENSION%20OF%20WASTE%20MANAGEMENT%20SERVICES-REVIEWED_.pdf</t>
  </si>
  <si>
    <t>COM62/2026</t>
  </si>
  <si>
    <t>APPOINTMENT OF A SERVICE PROVIDER FOR SUPPLY AND INSTALLATION OF DECALS ON MUNICIPAL VEHICLES</t>
  </si>
  <si>
    <t>Mbombela Local Municipality</t>
  </si>
  <si>
    <t>https://www.etenders.gov.za/home/Download/?blobName=d47d2d6c-dd28-422b-afd8-6aa813ff6ec2.pdf&amp;downloadedFileName=COM62-2026%20SUPPLY%20AND%20INSTALLATION%20OF%20DECALS%20ON%20THE%20MUNICIPAL%20VEHICLE.pdf</t>
  </si>
  <si>
    <t>ATNS/RFQ/08/05/2026/27/SIX SIGMA TRAINING</t>
  </si>
  <si>
    <t>APPOINTMENT OF A SERVICE PROVIDER FOR LEAN SIX SIGMA TRAINING FOR THE BPCI TEAM</t>
  </si>
  <si>
    <t>https://www.etenders.gov.za/home/Download/?blobName=26f38167-97bf-4c47-a3b6-5e45a95799fd.pdf&amp;downloadedFileName=ATNS%20RFQ%20-%20Six%20Sigma%20Training.pdf</t>
  </si>
  <si>
    <t>NCCQ33</t>
  </si>
  <si>
    <t>PROCUREMENT OF SUPPORT AND MAINTENANCE OF LOCAL AREA NETWORK (LAN) INFRASTRUCTURE FOR A PERIOD OF THIRTY-SIX (36) MONTHS.</t>
  </si>
  <si>
    <t>National Consumer Commission</t>
  </si>
  <si>
    <t>https://www.etenders.gov.za/home/Download/?blobName=239795d4-b74b-409b-8923-1f1bfcdbd164.pdf&amp;downloadedFileName=Standard%20Bidding%20Document%20(SDB)%204.pdf</t>
  </si>
  <si>
    <t>JDA/ABT-202601</t>
  </si>
  <si>
    <t>PANEL OF MAIN CONTRACTORS FOR ALTERNATIVE BUILDING TECHNOLOGIES</t>
  </si>
  <si>
    <t>Johannesburg Development Agency</t>
  </si>
  <si>
    <t>The Auditorium, at the Johannesburg Development Agency, Ground Floor, The Bus Factory, 3 Helen Josep</t>
  </si>
  <si>
    <t>https://www.etenders.gov.za/home/Download/?blobName=a6293cda-381e-4dc7-8b2a-4b3c0e106036.pdf&amp;downloadedFileName=BID%20DESCRIPTION%20PANEL%20APPOINTMENT%20FOR%20THE%20DESIGN.pdf</t>
  </si>
  <si>
    <t>Source</t>
  </si>
  <si>
    <t>Number of New Tenders</t>
  </si>
  <si>
    <t>ICT Tenders</t>
  </si>
  <si>
    <t>RFQs</t>
  </si>
  <si>
    <t>Report Date</t>
  </si>
  <si>
    <t>(T) 27/05/2026</t>
  </si>
  <si>
    <t>eTenders (All)</t>
  </si>
  <si>
    <t>Eskom</t>
  </si>
  <si>
    <t>SITA</t>
  </si>
  <si>
    <t>Transnet</t>
  </si>
  <si>
    <t>JPC</t>
  </si>
  <si>
    <t>Matatiele LM</t>
  </si>
  <si>
    <t>Ntabankulu LM</t>
  </si>
  <si>
    <t>Umzimvubu LM</t>
  </si>
  <si>
    <t>Winnie Mandela LM</t>
  </si>
  <si>
    <t>Mnquma LM</t>
  </si>
  <si>
    <t>Great Kei LM</t>
  </si>
  <si>
    <t>Amahlathi LM</t>
  </si>
  <si>
    <t>Raymond Mhlaba LM</t>
  </si>
  <si>
    <t>JOSHCO</t>
  </si>
  <si>
    <t>GPL</t>
  </si>
  <si>
    <t>RAF</t>
  </si>
  <si>
    <t>MM Trading Company</t>
  </si>
  <si>
    <t>Nelson Mandela Bay MM</t>
  </si>
  <si>
    <t>Buffalo City MM</t>
  </si>
  <si>
    <t>EC DPW</t>
  </si>
  <si>
    <t>DEL</t>
  </si>
  <si>
    <t>SIU</t>
  </si>
  <si>
    <t>GDoH</t>
  </si>
  <si>
    <t>DIRCO</t>
  </si>
  <si>
    <t>CP JHB</t>
  </si>
  <si>
    <t>W JHB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</si>
</sst>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tenders.gov.za/home/Download/?blobName=61514790-67b3-49cf-8b4b-275d87d36689.pdf&amp;downloadedFileName=General%20Conditions%20of%20Contract.pdf" TargetMode="External"/><Relationship Id="rId299" Type="http://schemas.openxmlformats.org/officeDocument/2006/relationships/hyperlink" Target="https://www.etenders.gov.za/home/Download/?blobName=668da4ec-e4f9-47fb-926e-a37b549595a4.zip&amp;downloadedFileName=Tender%20Documents%20-E2963DXGOU.zip" TargetMode="External"/><Relationship Id="rId21" Type="http://schemas.openxmlformats.org/officeDocument/2006/relationships/hyperlink" Target="https://www.etenders.gov.za/home/Download/?blobName=765577ba-4583-43c6-9ad9-23a2f2856c99.pdf&amp;downloadedFileName=7-1-002-2025-26%20RFQ%20Supply%20and%20delivery%20of%20building%20material%20Tender%20document.pdf" TargetMode="External"/><Relationship Id="rId63" Type="http://schemas.openxmlformats.org/officeDocument/2006/relationships/hyperlink" Target="https://www.etenders.gov.za/home/Download/?blobName=cd2b7c25-0aa9-40b9-b6fe-5fa2a26e178e.pdf&amp;downloadedFileName=RFQ0001210.pdf" TargetMode="External"/><Relationship Id="rId159" Type="http://schemas.openxmlformats.org/officeDocument/2006/relationships/hyperlink" Target="https://www.etenders.gov.za/home/Download/?blobName=960a0aa6-a053-415f-94f4-8baf5a1c632e.pdf&amp;downloadedFileName=TENDER%20DOCUMENT%20PT26-005.pdf" TargetMode="External"/><Relationship Id="rId170" Type="http://schemas.openxmlformats.org/officeDocument/2006/relationships/hyperlink" Target="https://www.etenders.gov.za/home/Download/?blobName=39ae87e6-61e2-4e61-900a-d66c86bab454.pdf&amp;downloadedFileName=NEC3%20ECC%20-%20George%20Airport%20Ablutions.pdf" TargetMode="External"/><Relationship Id="rId226" Type="http://schemas.openxmlformats.org/officeDocument/2006/relationships/hyperlink" Target="https://www.etenders.gov.za/home/Download/?blobName=4e88a2f1-ba11-40d8-8183-2a1beb07c3c1.pdf&amp;downloadedFileName=WDM-%202026%2027-06.pdf" TargetMode="External"/><Relationship Id="rId268" Type="http://schemas.openxmlformats.org/officeDocument/2006/relationships/hyperlink" Target="https://www.etenders.gov.za/home/Download/?blobName=85ac4dec-10a0-4ec9-9d35-d0cb6739713a.pdf&amp;downloadedFileName=Final%20(For%20Advertising)%20BSC%20TOR%20Internal%20Audit%2027-05-2026.pdf" TargetMode="External"/><Relationship Id="rId32" Type="http://schemas.openxmlformats.org/officeDocument/2006/relationships/hyperlink" Target="https://www.etenders.gov.za/home/Download/?blobName=5d06f24e-9ed6-44b0-aabd-87db606476aa.pdf&amp;downloadedFileName=RFQ-08-2025-2026%20-%20NSM2026_Media%20Negotiation_Influencing%20Re-advert%20with%20Updates.pdf" TargetMode="External"/><Relationship Id="rId74" Type="http://schemas.openxmlformats.org/officeDocument/2006/relationships/hyperlink" Target="https://www.etenders.gov.za/home/Download/?blobName=148b7da4-56b8-4b6f-95e4-008826d6ee34.pdf&amp;downloadedFileName=specs%20for%20toxoplasma.pdf" TargetMode="External"/><Relationship Id="rId128" Type="http://schemas.openxmlformats.org/officeDocument/2006/relationships/hyperlink" Target="https://www.etenders.gov.za/home/Download/?blobName=ebded3be-8113-4514-8163-1ae78ba3c710.pdf&amp;downloadedFileName=Q12%20Hiring%20of%20Yellow%20Fleet%20Quotation.pdf" TargetMode="External"/><Relationship Id="rId5" Type="http://schemas.openxmlformats.org/officeDocument/2006/relationships/hyperlink" Target="https://www.etenders.gov.za/home/Download/?blobName=5390ecd5-ede8-4c9a-a393-47ca8a62866b.pdf&amp;downloadedFileName=RFP%20-FOR%20LIFTS%20AND%20ESCALATORS%20IN%20CARLTON%20CENTRE%20FOR%2072%20MONTHS%20AS%20AND%20WHEN%20REUIRED..pdf" TargetMode="External"/><Relationship Id="rId181" Type="http://schemas.openxmlformats.org/officeDocument/2006/relationships/hyperlink" Target="https://www.etenders.gov.za/home/Download/?blobName=4e808978-e886-4f68-918e-6610c3c7b25b.docx&amp;downloadedFileName=SBD%206.1%20IN%20TERMS%20OF%20PPR2022.docx" TargetMode="External"/><Relationship Id="rId237" Type="http://schemas.openxmlformats.org/officeDocument/2006/relationships/hyperlink" Target="https://www.etenders.gov.za/home/Download/?blobName=692d8587-e8ae-4bcf-87f1-29023ba8740a.pdf&amp;downloadedFileName=WDM-%202026%2027-03.pdf" TargetMode="External"/><Relationship Id="rId279" Type="http://schemas.openxmlformats.org/officeDocument/2006/relationships/hyperlink" Target="https://www.etenders.gov.za/home/Download/?blobName=4b1c638e-40a6-45e5-b9e9-a7682923a5e1.pdf&amp;downloadedFileName=SIGNED%20INVITATION%20TO%20TENDER%20AS%20AT%2027%20MAY%202026.pdf" TargetMode="External"/><Relationship Id="rId43" Type="http://schemas.openxmlformats.org/officeDocument/2006/relationships/hyperlink" Target="https://www.etenders.gov.za/home/Download/?blobName=3e79eba5-ab04-467e-8f9d-95b857db7c4d.pdf&amp;downloadedFileName=Tender%20Notice%2025%20May%202026.pdf" TargetMode="External"/><Relationship Id="rId139" Type="http://schemas.openxmlformats.org/officeDocument/2006/relationships/hyperlink" Target="https://www.etenders.gov.za/home/Download/?blobName=e8e3dc46-865f-443d-b2f9-cec4baf00182.pdf&amp;downloadedFileName=BID%20DOCUMENT%20TRANSPORT%201440%20PEOPLE%20TO%20COMMEMORATION%20OF%20INGQUZA%20HILL%20MEMORIAL%20LECTURE.pdf" TargetMode="External"/><Relationship Id="rId290" Type="http://schemas.openxmlformats.org/officeDocument/2006/relationships/hyperlink" Target="https://www.etenders.gov.za/home/Download/?blobName=dca7aee9-174b-4fff-ba60-1abb97c4edc7.pdf&amp;downloadedFileName=SIGNED%20INVITATION%20TO%20TENDER%20AS%20AT%2027%20MAY%202026.pdf" TargetMode="External"/><Relationship Id="rId304" Type="http://schemas.openxmlformats.org/officeDocument/2006/relationships/hyperlink" Target="https://www.etenders.gov.za/home/Download/?blobName=d47d2d6c-dd28-422b-afd8-6aa813ff6ec2.pdf&amp;downloadedFileName=COM62-2026%20SUPPLY%20AND%20INSTALLATION%20OF%20DECALS%20ON%20THE%20MUNICIPAL%20VEHICLE.pdf" TargetMode="External"/><Relationship Id="rId85" Type="http://schemas.openxmlformats.org/officeDocument/2006/relationships/hyperlink" Target="https://www.etenders.gov.za/home/Download/?blobName=1e4d9b62-7462-4071-881f-e6b9d360a53c.pdf&amp;downloadedFileName=HIRE%20OF%20WATER%20TANKERSFOR%20HLAHLINDLELA%20AREA%20FOR%20PERIOD%20OF%2036%20MONTHS%208-2-1-589.pdf" TargetMode="External"/><Relationship Id="rId150" Type="http://schemas.openxmlformats.org/officeDocument/2006/relationships/hyperlink" Target="https://www.etenders.gov.za/home/Download/?blobName=bb5160d9-0d76-40ee-a607-2e6821ae5548.docx&amp;downloadedFileName=RFQ_for%20OUTDOOR%20LED%20SCREEN%20DIGITAL%20BILLBOARD%20%2026%20MAY%202026.docx" TargetMode="External"/><Relationship Id="rId192" Type="http://schemas.openxmlformats.org/officeDocument/2006/relationships/hyperlink" Target="https://www.etenders.gov.za/home/Download/?blobName=a12a5796-76c7-4c7d-af8c-7e8af75f3656.pdf&amp;downloadedFileName=Q41-2025_Bid%20Doc.pdf" TargetMode="External"/><Relationship Id="rId206" Type="http://schemas.openxmlformats.org/officeDocument/2006/relationships/hyperlink" Target="https://www.etenders.gov.za/home/Download/?blobName=49d58ef6-ec62-4368-8394-eeeb4277e482.pdf&amp;downloadedFileName=CCB2026-05-01%20Cleaning%20Material.pdf" TargetMode="External"/><Relationship Id="rId248" Type="http://schemas.openxmlformats.org/officeDocument/2006/relationships/hyperlink" Target="https://www.etenders.gov.za/home/Download/?blobName=e195504e-9158-44d3-98f2-c7c1cd648e19.pdf&amp;downloadedFileName=Specification.pdf" TargetMode="External"/><Relationship Id="rId12" Type="http://schemas.openxmlformats.org/officeDocument/2006/relationships/hyperlink" Target="https://www.etenders.gov.za/home/Download/?blobName=d1189582-4cb6-44c9-929e-199a47285bef.pdf&amp;downloadedFileName=Tender%20Document%20Maintenance%20of%20Library%20facilities%20and%20Maintenance%20updated.pdf" TargetMode="External"/><Relationship Id="rId108" Type="http://schemas.openxmlformats.org/officeDocument/2006/relationships/hyperlink" Target="https://www.etenders.gov.za/home/Download/?blobName=5bf045bb-3d04-4192-9aa9-dabf8e22378a.pdf&amp;downloadedFileName=Panel%20for%20Ancilliary%20Works.pdf" TargetMode="External"/><Relationship Id="rId54" Type="http://schemas.openxmlformats.org/officeDocument/2006/relationships/hyperlink" Target="https://www.etenders.gov.za/home/Download/?blobName=de0e2db3-105f-4d84-95d5-6735d8b76f0e.pdf&amp;downloadedFileName=TENDER%20ADVERT%20-%20BS03-05-2026.pdf" TargetMode="External"/><Relationship Id="rId96" Type="http://schemas.openxmlformats.org/officeDocument/2006/relationships/hyperlink" Target="https://www.etenders.gov.za/home/Download/?blobName=66e63abe-fc01-4ae6-a4d5-3dc35a16d8b8.pdf&amp;downloadedFileName=SASKO%20TENDER%20DOCUMENT%208-2-1-599.pdf" TargetMode="External"/><Relationship Id="rId161" Type="http://schemas.openxmlformats.org/officeDocument/2006/relationships/hyperlink" Target="https://www.etenders.gov.za/home/Download/?blobName=81a6794a-e033-4181-b040-d5fb89eef9ed.pdf&amp;downloadedFileName=Quality%20requirements%20(Form%20A)%20%20-%20240-68099512%20Form%20A_Cat%203_%20Rev%209.pdf" TargetMode="External"/><Relationship Id="rId217" Type="http://schemas.openxmlformats.org/officeDocument/2006/relationships/hyperlink" Target="https://www.etenders.gov.za/home/Download/?blobName=b2845208-feef-40c8-9e52-f82cf2eaa617.pdf&amp;downloadedFileName=COJ0105-25-25%20PUBLIC%20SAFETY%20SCRAB.pdf" TargetMode="External"/><Relationship Id="rId259" Type="http://schemas.openxmlformats.org/officeDocument/2006/relationships/hyperlink" Target="https://www.etenders.gov.za/home/Download/?blobName=2461d933-da85-4f9c-9c79-954af073f927.pdf&amp;downloadedFileName=RFP%20HOAC%20VAR%2057488%20OHTE%20WIRES%2022052026_merged%20(1).pdf" TargetMode="External"/><Relationship Id="rId23" Type="http://schemas.openxmlformats.org/officeDocument/2006/relationships/hyperlink" Target="https://www.etenders.gov.za/home/Download/?blobName=cdd03332-da94-4cd6-ad80-32de3509b8a5.pdf&amp;downloadedFileName=Q12-1362%20DOCUMENT.pdf" TargetMode="External"/><Relationship Id="rId119" Type="http://schemas.openxmlformats.org/officeDocument/2006/relationships/hyperlink" Target="https://www.etenders.gov.za/home/Download/?blobName=80e7155e-b6f8-4514-9dc3-6f1310d6dd52.pdf&amp;downloadedFileName=Various%20Projects%2026%20May%202026.pdf" TargetMode="External"/><Relationship Id="rId270" Type="http://schemas.openxmlformats.org/officeDocument/2006/relationships/hyperlink" Target="https://www.etenders.gov.za/home/Download/?blobName=82e2714a-8d8d-46bf-a709-0c0326ca7f22.pdf&amp;downloadedFileName=Znq%2020.26.27%20%20Appointment%20of%20a%20Print%20Media%20Company.pdf" TargetMode="External"/><Relationship Id="rId291" Type="http://schemas.openxmlformats.org/officeDocument/2006/relationships/hyperlink" Target="https://www.etenders.gov.za/home/Download/?blobName=f1a18ba1-3818-494e-8818-9bf84e122377.pdf&amp;downloadedFileName=Materials%20Management%20%20Scope%20of%20Work%20%20supply%20and%20deliver%20of%20varius%20bearings.pdf" TargetMode="External"/><Relationship Id="rId305" Type="http://schemas.openxmlformats.org/officeDocument/2006/relationships/hyperlink" Target="https://www.etenders.gov.za/home/Download/?blobName=26f38167-97bf-4c47-a3b6-5e45a95799fd.pdf&amp;downloadedFileName=ATNS%20RFQ%20-%20Six%20Sigma%20Training.pdf" TargetMode="External"/><Relationship Id="rId44" Type="http://schemas.openxmlformats.org/officeDocument/2006/relationships/hyperlink" Target="https://www.etenders.gov.za/home/Download/?blobName=64b41d2d-3a8e-4d0e-99e8-83fec2cb401f.pdf&amp;downloadedFileName=RFQ%2010371067.pdf" TargetMode="External"/><Relationship Id="rId65" Type="http://schemas.openxmlformats.org/officeDocument/2006/relationships/hyperlink" Target="https://www.etenders.gov.za/home/Download/?blobName=19b27940-593f-48c4-a510-335e7cf094c2.pdf&amp;downloadedFileName=REQUEST%20TO%20PURCHASE%20AND%20INSTALL%20SIX%20FLOODS%20LIGHTS%20AND%20REPLACE%20LIGHTS%20THAT%20ARE%20NOT%20WORKING%20AT%20OBED%20MASHABA%20FIRE%20STATION.pdf" TargetMode="External"/><Relationship Id="rId86" Type="http://schemas.openxmlformats.org/officeDocument/2006/relationships/hyperlink" Target="https://www.etenders.gov.za/home/Download/?blobName=03acd6fb-393e-4711-8a37-9d93d86c2911.pdf&amp;downloadedFileName=ESIGODINI%20TENDER%20DOCUMENT%208-2-1-603.pdf" TargetMode="External"/><Relationship Id="rId130" Type="http://schemas.openxmlformats.org/officeDocument/2006/relationships/hyperlink" Target="https://www.etenders.gov.za/home/Download/?blobName=a93faac5-5802-48e1-bc47-e2912bc4f737.pdf&amp;downloadedFileName=Bid%20document%202226%20COMPUTER%20HARDWARE%20HESSEQUA%20CAMPUS.pdf" TargetMode="External"/><Relationship Id="rId151" Type="http://schemas.openxmlformats.org/officeDocument/2006/relationships/hyperlink" Target="https://www.etenders.gov.za/home/Download/?blobName=602fb41a-c4a7-4d2a-bab2-105c3674b1ae.pdf&amp;downloadedFileName=PAMun%20Bid%20Notice%20-%20RFQ%2084_2026%20Awareness%20materials.pdf" TargetMode="External"/><Relationship Id="rId172" Type="http://schemas.openxmlformats.org/officeDocument/2006/relationships/hyperlink" Target="https://www.etenders.gov.za/home/Download/?blobName=629c03fb-29af-421b-8fb3-58a946659af4.pdf&amp;downloadedFileName=RFQ%2073343%20High%20Mast%20Relocations%20May.pdf" TargetMode="External"/><Relationship Id="rId193" Type="http://schemas.openxmlformats.org/officeDocument/2006/relationships/hyperlink" Target="https://www.etenders.gov.za/home/Download/?blobName=7022d0cb-9387-497e-9b1f-b63f77714442.pdf&amp;downloadedFileName=Q30B-2025%20Bid%20Doc.pdf" TargetMode="External"/><Relationship Id="rId207" Type="http://schemas.openxmlformats.org/officeDocument/2006/relationships/hyperlink" Target="https://www.etenders.gov.za/home/Download/?blobName=f1a911cd-8db7-4110-bb03-ae901a15d102.pdf&amp;downloadedFileName=ECL%20Advert.pdf" TargetMode="External"/><Relationship Id="rId228" Type="http://schemas.openxmlformats.org/officeDocument/2006/relationships/hyperlink" Target="https://www.etenders.gov.za/home/Download/?blobName=7aff4cbc-6343-4843-8088-037675b37e6a.pdf&amp;downloadedFileName=ENS-NWPVR-SPE-25004.pdf" TargetMode="External"/><Relationship Id="rId249" Type="http://schemas.openxmlformats.org/officeDocument/2006/relationships/hyperlink" Target="https://www.etenders.gov.za/home/Download/?blobName=a4de1119-2e68-47f2-8daf-2bbd2e7bbd79.pdf&amp;downloadedFileName=PRR00321%20Standard%20Bidding%20Documents%20and%20Spec.pdf" TargetMode="External"/><Relationship Id="rId13" Type="http://schemas.openxmlformats.org/officeDocument/2006/relationships/hyperlink" Target="https://www.etenders.gov.za/home/Download/?blobName=c78e3420-9bd8-46f9-884b-20226f569fed.pdf&amp;downloadedFileName=2026-084.pdf" TargetMode="External"/><Relationship Id="rId109" Type="http://schemas.openxmlformats.org/officeDocument/2006/relationships/hyperlink" Target="https://www.etenders.gov.za/home/Download/?blobName=74b526f6-7a28-4302-990b-386687f172da.pdf&amp;downloadedFileName=Panel%20for%20Concrete%20Products-2026.pdf" TargetMode="External"/><Relationship Id="rId260" Type="http://schemas.openxmlformats.org/officeDocument/2006/relationships/hyperlink" Target="https://www.etenders.gov.za/home/Download/?blobName=500e9dbd-a632-4586-83a9-125ef71ef001.pdf&amp;downloadedFileName=SBD%204_Annexure%20A.pdf" TargetMode="External"/><Relationship Id="rId281" Type="http://schemas.openxmlformats.org/officeDocument/2006/relationships/hyperlink" Target="https://www.etenders.gov.za/home/Download/?blobName=08039556-56f4-4ba2-9f8b-be49d489c3ec.pdf&amp;downloadedFileName=SIGNED%20INVITATION%20TO%20TENDER%20AS%20AT%2027%20MAY%202026.pdf" TargetMode="External"/><Relationship Id="rId34" Type="http://schemas.openxmlformats.org/officeDocument/2006/relationships/hyperlink" Target="https://www.etenders.gov.za/home/Download/?blobName=6d274371-b150-41f4-9da3-e2d5d89d3b95.pdf&amp;downloadedFileName=RFQJW094TN26%20-%20LABORATORY%20BOTTLE%20TOP%20DISPENSERS.pdf" TargetMode="External"/><Relationship Id="rId55" Type="http://schemas.openxmlformats.org/officeDocument/2006/relationships/hyperlink" Target="https://www.etenders.gov.za/home/Download/?blobName=9e499a59-d133-4db7-a5c1-158f36ec257e.zip&amp;downloadedFileName=12.2%20ENGINEERING%20DRAWINGS.zip" TargetMode="External"/><Relationship Id="rId76" Type="http://schemas.openxmlformats.org/officeDocument/2006/relationships/hyperlink" Target="https://www.etenders.gov.za/home/Download/?blobName=43de193f-0e63-4899-ae56-6a64c68c8761.pdf&amp;downloadedFileName=Drawings%20with%20specifications.pdf" TargetMode="External"/><Relationship Id="rId97" Type="http://schemas.openxmlformats.org/officeDocument/2006/relationships/hyperlink" Target="https://www.etenders.gov.za/home/Download/?blobName=43a9d9e3-0ed6-41f8-b613-aaa422fb37c6.pdf&amp;downloadedFileName=NGENETSHENI%20TENDER%20DOCUMENT%208-2-1-596.pdf" TargetMode="External"/><Relationship Id="rId120" Type="http://schemas.openxmlformats.org/officeDocument/2006/relationships/hyperlink" Target="https://www.etenders.gov.za/home/Download/?blobName=987365ad-b569-4254-8417-b87607035043.pdf&amp;downloadedFileName=RFQ%20-%20PPA-122028.pdf" TargetMode="External"/><Relationship Id="rId141" Type="http://schemas.openxmlformats.org/officeDocument/2006/relationships/hyperlink" Target="https://www.etenders.gov.za/home/Download/?blobName=1060b833-dce6-4b17-9813-b532f7387da1.pdf&amp;downloadedFileName=BID%20DOCUMENT%20TRANSPORT%20960%20PEOPLE%20TO%20WOMEN%20EMPOWERMENT%20PROGRAM.pdf" TargetMode="External"/><Relationship Id="rId7" Type="http://schemas.openxmlformats.org/officeDocument/2006/relationships/hyperlink" Target="https://www.etenders.gov.za/home/Download/?blobName=a1013d55-1c44-404b-860b-604e22002fba.docx&amp;downloadedFileName=Supplier%20Declaration%20of%20Interest%20Template.docx" TargetMode="External"/><Relationship Id="rId162" Type="http://schemas.openxmlformats.org/officeDocument/2006/relationships/hyperlink" Target="https://www.etenders.gov.za/home/Download/?blobName=e5a84f4c-b5ea-41cb-ad39-44b63eac628c.pdf&amp;downloadedFileName=TEN0000000077-GTAC004-2026-27%20Advert.pdf" TargetMode="External"/><Relationship Id="rId183" Type="http://schemas.openxmlformats.org/officeDocument/2006/relationships/hyperlink" Target="https://www.etenders.gov.za/home/Download/?blobName=322cabd9-1ae8-4dd7-99ee-52bcbf1f95e6.pdf&amp;downloadedFileName=Annexure%20A%20GCC.pdf" TargetMode="External"/><Relationship Id="rId218" Type="http://schemas.openxmlformats.org/officeDocument/2006/relationships/hyperlink" Target="https://www.etenders.gov.za/home/Download/?blobName=c89605b7-7e62-4e40-aac0-10887adb2482.pdf&amp;downloadedFileName=African%20Data%20Science%20Conference%202026%20ToR.pdf" TargetMode="External"/><Relationship Id="rId239" Type="http://schemas.openxmlformats.org/officeDocument/2006/relationships/hyperlink" Target="https://www.etenders.gov.za/home/Download/?blobName=85e933f8-f52a-48c6-b26c-4709056fba47.pdf&amp;downloadedFileName=WDM-%202026%2027-05.pdf" TargetMode="External"/><Relationship Id="rId250" Type="http://schemas.openxmlformats.org/officeDocument/2006/relationships/hyperlink" Target="https://www.etenders.gov.za/home/Download/?blobName=c619abdd-6efb-4997-95ce-8130f88d93f9.pdf&amp;downloadedFileName=ADVERT%20REQ00228-SUPPLY,%20DELIVERY%20AND%20INSTALLATION%20OF%20BRANDING%20AND%20SIGNAGE%20FOR%20UMZINYATHI%20DISTRICT%20DEVELOPMENT%20AGENCY%20ON%20BEHALF%20OF%20SSETHEMBE%20SERVICES.pdf" TargetMode="External"/><Relationship Id="rId271" Type="http://schemas.openxmlformats.org/officeDocument/2006/relationships/hyperlink" Target="https://www.etenders.gov.za/home/Download/?blobName=5d1c28ab-126f-4aa2-800a-cc4c5d9a3f37.pdf&amp;downloadedFileName=ToR_Refurbishment%20of%20Zastron%20WWTW_20260526%20Rev04%20(002)%20(002).pdf" TargetMode="External"/><Relationship Id="rId292" Type="http://schemas.openxmlformats.org/officeDocument/2006/relationships/hyperlink" Target="https://www.etenders.gov.za/home/Download/?blobName=4fc585b0-9c03-498b-8d5a-e0bbf4a949f2.zip&amp;downloadedFileName=Tender%20documents.zip" TargetMode="External"/><Relationship Id="rId306" Type="http://schemas.openxmlformats.org/officeDocument/2006/relationships/hyperlink" Target="https://www.etenders.gov.za/home/Download/?blobName=239795d4-b74b-409b-8923-1f1bfcdbd164.pdf&amp;downloadedFileName=Standard%20Bidding%20Document%20(SDB)%204.pdf" TargetMode="External"/><Relationship Id="rId24" Type="http://schemas.openxmlformats.org/officeDocument/2006/relationships/hyperlink" Target="https://www.etenders.gov.za/home/Download/?blobName=e803686d-c295-4ec6-850e-92c719fb17f9.pdf&amp;downloadedFileName=QUOTATION%20DOCUMENT%20-%20TO%20CONDUCT%20STATUS%20OF%20SUBSTANCE%20ABUSE%20IN%20KWAZULU-NATAL.pdf" TargetMode="External"/><Relationship Id="rId45" Type="http://schemas.openxmlformats.org/officeDocument/2006/relationships/hyperlink" Target="https://www.etenders.gov.za/home/Download/?blobName=c68aaaea-eca8-4f2a-8332-422410fbebde.pdf&amp;downloadedFileName=RFQ%20-%20SHE%20REP%20-10364566.pdf" TargetMode="External"/><Relationship Id="rId66" Type="http://schemas.openxmlformats.org/officeDocument/2006/relationships/hyperlink" Target="https://www.etenders.gov.za/home/Download/?blobName=df98da9d-c44f-46f9-af6c-ccc467f81675.pdf&amp;downloadedFileName=REQUEST%20TO%20PURCHASE%20OF%20SIX%20(6)%20118%20PIECES%20TOOLS%20BOXES%20FOR%20VHEMBE%20DISTRICT%20MUNICUPALITY%20FIRE%20STATIOINS.pdf" TargetMode="External"/><Relationship Id="rId87" Type="http://schemas.openxmlformats.org/officeDocument/2006/relationships/hyperlink" Target="https://www.etenders.gov.za/home/Download/?blobName=3975ad8c-5f10-4a16-9464-b2730a8765d9.pdf&amp;downloadedFileName=NKONGOLWANE%20TENDER%20DOCUMENT%208-2-1-610.pdf" TargetMode="External"/><Relationship Id="rId110" Type="http://schemas.openxmlformats.org/officeDocument/2006/relationships/hyperlink" Target="https://www.etenders.gov.za/home/Download/?blobName=176dae1b-fde4-4d9f-8ace-1121ffbf8beb.zip&amp;downloadedFileName=X.004-146-2026_1F%20-%20Sub-Consultant%20Advert.zip" TargetMode="External"/><Relationship Id="rId131" Type="http://schemas.openxmlformats.org/officeDocument/2006/relationships/hyperlink" Target="https://www.etenders.gov.za/home/Download/?blobName=1e7de66a-6695-49a6-a207-9902b0b11062.pdf&amp;downloadedFileName=RFP090-2026%20Digital%20Agency.pdf" TargetMode="External"/><Relationship Id="rId152" Type="http://schemas.openxmlformats.org/officeDocument/2006/relationships/hyperlink" Target="https://www.etenders.gov.za/home/Download/?blobName=1eb64a9a-34c1-4231-935d-65cc0f8e09c8.pdf&amp;downloadedFileName=PAMun%20Bid%20Notice%20-%20RFQ%2086_2026%20Tools%20and%20equipment.pdf" TargetMode="External"/><Relationship Id="rId173" Type="http://schemas.openxmlformats.org/officeDocument/2006/relationships/hyperlink" Target="https://www.etenders.gov.za/home/Download/?blobName=80785829-682d-4846-940e-c1119938c2c9.pdf&amp;downloadedFileName=Tender%20Cancellation%20-%20E1133GXMPMAT.pdf" TargetMode="External"/><Relationship Id="rId194" Type="http://schemas.openxmlformats.org/officeDocument/2006/relationships/hyperlink" Target="https://www.etenders.gov.za/home/Download/?blobName=79db2531-75bf-47f1-9ceb-2d4198d7382a.pdf&amp;downloadedFileName=RFQ0001211.pdf" TargetMode="External"/><Relationship Id="rId208" Type="http://schemas.openxmlformats.org/officeDocument/2006/relationships/hyperlink" Target="https://www.etenders.gov.za/home/Download/?blobName=f1098030-bf72-4a9b-9b87-f42c49c5a037.pdf&amp;downloadedFileName=RFB%20RAF%202026%2000018%20CLOUD%20BASED%20INTEGRATED%20MEDICAL%20MANAGEMENT%20SOLUTION.pdf" TargetMode="External"/><Relationship Id="rId229" Type="http://schemas.openxmlformats.org/officeDocument/2006/relationships/hyperlink" Target="https://www.etenders.gov.za/home/Download/?blobName=b3b9f1a1-b41e-4566-91ce-0a0a255d66a9.pdf&amp;downloadedFileName=Tender%20document%20for%20Solar%20Panel-Reissue.pdf" TargetMode="External"/><Relationship Id="rId240" Type="http://schemas.openxmlformats.org/officeDocument/2006/relationships/hyperlink" Target="https://www.etenders.gov.za/home/Download/?blobName=85339aa6-9e45-465e-94f5-c519a18bdc7b.pdf&amp;downloadedFileName=RFQ-4185%20Installation%20of%20Burglar%20bars%20and%20Aluminium%20-.pdf" TargetMode="External"/><Relationship Id="rId261" Type="http://schemas.openxmlformats.org/officeDocument/2006/relationships/hyperlink" Target="https://www.etenders.gov.za/home/Download/?blobName=b72ae26d-3dac-48f3-ab4b-3e85e9bc424f.pdf&amp;downloadedFileName=FINAL%20Winburg%20WWTW%20_ToR.pdf" TargetMode="External"/><Relationship Id="rId14" Type="http://schemas.openxmlformats.org/officeDocument/2006/relationships/hyperlink" Target="https://www.etenders.gov.za/home/Download/?blobName=8ddc6f28-1d76-430a-9ddc-1644d2ec64ea.pdf&amp;downloadedFileName=2026-075.pdf" TargetMode="External"/><Relationship Id="rId35" Type="http://schemas.openxmlformats.org/officeDocument/2006/relationships/hyperlink" Target="https://www.etenders.gov.za/home/Download/?blobName=98504bbe-7a5f-43e0-9fc0-f0830cc17c55.pdf&amp;downloadedFileName=RFQJW099TN26%20-%20VESDA%20SYSTEM%20SERVICING.pdf" TargetMode="External"/><Relationship Id="rId56" Type="http://schemas.openxmlformats.org/officeDocument/2006/relationships/hyperlink" Target="https://www.etenders.gov.za/home/Download/?blobName=381d4f23-ee95-4d3c-b2f3-86ffd358d0cc.pdf&amp;downloadedFileName=RFQ%20BB%2028_2026%20Laptops.pdf" TargetMode="External"/><Relationship Id="rId77" Type="http://schemas.openxmlformats.org/officeDocument/2006/relationships/hyperlink" Target="https://www.etenders.gov.za/home/Download/?blobName=0932a41d-49e0-4803-9e64-a9add9f7201a.pdf&amp;downloadedFileName=Bid%20Document.docx.pdf" TargetMode="External"/><Relationship Id="rId100" Type="http://schemas.openxmlformats.org/officeDocument/2006/relationships/hyperlink" Target="https://www.etenders.gov.za/home/Download/?blobName=484dcf3b-6a15-40d0-bf62-e8a659021b6e.pdf&amp;downloadedFileName=EMONDLO%20OFFICE%20TENDER%20DOCUMENT%208-2-1-611.pdf" TargetMode="External"/><Relationship Id="rId282" Type="http://schemas.openxmlformats.org/officeDocument/2006/relationships/hyperlink" Target="https://www.etenders.gov.za/home/Download/?blobName=2eca5de6-baaa-41a1-9387-6bfa0e00a2d3.pdf&amp;downloadedFileName=PUBLIC%20RELATIONS%20MANAGEMENT%20AND%20STRATEGIC%20CORPORATE%20COMMUNICATION%20SERVICES%20TO%20THE%20NATIONAL%20LOTTERIES%20COMMISSION.pdf" TargetMode="External"/><Relationship Id="rId8" Type="http://schemas.openxmlformats.org/officeDocument/2006/relationships/hyperlink" Target="https://www.etenders.gov.za/home/Download/?blobName=2e843dc9-8fcf-4fb0-9b3f-07ea1f37de83.pdf&amp;downloadedFileName=E-Tenderers%20E-Tendering%20Training%20Acknowledgement%20Form%20-%2027%20January%202025.pdf" TargetMode="External"/><Relationship Id="rId98" Type="http://schemas.openxmlformats.org/officeDocument/2006/relationships/hyperlink" Target="https://www.etenders.gov.za/home/Download/?blobName=6af4bf80-f70b-43d7-9b08-6711883524aa.pdf&amp;downloadedFileName=MBAMBONGOCU%20TENDER%20DOCUMENT%208-2-1-601.pdf" TargetMode="External"/><Relationship Id="rId121" Type="http://schemas.openxmlformats.org/officeDocument/2006/relationships/hyperlink" Target="https://www.etenders.gov.za/home/Download/?blobName=65bc91a1-353f-4cd8-ab30-4715541e471b.pdf&amp;downloadedFileName=RFQ-PPA-110613.pdf" TargetMode="External"/><Relationship Id="rId142" Type="http://schemas.openxmlformats.org/officeDocument/2006/relationships/hyperlink" Target="https://www.etenders.gov.za/home/Download/?blobName=51f571d2-3882-445a-9453-6db22c620796.pdf&amp;downloadedFileName=RFQ%20R&amp;E%20High-end%20multimedia%20touch%20guide%20devices.pdf" TargetMode="External"/><Relationship Id="rId163" Type="http://schemas.openxmlformats.org/officeDocument/2006/relationships/hyperlink" Target="https://www.etenders.gov.za/home/Download/?blobName=e316271c-d6f1-40d3-8bca-94045cf2f21c.pdf&amp;downloadedFileName=EOL%20-%20MECHANISATION%20SERVICES.pdf" TargetMode="External"/><Relationship Id="rId184" Type="http://schemas.openxmlformats.org/officeDocument/2006/relationships/hyperlink" Target="https://www.etenders.gov.za/home/Download/?blobName=e9332ced-a2fc-4dfb-8d26-875d6035b4ca.pdf&amp;downloadedFileName=RFQ%20201980%20Gardening%20Services.pdf" TargetMode="External"/><Relationship Id="rId219" Type="http://schemas.openxmlformats.org/officeDocument/2006/relationships/hyperlink" Target="https://www.etenders.gov.za/home/Download/?blobName=1625197d-902f-4d5e-b00d-359086646416.pdf&amp;downloadedFileName=34794-1D%20-%20Baseline%20Risk%20Assessment..pdf" TargetMode="External"/><Relationship Id="rId230" Type="http://schemas.openxmlformats.org/officeDocument/2006/relationships/hyperlink" Target="https://www.etenders.gov.za/home/Download/?blobName=1b839be0-8e70-4674-9191-e442adbedfba.pdf&amp;downloadedFileName=RCCH21-2025%20-%20BID%20DOCUMENT.pdf" TargetMode="External"/><Relationship Id="rId251" Type="http://schemas.openxmlformats.org/officeDocument/2006/relationships/hyperlink" Target="https://www.etenders.gov.za/home/Download/?blobName=a3f2831f-3cc5-4092-840d-0df75e3c8d21.pdf&amp;downloadedFileName=ViewTenderNoticePdf.pdf" TargetMode="External"/><Relationship Id="rId25" Type="http://schemas.openxmlformats.org/officeDocument/2006/relationships/hyperlink" Target="https://www.etenders.gov.za/home/Download/?blobName=a79e1166-e10b-4e45-a0a1-28829fca195a.pdf&amp;downloadedFileName=RFQ_LEGAL%20RESEARCH%20PLATFORM.pdf" TargetMode="External"/><Relationship Id="rId46" Type="http://schemas.openxmlformats.org/officeDocument/2006/relationships/hyperlink" Target="https://www.etenders.gov.za/home/Download/?blobName=9797c72e-25ed-441a-9dc3-6b88fa344600.pdf&amp;downloadedFileName=BLANKETS%208%202%20RNM0632%20LATEST.pdf" TargetMode="External"/><Relationship Id="rId67" Type="http://schemas.openxmlformats.org/officeDocument/2006/relationships/hyperlink" Target="https://www.etenders.gov.za/home/Download/?blobName=faa4ba80-d668-4c3c-9b61-48bba006c15b.pdf&amp;downloadedFileName=RFQ%2074238%20Provision%20of%20Painting%20Maintenance%20Service.pdf" TargetMode="External"/><Relationship Id="rId272" Type="http://schemas.openxmlformats.org/officeDocument/2006/relationships/hyperlink" Target="https://www.etenders.gov.za/home/Download/?blobName=c5eeaecd-5b12-4e60-b021-fa88cb287d19.pdf&amp;downloadedFileName=EoI%20-%20Mechanisation%20Services%20-%202026%20final%20final%20.pdf" TargetMode="External"/><Relationship Id="rId293" Type="http://schemas.openxmlformats.org/officeDocument/2006/relationships/hyperlink" Target="https://www.etenders.gov.za/home/Download/?blobName=7ea31d0d-6894-40f2-92c1-6357faa9beb1.pdf&amp;downloadedFileName=CIDB%20Advert%20-%20FBC%20T3-2026.pdf" TargetMode="External"/><Relationship Id="rId307" Type="http://schemas.openxmlformats.org/officeDocument/2006/relationships/hyperlink" Target="https://www.etenders.gov.za/home/Download/?blobName=a6293cda-381e-4dc7-8b2a-4b3c0e106036.pdf&amp;downloadedFileName=BID%20DESCRIPTION%20PANEL%20APPOINTMENT%20FOR%20THE%20DESIGN.pdf" TargetMode="External"/><Relationship Id="rId88" Type="http://schemas.openxmlformats.org/officeDocument/2006/relationships/hyperlink" Target="https://www.etenders.gov.za/home/Download/?blobName=a1323407-bd88-4595-9f47-259d741fcb2b.pdf&amp;downloadedFileName=ST.%20JUTE%20TENDER%20DOCUMENT%208-2-1-608.pdf" TargetMode="External"/><Relationship Id="rId111" Type="http://schemas.openxmlformats.org/officeDocument/2006/relationships/hyperlink" Target="https://www.etenders.gov.za/home/Download/?blobName=bb367007-b775-45e6-8e07-20efa92d0272.pdf&amp;downloadedFileName=Student%20Bags%20document%202026.pdf" TargetMode="External"/><Relationship Id="rId132" Type="http://schemas.openxmlformats.org/officeDocument/2006/relationships/hyperlink" Target="https://www.etenders.gov.za/home/Download/?blobName=69ea37d7-113d-4b16-afcc-584ac956fbae.pdf&amp;downloadedFileName=KFW%20Advert.pdf" TargetMode="External"/><Relationship Id="rId153" Type="http://schemas.openxmlformats.org/officeDocument/2006/relationships/hyperlink" Target="https://www.etenders.gov.za/home/Download/?blobName=cae89f42-c325-4b9a-845a-dc14b39d5c0d.pdf&amp;downloadedFileName=Bid%20Notice%20-%20RFQ%2085_2026%20(Odendaal%20Sport_Construction%20OHS%20Agent).pdf" TargetMode="External"/><Relationship Id="rId174" Type="http://schemas.openxmlformats.org/officeDocument/2006/relationships/hyperlink" Target="https://www.etenders.gov.za/home/Download/?blobName=c5cefda2-294d-4e26-bf92-16608839d59c.pdf&amp;downloadedFileName=RFQ_16814_SUPPLY%20AND%20DELIVER%20OF%20HEAVY%20DUTY%20TRACTORS%20at%20Chief%20Dawid%20Stuurman%20Airport..pdf" TargetMode="External"/><Relationship Id="rId195" Type="http://schemas.openxmlformats.org/officeDocument/2006/relationships/hyperlink" Target="https://www.etenders.gov.za/home/Download/?blobName=10bbb289-7a13-4c37-9d9f-4e69e691daee.docx&amp;downloadedFileName=SCOPE%20AND%20Decription%20of%20Infra%20Project%20Office%20Plotter.docx" TargetMode="External"/><Relationship Id="rId209" Type="http://schemas.openxmlformats.org/officeDocument/2006/relationships/hyperlink" Target="https://www.etenders.gov.za/home/Download/?blobName=e5b85ed9-7581-4941-8e78-7fa4c0ff292b.pdf&amp;downloadedFileName=Emzinoni%20Bulk%20advert.pdf" TargetMode="External"/><Relationship Id="rId220" Type="http://schemas.openxmlformats.org/officeDocument/2006/relationships/hyperlink" Target="https://www.etenders.gov.za/home/Download/?blobName=46244577-b672-496b-9622-20a15ccc360e.pdf&amp;downloadedFileName=SchedQuantitiesSectionSummaryRep.pdf" TargetMode="External"/><Relationship Id="rId241" Type="http://schemas.openxmlformats.org/officeDocument/2006/relationships/hyperlink" Target="https://www.etenders.gov.za/home/Download/?blobName=7111fc19-b793-4538-9a01-d2a411598423.pdf&amp;downloadedFileName=RFQ%204289b.pdf" TargetMode="External"/><Relationship Id="rId15" Type="http://schemas.openxmlformats.org/officeDocument/2006/relationships/hyperlink" Target="https://www.etenders.gov.za/home/Download/?blobName=25c82fd8-55e8-4995-8136-22abe3d74c5e.pdf&amp;downloadedFileName=2026-054%20Updared%20Voulume%201%20Centre%20of%20Excellence.pdf" TargetMode="External"/><Relationship Id="rId36" Type="http://schemas.openxmlformats.org/officeDocument/2006/relationships/hyperlink" Target="https://www.etenders.gov.za/home/Download/?blobName=d59e4d42-6cd8-484a-a036-852c33d3c4af.pdf&amp;downloadedFileName=RFQJW113NS26-Supply,%20Deliver%20And%20Off-Load%20Electric%20Motors%20And%20Geared%20Motors(25%20May-11%20June).pdf" TargetMode="External"/><Relationship Id="rId57" Type="http://schemas.openxmlformats.org/officeDocument/2006/relationships/hyperlink" Target="https://www.etenders.gov.za/home/Download/?blobName=60b4ff1a-1602-4ae2-9a55-a11c4a67dd4d.pdf&amp;downloadedFileName=BID%20ADVERTS%20-%20Provision%20of%20insurance%20services%20for%20municipal%20assests%20for%20a%20period%20of%20%203%20years.pdf" TargetMode="External"/><Relationship Id="rId262" Type="http://schemas.openxmlformats.org/officeDocument/2006/relationships/hyperlink" Target="https://www.etenders.gov.za/home/Download/?blobName=eebe1c56-eeca-408b-98d5-39fc137f96e7.pdf&amp;downloadedFileName=Master%20Agreement%20for%20Rental%20of%20Generators%20for%20a%20period%20of%203,5%20months).pdf" TargetMode="External"/><Relationship Id="rId283" Type="http://schemas.openxmlformats.org/officeDocument/2006/relationships/hyperlink" Target="https://www.etenders.gov.za/home/Download/?blobName=6120b7c3-046d-413e-a1b8-f53503c5871a.pdf&amp;downloadedFileName=240-128515850-Documentation%20Handover%20Specification%20(1).pdf" TargetMode="External"/><Relationship Id="rId78" Type="http://schemas.openxmlformats.org/officeDocument/2006/relationships/hyperlink" Target="https://www.etenders.gov.za/home/Download/?blobName=df421157-65ff-47b5-b22e-ba35f0615cc2.pdf&amp;downloadedFileName=Refurbishment%20and%20Upgrade%20of%20Protea%20Drive%20Bridge%20Tender%20Advert%20Signed.pdf" TargetMode="External"/><Relationship Id="rId99" Type="http://schemas.openxmlformats.org/officeDocument/2006/relationships/hyperlink" Target="https://www.etenders.gov.za/home/Download/?blobName=b1d4773e-5b0c-4f21-bcd5-5c0648967a1c.pdf&amp;downloadedFileName=BHEKUMTHETHO%20TENDER%20DOCUMENT%20-%208-2-1-607.pdf" TargetMode="External"/><Relationship Id="rId101" Type="http://schemas.openxmlformats.org/officeDocument/2006/relationships/hyperlink" Target="https://www.etenders.gov.za/home/Download/?blobName=816c961e-4181-4650-814a-a2aec67c914f.pdf&amp;downloadedFileName=SANParks%20RFP%20No.KNP-286328%20Supply%20and%20install%20elephant%20detterent%20Panels%20with%20protruding%20rods%20along%20western%20boundary.%202026-1.pdf" TargetMode="External"/><Relationship Id="rId122" Type="http://schemas.openxmlformats.org/officeDocument/2006/relationships/hyperlink" Target="https://www.etenders.gov.za/home/Download/?blobName=40dceeb5-1da7-4480-a3f8-13c21b56a2d7.pdf&amp;downloadedFileName=BID%20DOCUMENT-APPOINTMENT%20OF%20A%20SERVICE%20PROVIDER%20FOR%20THE%20PROVISION%20OF%20CLEANING%20SERVICES%20AT%20THE%20CCMA%20EKURHULENI%20OFFICE%20FOR%20A%20PERIOD%20OF%20SIXTY%20(60)%20MONTHS.pdf" TargetMode="External"/><Relationship Id="rId143" Type="http://schemas.openxmlformats.org/officeDocument/2006/relationships/hyperlink" Target="https://www.etenders.gov.za/home/Download/?blobName=b92b3302-bc0c-4c6e-ad0c-78b9496d8cff.pdf&amp;downloadedFileName=TENDER%20DOCUMENT%20SUPPLY%20AND%20DELIVERY%20OF%20SOCCER%20KITS%20AND%20EQUIPMENT.pdf" TargetMode="External"/><Relationship Id="rId164" Type="http://schemas.openxmlformats.org/officeDocument/2006/relationships/hyperlink" Target="https://www.etenders.gov.za/home/Download/?blobName=7d0c52e7-83a6-409e-bacc-40de2b141961.pdf&amp;downloadedFileName=SUPPLY%20AND%20DELIVER%20OF%20CHERRY%20PICKER.pdf" TargetMode="External"/><Relationship Id="rId185" Type="http://schemas.openxmlformats.org/officeDocument/2006/relationships/hyperlink" Target="https://www.etenders.gov.za/home/Download/?blobName=034ac4e9-e425-491d-ae69-185bae80df67.pdf&amp;downloadedFileName=RFQ%20201880%20JDE%20Functional%20Support%20Services.pdf" TargetMode="External"/><Relationship Id="rId9" Type="http://schemas.openxmlformats.org/officeDocument/2006/relationships/hyperlink" Target="https://www.etenders.gov.za/home/Download/?blobName=8a362db0-255e-4ee8-b07b-f8fa87d993c7.pdf&amp;downloadedFileName=Tender%20Document%20paving%20of%20Ward%2001%20updated-Final_.pdf" TargetMode="External"/><Relationship Id="rId210" Type="http://schemas.openxmlformats.org/officeDocument/2006/relationships/hyperlink" Target="https://www.etenders.gov.za/home/Download/?blobName=ce325a8e-1d67-44b5-a5c4-98cb576f8964.pdf&amp;downloadedFileName=Advert%20for%20EOI%20LEATHER%20AND%20FOOTWARE.pdf" TargetMode="External"/><Relationship Id="rId26" Type="http://schemas.openxmlformats.org/officeDocument/2006/relationships/hyperlink" Target="https://www.etenders.gov.za/home/Download/?blobName=d7705968-e2ff-468c-bc2e-52cf9c686e21.pdf&amp;downloadedFileName=ANNEXURE%20H%20-%20BRIBERY%20AND%20CORRUPTION%20DECLARATION.pdf" TargetMode="External"/><Relationship Id="rId231" Type="http://schemas.openxmlformats.org/officeDocument/2006/relationships/hyperlink" Target="https://www.etenders.gov.za/home/Download/?blobName=7db2a3d7-cf5e-43ac-b356-8c15fcbfd3fc.pdf&amp;downloadedFileName=RFQ%20-%20HO-%201697.1%20-%20Public%20Key%20Infrastructure%20And%20Certificate%20Lifecycle%20Management%20Services%20For%20One%20Year.pdf" TargetMode="External"/><Relationship Id="rId252" Type="http://schemas.openxmlformats.org/officeDocument/2006/relationships/hyperlink" Target="https://www.etenders.gov.za/home/Download/?blobName=051b2233-c831-4698-b6d9-00a3fa6b3055.pdf&amp;downloadedFileName=1128RFP.pdf" TargetMode="External"/><Relationship Id="rId273" Type="http://schemas.openxmlformats.org/officeDocument/2006/relationships/hyperlink" Target="https://www.etenders.gov.za/home/Download/?blobName=342161d9-7a83-4407-9440-0faf67a763f1.pdf&amp;downloadedFileName=General%20Conditions%20of%20Contract.pdf" TargetMode="External"/><Relationship Id="rId294" Type="http://schemas.openxmlformats.org/officeDocument/2006/relationships/hyperlink" Target="https://www.etenders.gov.za/home/Download/?blobName=c5088666-6eab-4067-942c-57eb80965e84.pdf&amp;downloadedFileName=GCC.pdf" TargetMode="External"/><Relationship Id="rId47" Type="http://schemas.openxmlformats.org/officeDocument/2006/relationships/hyperlink" Target="https://www.etenders.gov.za/home/Download/?blobName=0c20db17-c4db-459e-b4c6-610f8a3498d4.docx&amp;downloadedFileName=RFQ.docx" TargetMode="External"/><Relationship Id="rId68" Type="http://schemas.openxmlformats.org/officeDocument/2006/relationships/hyperlink" Target="https://www.etenders.gov.za/home/Download/?blobName=4701023f-e750-4eff-9eac-42e9a63a4134.pdf&amp;downloadedFileName=TENDER%20ADVERT%20FOR%20CONSTRUCTION%20OF%20MBHOSHONGWENI%20ROAD.pdf" TargetMode="External"/><Relationship Id="rId89" Type="http://schemas.openxmlformats.org/officeDocument/2006/relationships/hyperlink" Target="https://www.etenders.gov.za/home/Download/?blobName=a11ad1bf-8ac7-42c8-98b1-52c784a5c34c.pdf&amp;downloadedFileName=HLUMA%20TENDER%20DOCUMENTS%208-2-1-600.pdf" TargetMode="External"/><Relationship Id="rId112" Type="http://schemas.openxmlformats.org/officeDocument/2006/relationships/hyperlink" Target="https://www.etenders.gov.za/home/Download/?blobName=c15e27f2-4c92-4c98-bc50-7b0b15d6c8ed.docx&amp;downloadedFileName=advert%20tender%20Stationery.docx" TargetMode="External"/><Relationship Id="rId133" Type="http://schemas.openxmlformats.org/officeDocument/2006/relationships/hyperlink" Target="https://www.etenders.gov.za/home/Download/?blobName=8cdc00d6-a14e-45f8-bce1-52df29f7ec83.pdf&amp;downloadedFileName=RFQ%20for%20Minutes%20Taking.pdf" TargetMode="External"/><Relationship Id="rId154" Type="http://schemas.openxmlformats.org/officeDocument/2006/relationships/hyperlink" Target="https://www.etenders.gov.za/home/Download/?blobName=2b4a6a18-ff78-48e5-94f0-d01e74a516eb.pdf&amp;downloadedFileName=Tender%20Document%20-%20AIA%20Ketlengrivier%20and%20JB%20Marks.pdf" TargetMode="External"/><Relationship Id="rId175" Type="http://schemas.openxmlformats.org/officeDocument/2006/relationships/hyperlink" Target="https://www.etenders.gov.za/home/Download/?blobName=fa5739dc-94da-40d3-8025-7bf2202bde98.pdf&amp;downloadedFileName=RFQ_SUPPORT%20AND%20MAINTENANCE%20OF%20SAGE%20PASTEL%20EVOLUTION%20FINAL.pdf" TargetMode="External"/><Relationship Id="rId196" Type="http://schemas.openxmlformats.org/officeDocument/2006/relationships/hyperlink" Target="https://www.etenders.gov.za/home/Download/?blobName=91b4af11-4334-47e4-ab6b-42bfb7a1f368.pdf&amp;downloadedFileName=Cleaning%20Document%20-%20UMkhanyakude%20Sub-District%20-%202026.pdf" TargetMode="External"/><Relationship Id="rId200" Type="http://schemas.openxmlformats.org/officeDocument/2006/relationships/hyperlink" Target="https://www.etenders.gov.za/home/Download/?blobName=c96fab19-968a-4c6c-871d-3ee8e6670014.pdf&amp;downloadedFileName=Bid%20Document%20Livingstone%20Hospital%20RRR%20to%20Holding%20area.pdf" TargetMode="External"/><Relationship Id="rId16" Type="http://schemas.openxmlformats.org/officeDocument/2006/relationships/hyperlink" Target="https://www.etenders.gov.za/home/Download/?blobName=a449ddab-8de9-4596-8de0-9c002ed8f086.pdf&amp;downloadedFileName=Advert%20for%20the%20week.pdf" TargetMode="External"/><Relationship Id="rId221" Type="http://schemas.openxmlformats.org/officeDocument/2006/relationships/hyperlink" Target="https://www.etenders.gov.za/home/Download/?blobName=988d0c0b-fde3-49c4-9171-3e7d1619a0c0.pdf&amp;downloadedFileName=35745-1R%20Tender%20Document.pdf" TargetMode="External"/><Relationship Id="rId242" Type="http://schemas.openxmlformats.org/officeDocument/2006/relationships/hyperlink" Target="https://www.etenders.gov.za/home/Download/?blobName=153f5381-2cf3-4d32-9808-427b4c483bed.docx&amp;downloadedFileName=Final%20RFQ%20Template%20-%20DBN%20Heavy%20duty%20TV%20Stand.docx" TargetMode="External"/><Relationship Id="rId263" Type="http://schemas.openxmlformats.org/officeDocument/2006/relationships/hyperlink" Target="https://www.etenders.gov.za/home/Download/?blobName=07073b9a-729a-40a9-ac40-6148f78def5f.pdf&amp;downloadedFileName=SEDFA%20-NDA%20Information%20Enquiry-RFB%2007-2025-26.pdf" TargetMode="External"/><Relationship Id="rId284" Type="http://schemas.openxmlformats.org/officeDocument/2006/relationships/hyperlink" Target="https://www.etenders.gov.za/home/Download/?blobName=8d00043b-cd8f-4cd6-b3f5-6efe0f3ba0ae.pdf&amp;downloadedFileName=Regret%20Letter%20Template%20for%20Unsuccessful%20Suppliers%20-%20February%202025.pdf" TargetMode="External"/><Relationship Id="rId37" Type="http://schemas.openxmlformats.org/officeDocument/2006/relationships/hyperlink" Target="https://www.etenders.gov.za/home/Download/?blobName=da89a051-e37b-4965-a2e8-cb55fe0121a4.pdf&amp;downloadedFileName=RFQ%20-%20WORKING%20ON%20HEIGHTS-10364732.pdf" TargetMode="External"/><Relationship Id="rId58" Type="http://schemas.openxmlformats.org/officeDocument/2006/relationships/hyperlink" Target="https://www.etenders.gov.za/home/Download/?blobName=a1bdf6c4-20e8-43f9-8a38-929028680ea2.pdf&amp;downloadedFileName=QUOTE%20PACK%20-%20H004L2705RFQ00046.pdf" TargetMode="External"/><Relationship Id="rId79" Type="http://schemas.openxmlformats.org/officeDocument/2006/relationships/hyperlink" Target="https://www.etenders.gov.za/home/Download/?blobName=7041de24-55e0-4526-8e1b-63325bce0bf3.pdf&amp;downloadedFileName=RFP%201227-08-06-2026%20RFP%20Support%20development%20of%20EIP%20Incentives.pdf" TargetMode="External"/><Relationship Id="rId102" Type="http://schemas.openxmlformats.org/officeDocument/2006/relationships/hyperlink" Target="https://www.etenders.gov.za/home/Download/?blobName=7e3a03c1-3dd9-4cb5-a3b1-1a5cdfc069ff.pdf&amp;downloadedFileName=SANParks-RFQ_-HYGIENE%20SURVEY.pdf" TargetMode="External"/><Relationship Id="rId123" Type="http://schemas.openxmlformats.org/officeDocument/2006/relationships/hyperlink" Target="https://www.etenders.gov.za/home/Download/?blobName=05c4079f-747a-49e2-82f0-b995f52280bd.pdf&amp;downloadedFileName=PROVISION%20OF%20HYGIENE%20SERVICES%20FOR%20THE%20CCMA%20TSHWANE%20OFFICE%20FOR%20A%20PERIOD%20OF%20SIXTY%20(60)%20MONTHS_.pdf" TargetMode="External"/><Relationship Id="rId144" Type="http://schemas.openxmlformats.org/officeDocument/2006/relationships/hyperlink" Target="https://www.etenders.gov.za/home/Download/?blobName=94fdabf3-853e-44eb-aa23-3e20341e5eaa.pdf&amp;downloadedFileName=RFQ%20For%20Supply%20and%20installation%20of%20extractor%20fans%200002.pdf" TargetMode="External"/><Relationship Id="rId90" Type="http://schemas.openxmlformats.org/officeDocument/2006/relationships/hyperlink" Target="https://www.etenders.gov.za/home/Download/?blobName=ee09251d-7f1b-407b-a27a-ecc88259117a.pdf&amp;downloadedFileName=NGOTSHE%20TENDER%20DOCUMENT%208-2-1-594.pdf" TargetMode="External"/><Relationship Id="rId165" Type="http://schemas.openxmlformats.org/officeDocument/2006/relationships/hyperlink" Target="https://www.etenders.gov.za/home/Download/?blobName=9e88a463-48ab-48a2-b015-69caefdfb06c.pdf&amp;downloadedFileName=RFQ_16816_SUPPLY%20AND%20DELIVER%20OF%20BALER%20at%20Chief%20Dawid%20Stuurman%20Airport.pdf" TargetMode="External"/><Relationship Id="rId186" Type="http://schemas.openxmlformats.org/officeDocument/2006/relationships/hyperlink" Target="https://www.etenders.gov.za/home/Download/?blobName=9ccafee6-f06f-4abf-a8ef-aac55221a61e.pdf&amp;downloadedFileName=SBM%2021%2025%2026%20-%20Tender%20document.pdf" TargetMode="External"/><Relationship Id="rId211" Type="http://schemas.openxmlformats.org/officeDocument/2006/relationships/hyperlink" Target="https://www.etenders.gov.za/home/Download/?blobName=ddc18a1e-84fe-4619-b79b-0a253e3ba2fb.pdf&amp;downloadedFileName=Advert_CKDM010%20and%20CKDM011.pdf" TargetMode="External"/><Relationship Id="rId232" Type="http://schemas.openxmlformats.org/officeDocument/2006/relationships/hyperlink" Target="https://www.etenders.gov.za/home/Download/?blobName=45e02371-68e7-4ba1-9fbc-e013566e38ab.pdf&amp;downloadedFileName=INTERNAL%20AUDIT%20SERVICES%2027%20MAY%202026.pdf" TargetMode="External"/><Relationship Id="rId253" Type="http://schemas.openxmlformats.org/officeDocument/2006/relationships/hyperlink" Target="https://www.etenders.gov.za/home/Download/?blobName=df5ab644-413b-4e0e-b71d-5c356c33b368.pdf&amp;downloadedFileName=RFQ_TMT-ECDOE-2526-WTI%20-SB-108.pdf" TargetMode="External"/><Relationship Id="rId274" Type="http://schemas.openxmlformats.org/officeDocument/2006/relationships/hyperlink" Target="https://www.etenders.gov.za/home/Download/?blobName=227142a4-276c-47b4-8c27-20492c4c3282.pdf&amp;downloadedFileName=SBD%206.1%20IN%20TERMS%20OF%20PPR2022%20.pdf" TargetMode="External"/><Relationship Id="rId295" Type="http://schemas.openxmlformats.org/officeDocument/2006/relationships/hyperlink" Target="https://www.etenders.gov.za/home/Download/?blobName=aa685c1a-f000-465e-844f-a63e98ff9f13.pdf&amp;downloadedFileName=RFQ202627-06%20CISM%20Training%20re-advertisement.pdf" TargetMode="External"/><Relationship Id="rId27" Type="http://schemas.openxmlformats.org/officeDocument/2006/relationships/hyperlink" Target="https://www.etenders.gov.za/home/Download/?blobName=8f210352-0e42-43b7-93c1-af209b574ffc.pdf&amp;downloadedFileName=ANNEXURE%20H%20-%20BRIBERY%20AND%20CORRUPTION%20DECLARATION.pdf" TargetMode="External"/><Relationship Id="rId48" Type="http://schemas.openxmlformats.org/officeDocument/2006/relationships/hyperlink" Target="https://www.etenders.gov.za/home/Download/?blobName=a17b3e35-7d3a-4029-8126-03603392117d.PDF&amp;downloadedFileName=CLARIF~1.PDF" TargetMode="External"/><Relationship Id="rId69" Type="http://schemas.openxmlformats.org/officeDocument/2006/relationships/hyperlink" Target="https://www.etenders.gov.za/home/Download/?blobName=f899d883-1933-49d2-bd0e-30042b2a9316.pdf&amp;downloadedFileName=PANEL%20OF%20(10)%20PROFFESSIONAL%20SERVICE%20PROVIDERS%20TO%20CALIBRATE%20FLOW%20METERS%20AS%20AND%20WHEN%20REQUIRED%20FOR%20THE%20PERIOD%20OF%2036%20MONTHS.pdf" TargetMode="External"/><Relationship Id="rId113" Type="http://schemas.openxmlformats.org/officeDocument/2006/relationships/hyperlink" Target="https://www.etenders.gov.za/home/Download/?blobName=e28f71ef-a238-4dfd-9a4d-5294982b5c1e.pdf&amp;downloadedFileName=FOR%20ADVERT%20Final%20TORs%20Human%20Technical%20Capacity%20Assessment-%2026%20May%202026.pdf" TargetMode="External"/><Relationship Id="rId134" Type="http://schemas.openxmlformats.org/officeDocument/2006/relationships/hyperlink" Target="https://www.etenders.gov.za/home/Download/?blobName=966eacec-e37a-497b-8e49-16deaab44fd8.pdf&amp;downloadedFileName=RFQ2026-27-24-Employee%20Wellness%20Services.pdf" TargetMode="External"/><Relationship Id="rId80" Type="http://schemas.openxmlformats.org/officeDocument/2006/relationships/hyperlink" Target="https://www.etenders.gov.za/home/Download/?blobName=ebaf5943-2730-48be-be09-01b2068560c8.pdf&amp;downloadedFileName=SUPPLY,%20DELIVERY,%20INSTALLATION,%20MAINTENANCE%20AND%20MONITORING%20ARLAM,%20ARMED%20RESPONSE.pdf" TargetMode="External"/><Relationship Id="rId155" Type="http://schemas.openxmlformats.org/officeDocument/2006/relationships/hyperlink" Target="https://www.etenders.gov.za/home/Download/?blobName=6b087642-89b9-452e-aa62-3f96cf94b288.pdf&amp;downloadedFileName=RFQ%20008.2026%20-%20Request%20for%20quotation%20Crane%20truck%20test%20license%20and%20re-certification%20%202026.pdf" TargetMode="External"/><Relationship Id="rId176" Type="http://schemas.openxmlformats.org/officeDocument/2006/relationships/hyperlink" Target="https://www.etenders.gov.za/home/Download/?blobName=5a3ba812-38f7-42d8-b7cc-201dde8c0155.pdf&amp;downloadedFileName=TENDER%20DOCUMENT.061643.pdf" TargetMode="External"/><Relationship Id="rId197" Type="http://schemas.openxmlformats.org/officeDocument/2006/relationships/hyperlink" Target="https://www.etenders.gov.za/home/Download/?blobName=fa101129-e9cf-4e50-a7d8-6fb4e39ad25d.pdf&amp;downloadedFileName=RFP%2004_02-26-27%20Appointment%20of%20a%20panel%20of%20service%20providers%20for%20Headhunting%20of%20Executive%20Positions%20for%20three%20(3)%20years.pdf" TargetMode="External"/><Relationship Id="rId201" Type="http://schemas.openxmlformats.org/officeDocument/2006/relationships/hyperlink" Target="https://www.etenders.gov.za/home/Download/?blobName=5d971551-5748-4fe4-b147-29b64b952005.pdf&amp;downloadedFileName=2026%20May%20%20RFQ_Starch_Cereals.pdf" TargetMode="External"/><Relationship Id="rId222" Type="http://schemas.openxmlformats.org/officeDocument/2006/relationships/hyperlink" Target="https://www.etenders.gov.za/home/Download/?blobName=7913ec71-fb75-425c-9a6c-028a949aa0b7.pdf&amp;downloadedFileName=Advert_CKDM010%20and%20CKDM011.pdf" TargetMode="External"/><Relationship Id="rId243" Type="http://schemas.openxmlformats.org/officeDocument/2006/relationships/hyperlink" Target="https://www.etenders.gov.za/home/Download/?blobName=f23750c1-7a04-407b-b456-15d8394b283c.pdf&amp;downloadedFileName=TMT-ECDoE-2627-WTI-NMBCL1R1.pdf" TargetMode="External"/><Relationship Id="rId264" Type="http://schemas.openxmlformats.org/officeDocument/2006/relationships/hyperlink" Target="https://www.etenders.gov.za/home/Download/?blobName=cd4ac030-b8b5-4ecf-b2e8-61769f257a60.pdf&amp;downloadedFileName=Q003.2025.26_Advert_Appointment%20of%20a%20BBBEE%20Verification%20Agency.pdf" TargetMode="External"/><Relationship Id="rId285" Type="http://schemas.openxmlformats.org/officeDocument/2006/relationships/hyperlink" Target="https://www.etenders.gov.za/home/Download/?blobName=70675d85-af17-4fbe-890f-e2f0fc6329d7.pdf&amp;downloadedFileName=Quality%20-%20Annexure%20R-%20Quality%20returnables.pdf" TargetMode="External"/><Relationship Id="rId17" Type="http://schemas.openxmlformats.org/officeDocument/2006/relationships/hyperlink" Target="https://www.etenders.gov.za/home/Download/?blobName=96e7229e-7557-49da-8f25-32c4a7e0d425.pdf&amp;downloadedFileName=8-2-9-31RE%20BID%20DOCUMENT.pdf" TargetMode="External"/><Relationship Id="rId38" Type="http://schemas.openxmlformats.org/officeDocument/2006/relationships/hyperlink" Target="https://www.etenders.gov.za/home/Download/?blobName=3893034b-8055-4235-b6b0-6de9323a41b9.pdf&amp;downloadedFileName=Tender%20document%20-%20Advert%20-%20HDANW2026002.pdf" TargetMode="External"/><Relationship Id="rId59" Type="http://schemas.openxmlformats.org/officeDocument/2006/relationships/hyperlink" Target="https://www.etenders.gov.za/home/Download/?blobName=c10c56f5-dd85-4399-bb2c-2bd091475f01.pdf&amp;downloadedFileName=Annexure%20A_Integrity%20Pact%20for%20Businesses.pdf" TargetMode="External"/><Relationship Id="rId103" Type="http://schemas.openxmlformats.org/officeDocument/2006/relationships/hyperlink" Target="https://www.etenders.gov.za/home/Download/?blobName=2b61ca4c-9f52-40ff-9e3e-9d241a06b5d0.pdf&amp;downloadedFileName=KNP-001-26%20-%20SANPARKS%20BID%20DOCUMENT%20-SUPPLY%20DELIVERY%20AND%20INSTALLATION%20OF%20WATER%20%20WASTEWATER%20PUMPS.pdf" TargetMode="External"/><Relationship Id="rId124" Type="http://schemas.openxmlformats.org/officeDocument/2006/relationships/hyperlink" Target="https://www.etenders.gov.za/home/Download/?blobName=be865cb9-a76f-4b9f-bbb4-73bbb1a8ddc1.pdf&amp;downloadedFileName=BID%20DOCUMENT-THE%20APPOINTMENT%20OF%20A%20SERVICE%20PROVIDER%20FOR%20THE%20PROVISION%20OF%20HYGIENE%20SERVICES%20FOR%20THE%20CCMA%20JOHANNESBURG%20OFFICE%20FOR%20A%20PERIOD%20OF%2060%20MONTHS.pdf" TargetMode="External"/><Relationship Id="rId70" Type="http://schemas.openxmlformats.org/officeDocument/2006/relationships/hyperlink" Target="https://www.etenders.gov.za/home/Download/?blobName=6ce1ffd9-2e0a-42f7-bdb7-0f3fc7d14958.pdf&amp;downloadedFileName=TENDER%20ADVERT%20FOR%20CONSTRUCTION%20OF%20WARD%2001%20SPORTFIELD-PHASE%203.pdf" TargetMode="External"/><Relationship Id="rId91" Type="http://schemas.openxmlformats.org/officeDocument/2006/relationships/hyperlink" Target="https://www.etenders.gov.za/home/Download/?blobName=beb6369b-7e93-4518-8b26-42cff535942b.pdf&amp;downloadedFileName=KHOKHOBA%20TENDER%20DOCUMENTS%208-2-1-604.pdf" TargetMode="External"/><Relationship Id="rId145" Type="http://schemas.openxmlformats.org/officeDocument/2006/relationships/hyperlink" Target="https://www.etenders.gov.za/home/Download/?blobName=69cdba7d-a59f-4a5a-a898-872adbdcf64b.pdf&amp;downloadedFileName=Tender-electricity.pdf" TargetMode="External"/><Relationship Id="rId166" Type="http://schemas.openxmlformats.org/officeDocument/2006/relationships/hyperlink" Target="https://www.etenders.gov.za/home/Download/?blobName=cbf340af-b2fc-4fcf-bcb1-86b18a676ec9.pdf&amp;downloadedFileName=CASIDRA%20PORTAL.pdf" TargetMode="External"/><Relationship Id="rId187" Type="http://schemas.openxmlformats.org/officeDocument/2006/relationships/hyperlink" Target="https://www.etenders.gov.za/home/Download/?blobName=4b9fd23a-125c-44fd-90dd-e16db6d1bf80.pdf&amp;downloadedFileName=SBM%2044%2024%2025%20-%20Tender%20document%20.pdf" TargetMode="External"/><Relationship Id="rId1" Type="http://schemas.openxmlformats.org/officeDocument/2006/relationships/hyperlink" Target="https://www.etenders.gov.za/home/Download/?blobName=45bbcfd0-72fc-4ed0-af35-fd16fecd8792.pdf&amp;downloadedFileName=screenshot%20E2802DXECOU%20(002)%20(1).pdf" TargetMode="External"/><Relationship Id="rId212" Type="http://schemas.openxmlformats.org/officeDocument/2006/relationships/hyperlink" Target="https://www.etenders.gov.za/home/Download/?blobName=55da6517-6cd0-4d3a-8224-7d0f5c0bfcfe.zip&amp;downloadedFileName=For%20Issue.zip" TargetMode="External"/><Relationship Id="rId233" Type="http://schemas.openxmlformats.org/officeDocument/2006/relationships/hyperlink" Target="https://www.etenders.gov.za/home/Download/?blobName=6e16d3b4-0886-42b4-978e-5b6adf22e4a8.pdf&amp;downloadedFileName=Specification.pdf" TargetMode="External"/><Relationship Id="rId254" Type="http://schemas.openxmlformats.org/officeDocument/2006/relationships/hyperlink" Target="https://www.etenders.gov.za/home/Download/?blobName=0393504a-81b8-448e-a5d9-9280b8ff7915.pdf&amp;downloadedFileName=Addendum%20Form%20Hire%20of%20TLB.pdf" TargetMode="External"/><Relationship Id="rId28" Type="http://schemas.openxmlformats.org/officeDocument/2006/relationships/hyperlink" Target="https://www.etenders.gov.za/home/Download/?blobName=31822391-cef7-40b6-8c20-b95bb516abd0.pdf&amp;downloadedFileName=RFQ%20117256%20-%20Manufacture,%20%20supply%20%20and%20delivery%20of%20heavy-duty%20fabric%20part%20for%20large%20blind%20assembly.pdf" TargetMode="External"/><Relationship Id="rId49" Type="http://schemas.openxmlformats.org/officeDocument/2006/relationships/hyperlink" Target="https://www.etenders.gov.za/home/Download/?blobName=58a88e25-4bac-41da-9653-363055fe5625.pdf&amp;downloadedFileName=Terms%20of%20Reference%20for%20Investigation%20within%20the%20context%20of%20PFMA%20Reporting.pdf" TargetMode="External"/><Relationship Id="rId114" Type="http://schemas.openxmlformats.org/officeDocument/2006/relationships/hyperlink" Target="https://www.etenders.gov.za/home/Download/?blobName=4cc0b6df-e5b0-43cf-84ad-34b1f972de38.pdf&amp;downloadedFileName=Letter%20to%20extend%20validity%20-01%20Jul%202026%20till%2031%20Mar%202027.pdf" TargetMode="External"/><Relationship Id="rId275" Type="http://schemas.openxmlformats.org/officeDocument/2006/relationships/hyperlink" Target="https://www.etenders.gov.za/home/Download/?blobName=eeb4a932-808e-4576-b409-1d5361f19269.pdf&amp;downloadedFileName=General%20Conditions%20of%20Contract.pdf" TargetMode="External"/><Relationship Id="rId296" Type="http://schemas.openxmlformats.org/officeDocument/2006/relationships/hyperlink" Target="https://www.etenders.gov.za/home/Download/?blobName=ec693f9f-0b21-42ad-8317-c021d6eb3ca7.pdf&amp;downloadedFileName=TENDER%20NOTICE%20AND%20INVITATION%20TO%20BID%20-%20FBC%20T10-2026.pdf" TargetMode="External"/><Relationship Id="rId300" Type="http://schemas.openxmlformats.org/officeDocument/2006/relationships/hyperlink" Target="https://www.etenders.gov.za/home/Download/?blobName=af9d5c34-424a-43c7-9b86-1d5d266053d8.pdf&amp;downloadedFileName=Tender%20Cancellation%20Letter%20for%20Lease%20Agreement%20East%20Grid.pdf" TargetMode="External"/><Relationship Id="rId60" Type="http://schemas.openxmlformats.org/officeDocument/2006/relationships/hyperlink" Target="https://www.etenders.gov.za/home/Download/?blobName=68242993-23ee-42d9-b4e8-5e24ba2a3f6c.docx&amp;downloadedFileName=SBD%206.1%20IN%20TERMS%20OF%20PPR2022%20with%20goals%20(3)%20(2)%20(2)%20(2)%20(1)%20(2)%20(1).docx" TargetMode="External"/><Relationship Id="rId81" Type="http://schemas.openxmlformats.org/officeDocument/2006/relationships/hyperlink" Target="https://www.etenders.gov.za/home/Download/?blobName=43dbcddc-c05f-4a2c-ade7-2ab75744fe85.pdf&amp;downloadedFileName=CTC%2012%20INSPECTION,%20TESTING%20AND%20COMPILATION%20OF%20REPORT%20FOR%20EXISTING%20ON-SITE%20GAS%20INSTALLATION%20AND%20GAS%20APPLIANCES%20AT%20DEPARTMENT%20OF%20WATER%20AND%20SANITATION%20INFRASTRUCTURE%20IBTS%20ROODEPLAAT,%20NEAR%20KWAMHLANGA%20ROAD%20IN%20PRETORIA.pdf" TargetMode="External"/><Relationship Id="rId135" Type="http://schemas.openxmlformats.org/officeDocument/2006/relationships/hyperlink" Target="https://www.etenders.gov.za/home/Download/?blobName=f1fd3e9d-ac82-40ec-9a98-6df01990f8ca.pdf&amp;downloadedFileName=6000263233%2026.05.2026%20151428.pdf" TargetMode="External"/><Relationship Id="rId156" Type="http://schemas.openxmlformats.org/officeDocument/2006/relationships/hyperlink" Target="https://www.etenders.gov.za/home/Download/?blobName=0180a5ec-c06b-4fd8-8419-d3dd09c3760f.xlsx&amp;downloadedFileName=Annexure%20F_NLC2026-007%20-%20Price%20Sechedule.xlsx" TargetMode="External"/><Relationship Id="rId177" Type="http://schemas.openxmlformats.org/officeDocument/2006/relationships/hyperlink" Target="https://www.etenders.gov.za/home/Download/?blobName=81145f9a-a233-4603-b366-3ceb6ef021f4.pdf&amp;downloadedFileName=2.%20Annexure%20A.pdf" TargetMode="External"/><Relationship Id="rId198" Type="http://schemas.openxmlformats.org/officeDocument/2006/relationships/hyperlink" Target="https://www.etenders.gov.za/home/Download/?blobName=2722924b-119a-41a1-8bbc-4c2c46dfc55d.pdf&amp;downloadedFileName=TENDER%20DOCUMENT%20PT26-006.pdf" TargetMode="External"/><Relationship Id="rId202" Type="http://schemas.openxmlformats.org/officeDocument/2006/relationships/hyperlink" Target="https://www.etenders.gov.za/home/Download/?blobName=8954cb1d-5393-4a57-9b16-157dc1470d63.pdf&amp;downloadedFileName=RFQ_Training_2026.pdf" TargetMode="External"/><Relationship Id="rId223" Type="http://schemas.openxmlformats.org/officeDocument/2006/relationships/hyperlink" Target="https://www.etenders.gov.za/home/Download/?blobName=76325191-5b6e-4dd2-9f19-480ab74683eb.pdf&amp;downloadedFileName=34611-5E%20Tender%20Document.pdf" TargetMode="External"/><Relationship Id="rId244" Type="http://schemas.openxmlformats.org/officeDocument/2006/relationships/hyperlink" Target="https://www.etenders.gov.za/home/Download/?blobName=e8e6d45b-ac7a-4b7b-b43c-e5d31c83cb23.pdf&amp;downloadedFileName=LOWER%20ESINXAKU%20JUNIOR.pdf" TargetMode="External"/><Relationship Id="rId18" Type="http://schemas.openxmlformats.org/officeDocument/2006/relationships/hyperlink" Target="https://www.etenders.gov.za/home/Download/?blobName=6be24b99-2482-4daf-bdfe-109c2c392292.pdf&amp;downloadedFileName=Re-advert%20004-2025-2026%20Tender-Annual%20Mauane%20arts%20festival.pdf" TargetMode="External"/><Relationship Id="rId39" Type="http://schemas.openxmlformats.org/officeDocument/2006/relationships/hyperlink" Target="https://www.etenders.gov.za/home/Download/?blobName=f9f08043-b88c-4e0d-bc38-90ce79afb357.zip&amp;downloadedFileName=FOSPHB-RFP-10-26-27-Waste%20Management-Owned%20Skip%20Bins%20%20Roll-Off%20Skip%20Trucks.zip" TargetMode="External"/><Relationship Id="rId265" Type="http://schemas.openxmlformats.org/officeDocument/2006/relationships/hyperlink" Target="https://www.etenders.gov.za/home/Download/?blobName=eb6fc9cb-9304-4fc8-8605-525c97d5f686.docx&amp;downloadedFileName=Advert%20for%20outboard%20motors.docx" TargetMode="External"/><Relationship Id="rId286" Type="http://schemas.openxmlformats.org/officeDocument/2006/relationships/hyperlink" Target="https://www.etenders.gov.za/home/Download/?blobName=71df467e-cef0-4a44-8687-9d7be4315176.pdf&amp;downloadedFileName=SKM_C550i26052403180.pdf" TargetMode="External"/><Relationship Id="rId50" Type="http://schemas.openxmlformats.org/officeDocument/2006/relationships/hyperlink" Target="https://www.etenders.gov.za/home/Download/?blobName=5ff8dc06-9db8-4bb0-8f2c-2fee13118e4b.pdf&amp;downloadedFileName=TENDER%20ADVERT%20-%20BS01-04-2026.pdf" TargetMode="External"/><Relationship Id="rId104" Type="http://schemas.openxmlformats.org/officeDocument/2006/relationships/hyperlink" Target="https://www.etenders.gov.za/home/Download/?blobName=d64ccb0b-ae64-45ea-ad40-d08e0e3cbb11.pdf&amp;downloadedFileName=SANParks%20RFQ%20No.%20289583.pdf" TargetMode="External"/><Relationship Id="rId125" Type="http://schemas.openxmlformats.org/officeDocument/2006/relationships/hyperlink" Target="https://www.etenders.gov.za/home/Download/?blobName=a5f3886b-c74a-48e6-bab0-03d55e20861d.pdf&amp;downloadedFileName=Various%20Projects%2026%20May%202026.pdf" TargetMode="External"/><Relationship Id="rId146" Type="http://schemas.openxmlformats.org/officeDocument/2006/relationships/hyperlink" Target="https://www.etenders.gov.za/home/Download/?blobName=86b3500f-5edc-49be-a736-412743cfa6ea.pdf&amp;downloadedFileName=Publication%20of%20Names%20of%20Bidders%20iro%20advertised%20Competitive%20Bids%20-%20E2791NTCSARE.pdf" TargetMode="External"/><Relationship Id="rId167" Type="http://schemas.openxmlformats.org/officeDocument/2006/relationships/hyperlink" Target="https://www.etenders.gov.za/home/Download/?blobName=9439329b-32ed-43ce-9548-44535a537865.pdf&amp;downloadedFileName=Rec%2074107%20TSC3%20UPS%20Maintenace%20at%20CTIA_RFQ%2074107-12%20Months%20Contract_Vetted.pdf" TargetMode="External"/><Relationship Id="rId188" Type="http://schemas.openxmlformats.org/officeDocument/2006/relationships/hyperlink" Target="https://www.etenders.gov.za/home/Download/?blobName=78ea922a-835f-4936-b185-90b4f4523346.pdf&amp;downloadedFileName=2026ADDENDUM%20RFQ%20APPOINTMENT%20OF%20SERVICE%20PROVIDER%20TO%20SERVICE%20AND%20MAINTAIN%20TRANE%20CHILLER%201%20AND%202%20FOR%20SABC%20KZN%20FOR%20A%20PERIOD%20OF%20THREE%20(3)%20YEARS.pdf" TargetMode="External"/><Relationship Id="rId71" Type="http://schemas.openxmlformats.org/officeDocument/2006/relationships/hyperlink" Target="https://www.etenders.gov.za/home/Download/?blobName=bb332bb3-ed66-43a6-8dd2-523599aac06b.pdf&amp;downloadedFileName=advert%20for%20the%20assets%20management%20support%20and%20condition%20assessment%20on%20all%20tangible%20and%20intangible%20capital%20assets.pdf" TargetMode="External"/><Relationship Id="rId92" Type="http://schemas.openxmlformats.org/officeDocument/2006/relationships/hyperlink" Target="https://www.etenders.gov.za/home/Download/?blobName=8f908ab6-b20d-472d-a013-a91bae3d0963.pdf&amp;downloadedFileName=EMVUZINI%20TENDER%20%20DOCUMENT%208-2-1-605.pdf" TargetMode="External"/><Relationship Id="rId213" Type="http://schemas.openxmlformats.org/officeDocument/2006/relationships/hyperlink" Target="https://www.etenders.gov.za/home/Download/?blobName=ccc4bf5f-907a-4898-beea-c29cd017d8b7.pdf&amp;downloadedFileName=34207-1D%20Tender%20Document.pdf" TargetMode="External"/><Relationship Id="rId234" Type="http://schemas.openxmlformats.org/officeDocument/2006/relationships/hyperlink" Target="https://www.etenders.gov.za/home/Download/?blobName=27dd1bac-0462-4ed9-ad64-1b7c48eae00f.pdf&amp;downloadedFileName=Revised%20specification%20for%20Excel%20Training.pdf" TargetMode="External"/><Relationship Id="rId2" Type="http://schemas.openxmlformats.org/officeDocument/2006/relationships/hyperlink" Target="https://www.etenders.gov.za/home/Download/?blobName=df14bcb2-cccd-49fb-9821-254d7df09895.zip&amp;downloadedFileName=Commercial.zip" TargetMode="External"/><Relationship Id="rId29" Type="http://schemas.openxmlformats.org/officeDocument/2006/relationships/hyperlink" Target="https://www.etenders.gov.za/home/Download/?blobName=6ffcd359-addc-4707-afa6-5d009516d6bd.pdf&amp;downloadedFileName=RFQ11729%20-%20Supply%20and%20delivery%20of%20one%20gearmotor%20for%20telescope%20dome%20drive.pdf" TargetMode="External"/><Relationship Id="rId255" Type="http://schemas.openxmlformats.org/officeDocument/2006/relationships/hyperlink" Target="https://www.etenders.gov.za/home/Download/?blobName=73eeff81-3f3f-4e71-bc33-789475117f0c.pdf&amp;downloadedFileName=SSC%20WC%20Q01%20CLEANING%20ABSA%20BUILDING%202026.pdf" TargetMode="External"/><Relationship Id="rId276" Type="http://schemas.openxmlformats.org/officeDocument/2006/relationships/hyperlink" Target="https://www.etenders.gov.za/home/Download/?blobName=ffa917c4-06a0-45c1-add5-a6957835fff4.pdf&amp;downloadedFileName=Regret%20Letter%20Template%20for%20Unsuccessful%20Suppliers%20-%20Ash%20Water%20Return%20Dam%20Pipeline.pdf" TargetMode="External"/><Relationship Id="rId297" Type="http://schemas.openxmlformats.org/officeDocument/2006/relationships/hyperlink" Target="https://www.etenders.gov.za/home/Download/?blobName=94b75d84-853f-478d-98ea-7019d3df7250.pdf&amp;downloadedFileName=Bid%20Doc%20-%20Training%20of%20EPWP%20beneficiaries%20on%20occupational%20health%20and%20safety.pdf" TargetMode="External"/><Relationship Id="rId40" Type="http://schemas.openxmlformats.org/officeDocument/2006/relationships/hyperlink" Target="https://www.etenders.gov.za/home/Download/?blobName=fbd5785a-f746-41a8-9633-bb306d9eb573.pdf&amp;downloadedFileName=RFQ%2025%20filter%20sand.pdf" TargetMode="External"/><Relationship Id="rId115" Type="http://schemas.openxmlformats.org/officeDocument/2006/relationships/hyperlink" Target="https://www.etenders.gov.za/home/Download/?blobName=5fa942a0-1124-45c5-bd33-42210e12df23.pdf&amp;downloadedFileName=Various%20Projects%2026%20May%202026.pdf" TargetMode="External"/><Relationship Id="rId136" Type="http://schemas.openxmlformats.org/officeDocument/2006/relationships/hyperlink" Target="https://www.etenders.gov.za/home/Download/?blobName=825a523d-af0a-4d11-a3a0-0e7026471b3c.pdf&amp;downloadedFileName=RFQJW62SC26%20-%20Appointment%20of%20an%20EAP%20to%20conduct%20Basic%20Impact%20Assessment%20and%20application%20of%20Water%20Use%20Licence%20.pdf" TargetMode="External"/><Relationship Id="rId157" Type="http://schemas.openxmlformats.org/officeDocument/2006/relationships/hyperlink" Target="https://www.etenders.gov.za/home/Download/?blobName=6019104d-e003-4fae-88a9-f1e010a301d8.pdf&amp;downloadedFileName=Invitation%20to%20Tender%20(ITT)%20-%20E2946GXPOU%20(003).pdf" TargetMode="External"/><Relationship Id="rId178" Type="http://schemas.openxmlformats.org/officeDocument/2006/relationships/hyperlink" Target="https://www.etenders.gov.za/home/Download/?blobName=72865b92-3e19-4820-a76b-d3db08802bdb.pdf&amp;downloadedFileName=BID-DOCUMENT-UMLAZI-DEPOT-ZNQP-05-04-2026.pdf" TargetMode="External"/><Relationship Id="rId301" Type="http://schemas.openxmlformats.org/officeDocument/2006/relationships/hyperlink" Target="https://www.etenders.gov.za/home/Download/?blobName=7680ae87-dcc2-4b09-a372-e5c8e2c311dc.pdf&amp;downloadedFileName=Advert%20Security%20Services.pdf" TargetMode="External"/><Relationship Id="rId61" Type="http://schemas.openxmlformats.org/officeDocument/2006/relationships/hyperlink" Target="https://www.etenders.gov.za/home/Download/?blobName=3822fd44-90ca-4d8c-b0c1-6df77b9fb429.doc&amp;downloadedFileName=Standard%20Bidding%20Document%20(SDB)%204_Annexure%20A%20(%20(3)%20(4)%20(2)%20(2)%20(1)%20(2)%20(1).doc" TargetMode="External"/><Relationship Id="rId82" Type="http://schemas.openxmlformats.org/officeDocument/2006/relationships/hyperlink" Target="https://www.etenders.gov.za/home/Download/?blobName=99dcfe5f-1457-495b-b201-14d4ab2ac485.pdf&amp;downloadedFileName=EZIBOMVU%20TENDER%20DOCUMENT%208-2-1-602.pdf" TargetMode="External"/><Relationship Id="rId199" Type="http://schemas.openxmlformats.org/officeDocument/2006/relationships/hyperlink" Target="https://www.etenders.gov.za/home/Download/?blobName=0e825c86-105d-4b9f-b879-65ee59176dce.pdf&amp;downloadedFileName=RFQ%20No.%2006-2026_Customer%20Experience%20Surveys.pdf" TargetMode="External"/><Relationship Id="rId203" Type="http://schemas.openxmlformats.org/officeDocument/2006/relationships/hyperlink" Target="https://www.etenders.gov.za/home/Download/?blobName=de73e7b5-f58a-4ae7-90af-bc36730ed258.pdf&amp;downloadedFileName=BID%20DOCUMENT%20Proposals%20for%20assessmentand%20Employee%20Mental%20WellnessCpacitation%2021%20(1)%2027.05.2026%20(2)%20TN%20(1).pdf" TargetMode="External"/><Relationship Id="rId19" Type="http://schemas.openxmlformats.org/officeDocument/2006/relationships/hyperlink" Target="https://www.etenders.gov.za/home/Download/?blobName=5f8fae13-2d19-47b6-9abe-5537d3cfc44f.pdf&amp;downloadedFileName=QUOTATION%20DOCUMENT%20-%20STATE%20OF%20THE%20PROVINCE%20DEMOGRAPHIC%20ANALYSIS%20IN%20RESPONDING%20DSD%20TRANSITION%20STRATEGY.pdf" TargetMode="External"/><Relationship Id="rId224" Type="http://schemas.openxmlformats.org/officeDocument/2006/relationships/hyperlink" Target="https://www.etenders.gov.za/home/Download/?blobName=213897a3-b038-4eed-ae40-b9d987d318ac.pdf&amp;downloadedFileName=35412%20-%205E%20Tender%20Document%20.pdf" TargetMode="External"/><Relationship Id="rId245" Type="http://schemas.openxmlformats.org/officeDocument/2006/relationships/hyperlink" Target="https://www.etenders.gov.za/home/Download/?blobName=a75b05b6-cbe4-4722-99cb-1c9ac17d6caf.pdf&amp;downloadedFileName=RFQ_TMT-ECDOE-2526-WTI%20-ANE-100.pdf" TargetMode="External"/><Relationship Id="rId266" Type="http://schemas.openxmlformats.org/officeDocument/2006/relationships/hyperlink" Target="https://www.etenders.gov.za/home/Download/?blobName=cd856d51-bf85-4660-93e4-03d12fb3e264.docx&amp;downloadedFileName=PHP01REQ003481_20260513134754%20(1).docx" TargetMode="External"/><Relationship Id="rId287" Type="http://schemas.openxmlformats.org/officeDocument/2006/relationships/hyperlink" Target="https://www.etenders.gov.za/home/Download/?blobName=8899cda9-faf1-46a8-93b8-00e4e0ca3477.pdf&amp;downloadedFileName=SIGNED%20INVITATION%20TO%20TENDER%20AS%20AT%2027%20MAY%202026.pdf" TargetMode="External"/><Relationship Id="rId30" Type="http://schemas.openxmlformats.org/officeDocument/2006/relationships/hyperlink" Target="https://www.etenders.gov.za/home/Download/?blobName=8cd12876-2e11-4a8a-8a9e-8323b37a54fe.pdf&amp;downloadedFileName=BidDoc-AFS-B248-2026.pdf" TargetMode="External"/><Relationship Id="rId105" Type="http://schemas.openxmlformats.org/officeDocument/2006/relationships/hyperlink" Target="https://www.etenders.gov.za/home/Download/?blobName=ad0bd9ae-9fcf-43a4-8c88-e509b73d62aa.pdf&amp;downloadedFileName=Various%20Projects%2026%20May%202026.pdf" TargetMode="External"/><Relationship Id="rId126" Type="http://schemas.openxmlformats.org/officeDocument/2006/relationships/hyperlink" Target="https://www.etenders.gov.za/home/Download/?blobName=7f9bfa18-eeea-46bd-a8f1-2e496552517b.pdf&amp;downloadedFileName=REQUEST%20FOR%20DECORATION%20CHURCH%20HALL%20TO%20ACCOMODATE%201300%20PEOPLE.pdf" TargetMode="External"/><Relationship Id="rId147" Type="http://schemas.openxmlformats.org/officeDocument/2006/relationships/hyperlink" Target="https://www.etenders.gov.za/home/Download/?blobName=9790d683-c348-4177-a76d-a6cb552a7c59.pdf&amp;downloadedFileName=RFQ%20Locum%20Pharmacist%20Final.pdf" TargetMode="External"/><Relationship Id="rId168" Type="http://schemas.openxmlformats.org/officeDocument/2006/relationships/hyperlink" Target="https://www.etenders.gov.za/home/Download/?blobName=b50055b5-e8df-4718-9cf9-307200a4d16e.odt&amp;downloadedFileName=Annexure%20A%20-%20Bidders%20Client%20Reference.odt" TargetMode="External"/><Relationship Id="rId51" Type="http://schemas.openxmlformats.org/officeDocument/2006/relationships/hyperlink" Target="https://www.etenders.gov.za/home/Download/?blobName=32f28654-c174-4422-9605-e152ffd41ef2.pdf&amp;downloadedFileName=TENDER%20ADVERT%20-%20BS02-05-2026.pdf" TargetMode="External"/><Relationship Id="rId72" Type="http://schemas.openxmlformats.org/officeDocument/2006/relationships/hyperlink" Target="https://www.etenders.gov.za/home/Download/?blobName=3cbb4ed0-e628-49e4-bc78-e8f730f249c6.pdf&amp;downloadedFileName=25-05-2026%20QUOTATION%20RE-ADVERT%20-%20SUPPLY,%20DEVILER%20AND%20PRINTING%20OF%20CONSUMER%20ACCOUNTS%20STATEMENTS%20(36%20MONTHS%20CONTRACT).pdf" TargetMode="External"/><Relationship Id="rId93" Type="http://schemas.openxmlformats.org/officeDocument/2006/relationships/hyperlink" Target="https://www.etenders.gov.za/home/Download/?blobName=23c1ba01-f37e-46e2-9c3a-69c8f645d6e2.pdf&amp;downloadedFileName=Terms%20of%20Reference%20-%20AR%20and%20APP.pdf" TargetMode="External"/><Relationship Id="rId189" Type="http://schemas.openxmlformats.org/officeDocument/2006/relationships/hyperlink" Targe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 TargetMode="External"/><Relationship Id="rId3" Type="http://schemas.openxmlformats.org/officeDocument/2006/relationships/hyperlink" Target="https://www.etenders.gov.za/home/Download/?blobName=a9e129b9-2ae7-4270-a67f-eaf3be3ea66d.pdf&amp;downloadedFileName=240-77471499%20(2)%20Annexure%20B%20-%20Acknowledgement%20Form%20for%20Eskom%20SHE%20Rules%20and%20other%20Requirements%20(2).pdf" TargetMode="External"/><Relationship Id="rId214" Type="http://schemas.openxmlformats.org/officeDocument/2006/relationships/hyperlink" Target="https://www.etenders.gov.za/home/Download/?blobName=7691262b-82cb-48d5-b53d-1f28a1c62b78.pdf&amp;downloadedFileName=34209-1D%20Tender%20Document.pdf" TargetMode="External"/><Relationship Id="rId235" Type="http://schemas.openxmlformats.org/officeDocument/2006/relationships/hyperlink" Target="https://www.etenders.gov.za/home/Download/?blobName=e3b36eb2-905a-41d7-b97c-1249f8a3838d.pdf&amp;downloadedFileName=WDM-%202026%2027-01.pdf" TargetMode="External"/><Relationship Id="rId256" Type="http://schemas.openxmlformats.org/officeDocument/2006/relationships/hyperlink" Target="https://www.etenders.gov.za/home/Download/?blobName=69489ba8-07f6-4134-ab93-658845278437.pdf&amp;downloadedFileName=Annexure%20A%20Scope%20of%20work.pdf" TargetMode="External"/><Relationship Id="rId277" Type="http://schemas.openxmlformats.org/officeDocument/2006/relationships/hyperlink" Target="https://www.etenders.gov.za/home/Download/?blobName=37bbea5c-66c4-450e-9ef2-492a47bbc70c.pdf&amp;downloadedFileName=LDPWRI-R20774.pdf" TargetMode="External"/><Relationship Id="rId298" Type="http://schemas.openxmlformats.org/officeDocument/2006/relationships/hyperlink" Target="https://www.etenders.gov.za/home/Download/?blobName=edd78bb8-8119-44a2-bbac-0cc5a3959d5a.pdf&amp;downloadedFileName=SIGNED%20INVITATION%20TO%20TENDER%20AS%20AT%2027%20MAY%202026.pdf" TargetMode="External"/><Relationship Id="rId116" Type="http://schemas.openxmlformats.org/officeDocument/2006/relationships/hyperlink" Target="https://www.etenders.gov.za/home/Download/?blobName=4b85534d-f44e-4776-8685-3e88d5048c2d.pdf&amp;downloadedFileName=SASSA%2002-26-FAC-NW%20Leasing%20of%20office%20accomodation%20for%20SASSA%20North%20West%20Region%20for%20a%20%20period%20of%20five(5)%20yearas%20in%20Madibeng%20CBD.pdf" TargetMode="External"/><Relationship Id="rId137" Type="http://schemas.openxmlformats.org/officeDocument/2006/relationships/hyperlink" Target="https://www.etenders.gov.za/home/Download/?blobName=9925a9e4-7b4f-43c3-a7ec-62e0cec0f48a.pdf&amp;downloadedFileName=SCMU5%2026-27-0005%20REHABILITATION,%20RENOVATIONS%20&amp;%20REFURBISHMENTS%20TO%20VARIOUS%20DSD%20SERVICE%20OFFICES%20CLUSTER%205%20(IDUTYWA%20CLUSTER%20OFFICES,%20IDUTYWA%20MULTI-PURPOSE,%20NGQAMAKHWE).pdf" TargetMode="External"/><Relationship Id="rId158" Type="http://schemas.openxmlformats.org/officeDocument/2006/relationships/hyperlink" Target="https://www.etenders.gov.za/home/Download/?blobName=33bf03fd-66a3-4bae-abe4-6973028d07e9.pdf&amp;downloadedFileName=SBD%20SOIL%20CONTAMINATION%20AND%20CLASSIFICATION%20TESTS%202.pdf" TargetMode="External"/><Relationship Id="rId302" Type="http://schemas.openxmlformats.org/officeDocument/2006/relationships/hyperlink" Target="https://www.etenders.gov.za/home/Download/?blobName=8cea4efa-886e-47e1-8f63-170300bc5000.docx&amp;downloadedFileName=240-110600836_%20Enviromental%20Requirements%20Proforma_Final.docx" TargetMode="External"/><Relationship Id="rId20" Type="http://schemas.openxmlformats.org/officeDocument/2006/relationships/hyperlink" Target="https://www.etenders.gov.za/home/Download/?blobName=52b12ec0-f360-4b6a-bef6-392649b3d562.pdf&amp;downloadedFileName=RFQ%20Integrated%20System.pdf" TargetMode="External"/><Relationship Id="rId41" Type="http://schemas.openxmlformats.org/officeDocument/2006/relationships/hyperlink" Target="https://www.etenders.gov.za/home/Download/?blobName=1dcec804-6583-4058-be78-481c5f639d6c.pdf&amp;downloadedFileName=SBD%206.1%20IN%20TERMS%20OF%20PPR2022%20(Amended).pdf" TargetMode="External"/><Relationship Id="rId62" Type="http://schemas.openxmlformats.org/officeDocument/2006/relationships/hyperlink" Target="https://www.etenders.gov.za/home/Download/?blobName=034c9747-626f-46ab-8554-c7ade06790ba.docx&amp;downloadedFileName=Advert%20Deep%20Cleaning%2025.05.2026%20re-%20issue.docx" TargetMode="External"/><Relationship Id="rId83" Type="http://schemas.openxmlformats.org/officeDocument/2006/relationships/hyperlink" Target="https://www.etenders.gov.za/home/Download/?blobName=ec582093-8489-4822-9ab2-cbf18f12b1b7.pdf&amp;downloadedFileName=specs%20ph%20meter%20neil.pdf" TargetMode="External"/><Relationship Id="rId179" Type="http://schemas.openxmlformats.org/officeDocument/2006/relationships/hyperlink" Target="https://www.etenders.gov.za/home/Download/?blobName=fd6a610e-0d05-49e2-aa49-cbf162100525.pdf&amp;downloadedFileName=SBM%2032%2025%2026%20%20Tender%20Document.pdf" TargetMode="External"/><Relationship Id="rId190" Type="http://schemas.openxmlformats.org/officeDocument/2006/relationships/hyperlink" Target="https://www.etenders.gov.za/home/Download/?blobName=078745ae-4911-4cb5-ab75-25c0cff8f894.pdf&amp;downloadedFileName=Iziko-RTQ-RE%20%20Proximity%20Meter%20SEP%20MUS%20SECURITY%20003.pdf" TargetMode="External"/><Relationship Id="rId204" Type="http://schemas.openxmlformats.org/officeDocument/2006/relationships/hyperlink" Target="https://www.etenders.gov.za/home/Download/?blobName=7a869e9e-ef46-4acb-be72-03f38bed1325.xlsx&amp;downloadedFileName=Annexure%20L%20-%20Pricing%20Schedule%20-%20Forensic%20Invetigations%20Backlog%20Project.xlsx" TargetMode="External"/><Relationship Id="rId225" Type="http://schemas.openxmlformats.org/officeDocument/2006/relationships/hyperlink" Target="https://www.etenders.gov.za/home/Download/?blobName=444b03b1-3934-4975-8430-723cb316edb6.zip&amp;downloadedFileName=Appendix%20D3-" TargetMode="External"/><Relationship Id="rId246" Type="http://schemas.openxmlformats.org/officeDocument/2006/relationships/hyperlink" Target="https://www.etenders.gov.za/home/Download/?blobName=02bc388b-d191-40ad-b0d6-07f72a078d0f.pdf&amp;downloadedFileName=Revised%20Specification%20Drone%20remote%20pilot%20license%20training.pdf" TargetMode="External"/><Relationship Id="rId267" Type="http://schemas.openxmlformats.org/officeDocument/2006/relationships/hyperlink" Target="https://www.etenders.gov.za/home/Download/?blobName=cbf5758d-7c39-4f5a-b2a8-82e40c6efbb7.pdf&amp;downloadedFileName=RFP%20Infrastructure%20Hosting%20services%202026%2027%20May%20(003).pdf" TargetMode="External"/><Relationship Id="rId288" Type="http://schemas.openxmlformats.org/officeDocument/2006/relationships/hyperlink" Target="https://www.etenders.gov.za/home/Download/?blobName=651b17eb-2205-4dd8-aa4e-52f65a1c1c29.pdf&amp;downloadedFileName=SIGNED%20INVITATION%20TO%20TENDER%20AS%20AT%2027%20MAY%202026.pdf" TargetMode="External"/><Relationship Id="rId106" Type="http://schemas.openxmlformats.org/officeDocument/2006/relationships/hyperlink" Target="https://www.etenders.gov.za/home/Download/?blobName=3e674b03-2b08-4a39-8f26-624b3cc55907.pdf&amp;downloadedFileName=Quotation%20No.%2012%20-%201315%20Document.pdf" TargetMode="External"/><Relationship Id="rId127" Type="http://schemas.openxmlformats.org/officeDocument/2006/relationships/hyperlink" Target="https://www.etenders.gov.za/home/Download/?blobName=5d75d562-b033-4e52-a69e-5e7f33f785f5.pdf&amp;downloadedFileName=SUPPLY%20AND%20DELIVERY%20OF%20CHAIRS%20AND%20TABLES.pdf" TargetMode="External"/><Relationship Id="rId10" Type="http://schemas.openxmlformats.org/officeDocument/2006/relationships/hyperlink" Target="https://www.etenders.gov.za/home/Download/?blobName=2d6244d1-1fb7-4e05-8e01-4b251ddab61d.pdf&amp;downloadedFileName=Tender%20Document%20Maintenance%20of%20ward%2003%20updated.pdf" TargetMode="External"/><Relationship Id="rId31" Type="http://schemas.openxmlformats.org/officeDocument/2006/relationships/hyperlink" Target="https://www.etenders.gov.za/home/Download/?blobName=30d43499-bc54-40ac-910a-3e6cbb085fcb.pdf&amp;downloadedFileName=Supply%20and%20Installation%20of%20Glass%20Doors.pdf" TargetMode="External"/><Relationship Id="rId52" Type="http://schemas.openxmlformats.org/officeDocument/2006/relationships/hyperlink" Target="https://www.etenders.gov.za/home/Download/?blobName=c4012020-7202-485a-bc84-0b38641edec3.pdf&amp;downloadedFileName=TENDER%20ADVERT%20-%20BS05-05-2026.pdf" TargetMode="External"/><Relationship Id="rId73" Type="http://schemas.openxmlformats.org/officeDocument/2006/relationships/hyperlink" Target="https://www.etenders.gov.za/home/Download/?blobName=876e320c-ab37-49c1-878b-7f546350047b.pdf&amp;downloadedFileName=REQUEST%20FOR%20BOREHOLE%20BEARING%20FOR%20SHAFTS.pdf" TargetMode="External"/><Relationship Id="rId94" Type="http://schemas.openxmlformats.org/officeDocument/2006/relationships/hyperlink" Target="https://www.etenders.gov.za/home/Download/?blobName=f2885064-2716-4081-9095-d48a898d35b3.pdf&amp;downloadedFileName=EMKHUMBANE%20TENDER%20DOCUMENT%208-2-1-606.pdf" TargetMode="External"/><Relationship Id="rId148" Type="http://schemas.openxmlformats.org/officeDocument/2006/relationships/hyperlink" Target="https://www.etenders.gov.za/home/Download/?blobName=a2c5adef-2bcb-4427-bc74-c5506fac4b10.pdf&amp;downloadedFileName=Publication%20of%20Names%20of%20Bidders%20-%20E2808GXMPDUV.pdf" TargetMode="External"/><Relationship Id="rId169" Type="http://schemas.openxmlformats.org/officeDocument/2006/relationships/hyperlink" Target="https://www.etenders.gov.za/home/Download/?blobName=7ec213a5-2a83-4b0a-a7d3-737503555d85.pdf&amp;downloadedFileName=Annexure%20A%20-%20Security%20Measures.pdf" TargetMode="External"/><Relationship Id="rId4" Type="http://schemas.openxmlformats.org/officeDocument/2006/relationships/hyperlink" Target="https://www.etenders.gov.za/home/Download/?blobName=b74a5e97-ac36-40ed-98fa-5ed279dec01d.pdf&amp;downloadedFileName=Addendum%20RFQ%20-%20WRAC-BLQ-56314.pdf" TargetMode="External"/><Relationship Id="rId180" Type="http://schemas.openxmlformats.org/officeDocument/2006/relationships/hyperlink" Target="https://www.etenders.gov.za/home/Download/?blobName=90049093-5ce9-44c7-a60b-d2e0882af16b.pdf&amp;downloadedFileName=Tender%20Cancellation%20Letter.pdf" TargetMode="External"/><Relationship Id="rId215" Type="http://schemas.openxmlformats.org/officeDocument/2006/relationships/hyperlink" Target="https://www.etenders.gov.za/home/Download/?blobName=ac594bbb-9ee3-4dfd-91ac-7dff7ee0ccb6.pdf&amp;downloadedFileName=34402-1D%20Tender%20Document.pdf" TargetMode="External"/><Relationship Id="rId236" Type="http://schemas.openxmlformats.org/officeDocument/2006/relationships/hyperlink" Target="https://www.etenders.gov.za/home/Download/?blobName=b0b99abe-a505-4308-b7dd-ce742db2c6dc.pdf&amp;downloadedFileName=WDM-%202026%2027-02.pdf" TargetMode="External"/><Relationship Id="rId257" Type="http://schemas.openxmlformats.org/officeDocument/2006/relationships/hyperlink" Target="https://www.etenders.gov.za/home/Download/?blobName=eab81a6c-c0ed-4dc7-992c-f1f7d44f7965.pdf&amp;downloadedFileName=FOR%20THE%20SUPPLY,%20DELIVERY,%20INSTALLATION%20AND%20COMMISSIONING%20OF%20MILD%20STEEL%20PIPES%20AND%20BUTTERFLY%20VALVES%20AT%20BERTH%20208%20&amp;%20209.pdf" TargetMode="External"/><Relationship Id="rId278" Type="http://schemas.openxmlformats.org/officeDocument/2006/relationships/hyperlink" Target="https://www.etenders.gov.za/home/Download/?blobName=8e5502f6-3d44-4ea5-b7dd-db5e69b0eb98.pdf&amp;downloadedFileName=RFQ2026020301A.pdf" TargetMode="External"/><Relationship Id="rId303" Type="http://schemas.openxmlformats.org/officeDocument/2006/relationships/hyperlink" Target="https://www.etenders.gov.za/home/Download/?blobName=ed087b99-5761-4c91-b740-38385e4bdc28.pdf&amp;downloadedFileName=TENDER%20FOR%20EXTENSION%20OF%20WASTE%20MANAGEMENT%20SERVICES-REVIEWED_.pdf" TargetMode="External"/><Relationship Id="rId42" Type="http://schemas.openxmlformats.org/officeDocument/2006/relationships/hyperlink" Target="https://www.etenders.gov.za/home/Download/?blobName=88ebaa70-0495-4366-9da8-7860a39aa594.pdf&amp;downloadedFileName=Grap%2019.pdf" TargetMode="External"/><Relationship Id="rId84" Type="http://schemas.openxmlformats.org/officeDocument/2006/relationships/hyperlink" Target="https://www.etenders.gov.za/home/Download/?blobName=98bd48e1-1a5d-4c45-8867-63ec32ce9477.pdf&amp;downloadedFileName=HIRE%20OF%20WATER%20TANKERSFOR%20KHAMBI%20AND%20CORONATION%20AREA%20FOR%20PERIOD%20OF%2036%20MONTHS%208-2-1-590.pdf" TargetMode="External"/><Relationship Id="rId138" Type="http://schemas.openxmlformats.org/officeDocument/2006/relationships/hyperlink" Target="https://www.etenders.gov.za/home/Download/?blobName=7f3bd9a6-a305-4b09-beae-96d028d04b16.pdf&amp;downloadedFileName=TENDER%20DOCUMENT%20FOR%20CATERING%20FOR%20450%20PEOPLE%20AT%20SGCAU%20SPORT%20GROUND%20IN%20FLAGSTAFF.pdf" TargetMode="External"/><Relationship Id="rId191" Type="http://schemas.openxmlformats.org/officeDocument/2006/relationships/hyperlink" Target="https://www.etenders.gov.za/home/Download/?blobName=85d706a0-2d40-4b2a-9d1a-0e6e353f4860.pdf&amp;downloadedFileName=Ticket%20Material%20Specification%20PR10370666.pdf" TargetMode="External"/><Relationship Id="rId205" Type="http://schemas.openxmlformats.org/officeDocument/2006/relationships/hyperlink" Target="https://www.etenders.gov.za/home/Download/?blobName=fc1ec074-932d-46e1-8130-494b17bc1fff.pdf&amp;downloadedFileName=GSDM82-2024%20Referral%20%20Sub-contracting%20Services%20RE-ADVERT.pdf" TargetMode="External"/><Relationship Id="rId247" Type="http://schemas.openxmlformats.org/officeDocument/2006/relationships/hyperlink" Target="https://www.etenders.gov.za/home/Download/?blobName=1ff4ad4c-594a-4d1a-a9fe-021799c18616.pdf&amp;downloadedFileName=Revised%20specification%20for%20COBIT%205%20Training.pdf" TargetMode="External"/><Relationship Id="rId107" Type="http://schemas.openxmlformats.org/officeDocument/2006/relationships/hyperlink" Target="https://www.etenders.gov.za/home/Download/?blobName=c1f67bac-1f64-4a94-8df0-dac4d3c63397.pdf&amp;downloadedFileName=Offsite%20Storage%20-%20Final%20Bid%20Doc.pdf" TargetMode="External"/><Relationship Id="rId289" Type="http://schemas.openxmlformats.org/officeDocument/2006/relationships/hyperlink" Target="https://www.etenders.gov.za/home/Download/?blobName=8bab4e69-0385-4098-9bdb-77e8a29d4cbc.pdf&amp;downloadedFileName=SIGNED%20INVITATION%20TO%20TENDER%20AS%20AT%2027%20MAY%202026.pdf" TargetMode="External"/><Relationship Id="rId11" Type="http://schemas.openxmlformats.org/officeDocument/2006/relationships/hyperlink" Target="https://www.etenders.gov.za/home/Download/?blobName=2be91c28-737b-4c95-95be-164870609be7.docx&amp;downloadedFileName=UGU-09-1723-2026%20PANEL%20OF%20ATTORNEYS.docx" TargetMode="External"/><Relationship Id="rId53" Type="http://schemas.openxmlformats.org/officeDocument/2006/relationships/hyperlink" Target="https://www.etenders.gov.za/home/Download/?blobName=59a413df-1e62-4c59-b62f-c93fea6ee02f.pdf&amp;downloadedFileName=TENDER%20ADVERT%20-%20BS01-05-2026.pdf" TargetMode="External"/><Relationship Id="rId149" Type="http://schemas.openxmlformats.org/officeDocument/2006/relationships/hyperlink" Target="https://www.etenders.gov.za/home/Download/?blobName=354502c3-fc33-47e3-ae1e-5a0dc662c245.pdf&amp;downloadedFileName=Regret%20Letter%20Template%20for%20Unsuccessful%20Suppliers%20-%20Hendrian%20Ash%20(002).pdf" TargetMode="External"/><Relationship Id="rId95" Type="http://schemas.openxmlformats.org/officeDocument/2006/relationships/hyperlink" Target="https://www.etenders.gov.za/home/Download/?blobName=42fd303e-d563-4f0e-822a-394652895f83.pdf&amp;downloadedFileName=MZWEZWE%20TENDER%20DOCUMENT%208-2-1-598.pdf" TargetMode="External"/><Relationship Id="rId160" Type="http://schemas.openxmlformats.org/officeDocument/2006/relationships/hyperlink" Target="https://www.etenders.gov.za/home/Download/?blobName=b1af6db2-fb20-478c-acc7-09df5eec8871.pdf&amp;downloadedFileName=SCOPE%20OF%20WORK%20.pdf" TargetMode="External"/><Relationship Id="rId216" Type="http://schemas.openxmlformats.org/officeDocument/2006/relationships/hyperlink" Target="https://www.etenders.gov.za/home/Download/?blobName=d135ec98-790e-4c3a-94d0-a44b6832389c.pdf&amp;downloadedFileName=COJ0104-25-26%20TRANSPORT%20DEP%20PRINTING.pdf" TargetMode="External"/><Relationship Id="rId258" Type="http://schemas.openxmlformats.org/officeDocument/2006/relationships/hyperlink" Target="https://www.etenders.gov.za/home/Download/?blobName=6763c3d6-142f-423a-bbbf-50d767cf2444.pdf&amp;downloadedFileName=Bill_of_Quantity_Electrical_Substationrepairs_yPRrNnj.pdf" TargetMode="External"/><Relationship Id="rId22" Type="http://schemas.openxmlformats.org/officeDocument/2006/relationships/hyperlink" Target="https://www.etenders.gov.za/home/Download/?blobName=39028af9-cec6-4c7f-9f1b-93ab898f4228.pdf&amp;downloadedFileName=QUOTATION%20DOCUMENT%20-%20TO%20CONDUCT%20SITUATIONAL%20ANALYSIS%20OF%20HOMELESSNESS%20IN%20KWAZULU-NATAL.pdf" TargetMode="External"/><Relationship Id="rId64" Type="http://schemas.openxmlformats.org/officeDocument/2006/relationships/hyperlink" Target="https://www.etenders.gov.za/home/Download/?blobName=598328c6-6b18-41d2-a106-353924aedb8e.pdf&amp;downloadedFileName=SUPPLY%20AND%20DELIVERY%20OF%2020%20EMERGENCY%20TEMPORARY%20SHELTERS.pdf" TargetMode="External"/><Relationship Id="rId118" Type="http://schemas.openxmlformats.org/officeDocument/2006/relationships/hyperlink" Target="https://www.etenders.gov.za/home/Download/?blobName=bb274b16-1f45-4063-bf41-4333eb7e2765.pdf&amp;downloadedFileName=SBD%204.pdf" TargetMode="External"/><Relationship Id="rId171" Type="http://schemas.openxmlformats.org/officeDocument/2006/relationships/hyperlink" Target="https://www.etenders.gov.za/home/Download/?blobName=c820d488-ab84-495e-81f8-d8e84d85b6b1.pdf&amp;downloadedFileName=RFI%20-%20Litigation%20case%20management.pdf" TargetMode="External"/><Relationship Id="rId227" Type="http://schemas.openxmlformats.org/officeDocument/2006/relationships/hyperlink" Target="https://www.etenders.gov.za/home/Download/?blobName=7caa9568-001c-43ef-9f08-279e7208bf46.pdf&amp;downloadedFileName=WDM-%202026%2027-07.pdf" TargetMode="External"/><Relationship Id="rId269" Type="http://schemas.openxmlformats.org/officeDocument/2006/relationships/hyperlink" Target="https://www.etenders.gov.za/home/Download/?blobName=951ac4c2-f7bd-44b3-bc44-82a8dcd15d01.pdf&amp;downloadedFileName=RFQ%20NHC-2026-27-004%20-%20Legal%20Services.pdf" TargetMode="External"/><Relationship Id="rId33" Type="http://schemas.openxmlformats.org/officeDocument/2006/relationships/hyperlink" Target="https://www.etenders.gov.za/home/Download/?blobName=7ba5fcd0-6d06-4779-9177-ce9c90c49d33.pdf&amp;downloadedFileName=RFQJW26ZZ26_IN-HOUSE%20TRAINING%20ON%20JBCC.pdf" TargetMode="External"/><Relationship Id="rId129" Type="http://schemas.openxmlformats.org/officeDocument/2006/relationships/hyperlink" Target="https://www.etenders.gov.za/home/Download/?blobName=8fc19c06-23a9-4e33-ae2c-0a5fe7dc4898.pdf&amp;downloadedFileName=SCMU5%2026-27-0003%20REHABILITATION%20RENOVATIONS%20AND%20REFURBISHMENTS%20TO%20VARIOUS%20DSD%20SERVICES%20OFFICES%20CLUSTER%203.pdf" TargetMode="External"/><Relationship Id="rId280" Type="http://schemas.openxmlformats.org/officeDocument/2006/relationships/hyperlink" Target="https://www.etenders.gov.za/home/Download/?blobName=147c3a85-1b52-458c-b346-af5b6212ad2c.pdf&amp;downloadedFileName=SIGNED%20INVITATION%20TO%20TENDER%20AS%20AT%2027%20MAY%202026.pdf" TargetMode="External"/><Relationship Id="rId75" Type="http://schemas.openxmlformats.org/officeDocument/2006/relationships/hyperlink" Target="https://www.etenders.gov.za/home/Download/?blobName=0814c688-8bbd-46a0-a669-5fcbb5613d68.pdf&amp;downloadedFileName=specs%20printers.pdf" TargetMode="External"/><Relationship Id="rId140" Type="http://schemas.openxmlformats.org/officeDocument/2006/relationships/hyperlink" Target="https://www.etenders.gov.za/home/Download/?blobName=05bf2146-1c7a-47c0-aaec-a088ff9d0e4c.pdf&amp;downloadedFileName=BID%20DOCUMENT%20TRANSPORT%201440%20PEOPLE%20TO%20COMMEMORATION%20OF%20INGQUZA%20HILL%20MASSACRE.pdf" TargetMode="External"/><Relationship Id="rId182" Type="http://schemas.openxmlformats.org/officeDocument/2006/relationships/hyperlink" Target="https://www.etenders.gov.za/home/Download/?blobName=3c3973a2-7834-48c2-a806-1fa75ddb1c96.xlsx&amp;downloadedFileName=Unpriced%20BoQ%20for%20Supply%20and%20Delivery%20of%20Spares%20for%20Replenishment%20at%20Kusile%20Power%20Station%20(Once%20-%20Off)%2021.05.26.xlsx" TargetMode="External"/><Relationship Id="rId6" Type="http://schemas.openxmlformats.org/officeDocument/2006/relationships/hyperlink" Target="https://www.etenders.gov.za/home/Download/?blobName=3b4e2928-1ebe-45b1-9bff-5fd1ccb87116.pdf&amp;downloadedFileName=Request%20for%20Proposal%20(RFP)%20-%20PPE%20Distribution.pdf" TargetMode="External"/><Relationship Id="rId238" Type="http://schemas.openxmlformats.org/officeDocument/2006/relationships/hyperlink" Target="https://www.etenders.gov.za/home/Download/?blobName=35e8d15e-33c8-432c-b60d-1a7f49f91131.pdf&amp;downloadedFileName=WDM-%202026%2027-0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311"/>
  <sheetViews>
    <sheetView tabSelected="1" topLeftCell="F1" workbookViewId="0">
      <selection activeCell="F320" sqref="F320"/>
    </sheetView>
  </sheetViews>
  <sheetFormatPr defaultRowHeight="14.4" x14ac:dyDescent="0.3"/>
  <cols>
    <col min="1" max="1" width="13.21875" bestFit="1" customWidth="1"/>
    <col min="4" max="4" width="18.21875" bestFit="1" customWidth="1"/>
    <col min="5" max="5" width="14" bestFit="1" customWidth="1"/>
    <col min="8" max="8" width="255.77734375" bestFit="1" customWidth="1"/>
    <col min="9" max="9" width="16.4414062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6" hidden="1" x14ac:dyDescent="0.3">
      <c r="A2" s="2">
        <v>46167</v>
      </c>
      <c r="B2">
        <v>310</v>
      </c>
      <c r="C2" t="s">
        <v>22</v>
      </c>
      <c r="D2" s="2">
        <v>46167</v>
      </c>
      <c r="E2" s="2">
        <v>46183</v>
      </c>
      <c r="F2" t="s">
        <v>23</v>
      </c>
      <c r="G2" t="s">
        <v>24</v>
      </c>
      <c r="H2" t="s">
        <v>25</v>
      </c>
      <c r="I2" t="s">
        <v>26</v>
      </c>
      <c r="J2" t="s">
        <v>27</v>
      </c>
      <c r="K2" t="s">
        <v>28</v>
      </c>
      <c r="L2" t="s">
        <v>29</v>
      </c>
      <c r="M2" t="s">
        <v>30</v>
      </c>
      <c r="N2" t="s">
        <v>29</v>
      </c>
      <c r="O2" t="s">
        <v>29</v>
      </c>
      <c r="P2" t="s">
        <v>31</v>
      </c>
      <c r="Q2" s="3" t="s">
        <v>32</v>
      </c>
    </row>
    <row r="3" spans="1:22" ht="15.6" hidden="1" x14ac:dyDescent="0.3">
      <c r="A3" s="2">
        <v>46167</v>
      </c>
      <c r="B3">
        <v>309</v>
      </c>
      <c r="C3" t="s">
        <v>33</v>
      </c>
      <c r="D3" s="2">
        <v>46167</v>
      </c>
      <c r="E3" s="2">
        <v>46203</v>
      </c>
      <c r="F3" t="s">
        <v>23</v>
      </c>
      <c r="G3" t="s">
        <v>34</v>
      </c>
      <c r="H3" t="s">
        <v>35</v>
      </c>
      <c r="I3" t="s">
        <v>26</v>
      </c>
      <c r="J3" t="s">
        <v>27</v>
      </c>
      <c r="K3" t="s">
        <v>36</v>
      </c>
      <c r="L3" t="s">
        <v>29</v>
      </c>
      <c r="M3" t="s">
        <v>37</v>
      </c>
      <c r="N3" t="s">
        <v>38</v>
      </c>
      <c r="O3" t="s">
        <v>29</v>
      </c>
      <c r="P3" t="s">
        <v>39</v>
      </c>
      <c r="Q3" s="3" t="s">
        <v>40</v>
      </c>
    </row>
    <row r="4" spans="1:22" ht="15.6" hidden="1" x14ac:dyDescent="0.3">
      <c r="A4" s="2">
        <v>46167</v>
      </c>
      <c r="B4">
        <v>308</v>
      </c>
      <c r="C4" t="s">
        <v>41</v>
      </c>
      <c r="D4" s="2">
        <v>46167</v>
      </c>
      <c r="E4" s="2">
        <v>46188</v>
      </c>
      <c r="F4" t="s">
        <v>23</v>
      </c>
      <c r="G4" t="s">
        <v>34</v>
      </c>
      <c r="H4" t="s">
        <v>42</v>
      </c>
      <c r="I4" t="s">
        <v>26</v>
      </c>
      <c r="J4" t="s">
        <v>27</v>
      </c>
      <c r="K4" t="s">
        <v>43</v>
      </c>
      <c r="L4" t="s">
        <v>29</v>
      </c>
      <c r="M4" t="s">
        <v>44</v>
      </c>
      <c r="N4" t="s">
        <v>38</v>
      </c>
      <c r="O4" t="s">
        <v>38</v>
      </c>
      <c r="P4" t="s">
        <v>45</v>
      </c>
      <c r="Q4" s="3" t="s">
        <v>46</v>
      </c>
    </row>
    <row r="5" spans="1:22" ht="15.6" hidden="1" x14ac:dyDescent="0.3">
      <c r="A5" s="2">
        <v>46167</v>
      </c>
      <c r="B5">
        <v>307</v>
      </c>
      <c r="C5" t="s">
        <v>47</v>
      </c>
      <c r="D5" s="2">
        <v>46167</v>
      </c>
      <c r="E5" s="2">
        <v>46196</v>
      </c>
      <c r="F5" t="s">
        <v>48</v>
      </c>
      <c r="G5" t="s">
        <v>24</v>
      </c>
      <c r="H5" t="s">
        <v>49</v>
      </c>
      <c r="I5" t="s">
        <v>26</v>
      </c>
      <c r="J5" t="s">
        <v>50</v>
      </c>
      <c r="K5" t="s">
        <v>51</v>
      </c>
      <c r="L5" t="s">
        <v>29</v>
      </c>
      <c r="M5" t="s">
        <v>52</v>
      </c>
      <c r="N5" t="s">
        <v>38</v>
      </c>
      <c r="O5" t="s">
        <v>38</v>
      </c>
      <c r="P5" t="s">
        <v>53</v>
      </c>
      <c r="Q5" s="3" t="s">
        <v>54</v>
      </c>
    </row>
    <row r="6" spans="1:22" ht="15.6" hidden="1" x14ac:dyDescent="0.3">
      <c r="A6" s="2">
        <v>46167</v>
      </c>
      <c r="B6">
        <v>306</v>
      </c>
      <c r="C6" t="s">
        <v>55</v>
      </c>
      <c r="D6" s="2">
        <v>46167</v>
      </c>
      <c r="E6" s="2">
        <v>46185</v>
      </c>
      <c r="F6" t="s">
        <v>56</v>
      </c>
      <c r="G6" t="s">
        <v>57</v>
      </c>
      <c r="H6" t="s">
        <v>58</v>
      </c>
      <c r="I6" t="s">
        <v>26</v>
      </c>
      <c r="J6" t="s">
        <v>50</v>
      </c>
      <c r="K6" t="s">
        <v>43</v>
      </c>
      <c r="L6" t="s">
        <v>29</v>
      </c>
      <c r="M6" t="s">
        <v>44</v>
      </c>
      <c r="N6" t="s">
        <v>29</v>
      </c>
      <c r="O6" t="s">
        <v>29</v>
      </c>
      <c r="P6" t="s">
        <v>31</v>
      </c>
      <c r="Q6" s="3" t="s">
        <v>59</v>
      </c>
    </row>
    <row r="7" spans="1:22" ht="15.6" hidden="1" x14ac:dyDescent="0.3">
      <c r="A7" s="2">
        <v>46167</v>
      </c>
      <c r="B7">
        <v>305</v>
      </c>
      <c r="C7" t="s">
        <v>60</v>
      </c>
      <c r="D7" s="2">
        <v>46167</v>
      </c>
      <c r="E7" s="2">
        <v>46191</v>
      </c>
      <c r="F7" t="s">
        <v>23</v>
      </c>
      <c r="G7" t="s">
        <v>34</v>
      </c>
      <c r="H7" t="s">
        <v>61</v>
      </c>
      <c r="I7" t="s">
        <v>26</v>
      </c>
      <c r="J7" t="s">
        <v>27</v>
      </c>
      <c r="K7" t="s">
        <v>62</v>
      </c>
      <c r="L7" t="s">
        <v>29</v>
      </c>
      <c r="M7" t="s">
        <v>63</v>
      </c>
      <c r="N7" t="s">
        <v>38</v>
      </c>
      <c r="O7" t="s">
        <v>38</v>
      </c>
      <c r="P7" t="s">
        <v>64</v>
      </c>
      <c r="Q7" s="3" t="s">
        <v>65</v>
      </c>
    </row>
    <row r="8" spans="1:22" ht="15.6" hidden="1" x14ac:dyDescent="0.3">
      <c r="A8" s="2">
        <v>46167</v>
      </c>
      <c r="B8">
        <v>304</v>
      </c>
      <c r="C8" t="s">
        <v>66</v>
      </c>
      <c r="D8" s="2">
        <v>46167</v>
      </c>
      <c r="E8" s="2">
        <v>46183</v>
      </c>
      <c r="F8" t="s">
        <v>23</v>
      </c>
      <c r="G8" t="s">
        <v>34</v>
      </c>
      <c r="H8" t="s">
        <v>67</v>
      </c>
      <c r="I8" t="s">
        <v>26</v>
      </c>
      <c r="J8" t="s">
        <v>27</v>
      </c>
      <c r="K8" t="s">
        <v>62</v>
      </c>
      <c r="L8" t="s">
        <v>29</v>
      </c>
      <c r="M8" t="s">
        <v>68</v>
      </c>
      <c r="N8" t="s">
        <v>29</v>
      </c>
      <c r="O8" t="s">
        <v>29</v>
      </c>
      <c r="P8" t="s">
        <v>31</v>
      </c>
      <c r="Q8" s="3" t="s">
        <v>69</v>
      </c>
    </row>
    <row r="9" spans="1:22" ht="15.6" hidden="1" x14ac:dyDescent="0.3">
      <c r="A9" s="2">
        <v>46167</v>
      </c>
      <c r="B9">
        <v>303</v>
      </c>
      <c r="C9" t="s">
        <v>70</v>
      </c>
      <c r="D9" s="2">
        <v>46167</v>
      </c>
      <c r="E9" s="2">
        <v>46182</v>
      </c>
      <c r="F9" t="s">
        <v>71</v>
      </c>
      <c r="G9" t="s">
        <v>72</v>
      </c>
      <c r="H9" t="s">
        <v>73</v>
      </c>
      <c r="I9" t="s">
        <v>26</v>
      </c>
      <c r="J9" t="s">
        <v>27</v>
      </c>
      <c r="K9" t="s">
        <v>36</v>
      </c>
      <c r="L9" t="s">
        <v>29</v>
      </c>
      <c r="M9" t="s">
        <v>74</v>
      </c>
      <c r="N9" t="s">
        <v>29</v>
      </c>
      <c r="O9" t="s">
        <v>29</v>
      </c>
      <c r="P9" t="s">
        <v>31</v>
      </c>
      <c r="Q9" s="3" t="s">
        <v>75</v>
      </c>
    </row>
    <row r="10" spans="1:22" ht="15.6" hidden="1" x14ac:dyDescent="0.3">
      <c r="A10" s="2">
        <v>46167</v>
      </c>
      <c r="B10">
        <v>302</v>
      </c>
      <c r="C10" t="s">
        <v>76</v>
      </c>
      <c r="D10" s="2">
        <v>46167</v>
      </c>
      <c r="E10" s="2">
        <v>46178</v>
      </c>
      <c r="F10" t="s">
        <v>48</v>
      </c>
      <c r="G10" t="s">
        <v>34</v>
      </c>
      <c r="H10" t="s">
        <v>77</v>
      </c>
      <c r="I10" t="s">
        <v>26</v>
      </c>
      <c r="J10" t="s">
        <v>78</v>
      </c>
      <c r="K10" t="s">
        <v>28</v>
      </c>
      <c r="L10" t="s">
        <v>29</v>
      </c>
      <c r="M10" t="s">
        <v>52</v>
      </c>
      <c r="N10" t="s">
        <v>29</v>
      </c>
      <c r="O10" t="s">
        <v>29</v>
      </c>
      <c r="P10" t="s">
        <v>31</v>
      </c>
      <c r="Q10" s="3" t="s">
        <v>79</v>
      </c>
    </row>
    <row r="11" spans="1:22" ht="15.6" hidden="1" x14ac:dyDescent="0.3">
      <c r="A11" s="2">
        <v>46167</v>
      </c>
      <c r="B11">
        <v>301</v>
      </c>
      <c r="C11" t="s">
        <v>80</v>
      </c>
      <c r="D11" s="2">
        <v>46167</v>
      </c>
      <c r="E11" s="2">
        <v>46178</v>
      </c>
      <c r="F11" t="s">
        <v>48</v>
      </c>
      <c r="G11" t="s">
        <v>34</v>
      </c>
      <c r="H11" t="s">
        <v>81</v>
      </c>
      <c r="I11" t="s">
        <v>26</v>
      </c>
      <c r="J11" t="s">
        <v>78</v>
      </c>
      <c r="K11" t="s">
        <v>28</v>
      </c>
      <c r="L11" t="s">
        <v>29</v>
      </c>
      <c r="M11" t="s">
        <v>52</v>
      </c>
      <c r="N11" t="s">
        <v>29</v>
      </c>
      <c r="O11" t="s">
        <v>29</v>
      </c>
      <c r="P11" t="s">
        <v>31</v>
      </c>
      <c r="Q11" s="3" t="s">
        <v>82</v>
      </c>
    </row>
    <row r="12" spans="1:22" ht="15.6" hidden="1" x14ac:dyDescent="0.3">
      <c r="A12" s="2">
        <v>46167</v>
      </c>
      <c r="B12">
        <v>300</v>
      </c>
      <c r="C12" t="s">
        <v>83</v>
      </c>
      <c r="D12" s="2">
        <v>46167</v>
      </c>
      <c r="E12" s="2">
        <v>46199</v>
      </c>
      <c r="F12" t="s">
        <v>48</v>
      </c>
      <c r="G12" t="s">
        <v>34</v>
      </c>
      <c r="H12" t="s">
        <v>84</v>
      </c>
      <c r="I12" t="s">
        <v>26</v>
      </c>
      <c r="J12" t="s">
        <v>85</v>
      </c>
      <c r="K12" t="s">
        <v>86</v>
      </c>
      <c r="L12" t="s">
        <v>29</v>
      </c>
      <c r="M12" t="s">
        <v>44</v>
      </c>
      <c r="N12" t="s">
        <v>29</v>
      </c>
      <c r="O12" t="s">
        <v>29</v>
      </c>
      <c r="P12" t="s">
        <v>31</v>
      </c>
      <c r="Q12" s="3" t="s">
        <v>87</v>
      </c>
    </row>
    <row r="13" spans="1:22" ht="15.6" hidden="1" x14ac:dyDescent="0.3">
      <c r="A13" s="2">
        <v>46167</v>
      </c>
      <c r="B13">
        <v>299</v>
      </c>
      <c r="C13" t="s">
        <v>88</v>
      </c>
      <c r="D13" s="2">
        <v>46167</v>
      </c>
      <c r="E13" s="2">
        <v>46178</v>
      </c>
      <c r="F13" t="s">
        <v>48</v>
      </c>
      <c r="G13" t="s">
        <v>34</v>
      </c>
      <c r="H13" t="s">
        <v>89</v>
      </c>
      <c r="I13" t="s">
        <v>26</v>
      </c>
      <c r="J13" t="s">
        <v>78</v>
      </c>
      <c r="K13" t="s">
        <v>28</v>
      </c>
      <c r="L13" t="s">
        <v>29</v>
      </c>
      <c r="M13" t="s">
        <v>52</v>
      </c>
      <c r="N13" t="s">
        <v>29</v>
      </c>
      <c r="O13" t="s">
        <v>29</v>
      </c>
      <c r="P13" t="s">
        <v>31</v>
      </c>
      <c r="Q13" s="3" t="s">
        <v>90</v>
      </c>
    </row>
    <row r="14" spans="1:22" ht="15.6" hidden="1" x14ac:dyDescent="0.3">
      <c r="A14" s="2">
        <v>46167</v>
      </c>
      <c r="B14">
        <v>298</v>
      </c>
      <c r="C14" t="s">
        <v>91</v>
      </c>
      <c r="D14" s="2">
        <v>46167</v>
      </c>
      <c r="E14" s="2">
        <v>46198</v>
      </c>
      <c r="F14" t="s">
        <v>48</v>
      </c>
      <c r="G14" t="s">
        <v>34</v>
      </c>
      <c r="H14" t="s">
        <v>92</v>
      </c>
      <c r="I14" t="s">
        <v>26</v>
      </c>
      <c r="J14" t="s">
        <v>93</v>
      </c>
      <c r="K14" t="s">
        <v>36</v>
      </c>
      <c r="L14" t="s">
        <v>29</v>
      </c>
      <c r="M14" t="s">
        <v>94</v>
      </c>
      <c r="N14" t="s">
        <v>38</v>
      </c>
      <c r="O14" t="s">
        <v>38</v>
      </c>
      <c r="P14" t="s">
        <v>95</v>
      </c>
      <c r="Q14" s="3" t="s">
        <v>96</v>
      </c>
    </row>
    <row r="15" spans="1:22" ht="15.6" hidden="1" x14ac:dyDescent="0.3">
      <c r="A15" s="2">
        <v>46167</v>
      </c>
      <c r="B15">
        <v>297</v>
      </c>
      <c r="C15" t="s">
        <v>97</v>
      </c>
      <c r="D15" s="2">
        <v>46167</v>
      </c>
      <c r="E15" s="2">
        <v>46198</v>
      </c>
      <c r="F15" t="s">
        <v>48</v>
      </c>
      <c r="G15" t="s">
        <v>34</v>
      </c>
      <c r="H15" t="s">
        <v>98</v>
      </c>
      <c r="I15" t="s">
        <v>26</v>
      </c>
      <c r="J15" t="s">
        <v>93</v>
      </c>
      <c r="K15" t="s">
        <v>36</v>
      </c>
      <c r="L15" t="s">
        <v>29</v>
      </c>
      <c r="M15" t="s">
        <v>68</v>
      </c>
      <c r="N15" t="s">
        <v>38</v>
      </c>
      <c r="O15" t="s">
        <v>38</v>
      </c>
      <c r="P15" t="s">
        <v>99</v>
      </c>
      <c r="Q15" s="3" t="s">
        <v>100</v>
      </c>
    </row>
    <row r="16" spans="1:22" ht="15.6" hidden="1" x14ac:dyDescent="0.3">
      <c r="A16" s="2">
        <v>46167</v>
      </c>
      <c r="B16">
        <v>296</v>
      </c>
      <c r="C16" t="s">
        <v>101</v>
      </c>
      <c r="D16" s="2">
        <v>46167</v>
      </c>
      <c r="E16" s="2">
        <v>46198</v>
      </c>
      <c r="F16" t="s">
        <v>48</v>
      </c>
      <c r="G16" t="s">
        <v>34</v>
      </c>
      <c r="H16" t="s">
        <v>102</v>
      </c>
      <c r="I16" t="s">
        <v>26</v>
      </c>
      <c r="J16" t="s">
        <v>93</v>
      </c>
      <c r="K16" t="s">
        <v>36</v>
      </c>
      <c r="L16" t="s">
        <v>29</v>
      </c>
      <c r="M16" t="s">
        <v>103</v>
      </c>
      <c r="N16" t="s">
        <v>38</v>
      </c>
      <c r="O16" t="s">
        <v>38</v>
      </c>
      <c r="P16" t="s">
        <v>104</v>
      </c>
      <c r="Q16" s="3" t="s">
        <v>105</v>
      </c>
    </row>
    <row r="17" spans="1:17" ht="15.6" hidden="1" x14ac:dyDescent="0.3">
      <c r="A17" s="2">
        <v>46167</v>
      </c>
      <c r="B17">
        <v>295</v>
      </c>
      <c r="C17" t="s">
        <v>106</v>
      </c>
      <c r="D17" s="2">
        <v>46167</v>
      </c>
      <c r="E17" s="2">
        <v>46183</v>
      </c>
      <c r="F17" t="s">
        <v>23</v>
      </c>
      <c r="G17" t="s">
        <v>34</v>
      </c>
      <c r="H17" t="s">
        <v>107</v>
      </c>
      <c r="I17" t="s">
        <v>26</v>
      </c>
      <c r="J17" t="s">
        <v>108</v>
      </c>
      <c r="K17" t="s">
        <v>43</v>
      </c>
      <c r="L17" t="s">
        <v>29</v>
      </c>
      <c r="M17" t="s">
        <v>109</v>
      </c>
      <c r="N17" t="s">
        <v>29</v>
      </c>
      <c r="O17" t="s">
        <v>29</v>
      </c>
      <c r="P17" t="s">
        <v>31</v>
      </c>
      <c r="Q17" s="3" t="s">
        <v>110</v>
      </c>
    </row>
    <row r="18" spans="1:17" ht="15.6" hidden="1" x14ac:dyDescent="0.3">
      <c r="A18" s="2">
        <v>46167</v>
      </c>
      <c r="B18">
        <v>294</v>
      </c>
      <c r="C18" t="s">
        <v>111</v>
      </c>
      <c r="D18" s="2">
        <v>46167</v>
      </c>
      <c r="E18" s="2">
        <v>46183</v>
      </c>
      <c r="F18" t="s">
        <v>48</v>
      </c>
      <c r="G18" t="s">
        <v>34</v>
      </c>
      <c r="H18" t="s">
        <v>112</v>
      </c>
      <c r="I18" t="s">
        <v>26</v>
      </c>
      <c r="J18" t="s">
        <v>108</v>
      </c>
      <c r="K18" t="s">
        <v>43</v>
      </c>
      <c r="L18" t="s">
        <v>29</v>
      </c>
      <c r="M18" t="s">
        <v>94</v>
      </c>
      <c r="N18" t="s">
        <v>29</v>
      </c>
      <c r="O18" t="s">
        <v>29</v>
      </c>
      <c r="P18" t="s">
        <v>31</v>
      </c>
      <c r="Q18" s="3" t="s">
        <v>113</v>
      </c>
    </row>
    <row r="19" spans="1:17" ht="15.6" hidden="1" x14ac:dyDescent="0.3">
      <c r="A19" s="2">
        <v>46167</v>
      </c>
      <c r="B19">
        <v>293</v>
      </c>
      <c r="C19" t="s">
        <v>114</v>
      </c>
      <c r="D19" s="2">
        <v>46167</v>
      </c>
      <c r="E19" s="2">
        <v>46196</v>
      </c>
      <c r="F19" t="s">
        <v>23</v>
      </c>
      <c r="G19" t="s">
        <v>24</v>
      </c>
      <c r="H19" t="s">
        <v>115</v>
      </c>
      <c r="I19" t="s">
        <v>26</v>
      </c>
      <c r="J19" t="s">
        <v>116</v>
      </c>
      <c r="K19" t="s">
        <v>117</v>
      </c>
      <c r="L19" t="s">
        <v>29</v>
      </c>
      <c r="M19" t="s">
        <v>118</v>
      </c>
      <c r="N19" t="s">
        <v>38</v>
      </c>
      <c r="O19" t="s">
        <v>38</v>
      </c>
      <c r="P19" t="s">
        <v>119</v>
      </c>
      <c r="Q19" s="3" t="s">
        <v>120</v>
      </c>
    </row>
    <row r="20" spans="1:17" ht="15.6" hidden="1" x14ac:dyDescent="0.3">
      <c r="A20" s="2">
        <v>46167</v>
      </c>
      <c r="B20">
        <v>292</v>
      </c>
      <c r="C20" t="s">
        <v>121</v>
      </c>
      <c r="D20" s="2">
        <v>46167</v>
      </c>
      <c r="E20" s="2">
        <v>46181</v>
      </c>
      <c r="F20" t="s">
        <v>71</v>
      </c>
      <c r="G20" t="s">
        <v>57</v>
      </c>
      <c r="H20" t="s">
        <v>122</v>
      </c>
      <c r="I20" t="s">
        <v>26</v>
      </c>
      <c r="J20" t="s">
        <v>123</v>
      </c>
      <c r="K20" t="s">
        <v>86</v>
      </c>
      <c r="L20" t="s">
        <v>29</v>
      </c>
      <c r="M20" t="s">
        <v>124</v>
      </c>
      <c r="N20" t="s">
        <v>29</v>
      </c>
      <c r="O20" t="s">
        <v>29</v>
      </c>
      <c r="P20" t="s">
        <v>31</v>
      </c>
      <c r="Q20" s="3" t="s">
        <v>125</v>
      </c>
    </row>
    <row r="21" spans="1:17" ht="15.6" hidden="1" x14ac:dyDescent="0.3">
      <c r="A21" s="2">
        <v>46167</v>
      </c>
      <c r="B21">
        <v>291</v>
      </c>
      <c r="C21" t="s">
        <v>126</v>
      </c>
      <c r="D21" s="2">
        <v>46167</v>
      </c>
      <c r="E21" s="2">
        <v>46185</v>
      </c>
      <c r="F21" t="s">
        <v>71</v>
      </c>
      <c r="G21" t="s">
        <v>72</v>
      </c>
      <c r="H21" t="s">
        <v>127</v>
      </c>
      <c r="I21" t="s">
        <v>26</v>
      </c>
      <c r="J21" t="s">
        <v>128</v>
      </c>
      <c r="K21" t="s">
        <v>86</v>
      </c>
      <c r="L21" t="s">
        <v>29</v>
      </c>
      <c r="M21" t="s">
        <v>129</v>
      </c>
      <c r="N21" t="s">
        <v>29</v>
      </c>
      <c r="O21" t="s">
        <v>29</v>
      </c>
      <c r="P21" t="s">
        <v>31</v>
      </c>
      <c r="Q21" s="3" t="s">
        <v>130</v>
      </c>
    </row>
    <row r="22" spans="1:17" ht="15.6" hidden="1" x14ac:dyDescent="0.3">
      <c r="A22" s="2">
        <v>46167</v>
      </c>
      <c r="B22">
        <v>290</v>
      </c>
      <c r="C22" t="s">
        <v>131</v>
      </c>
      <c r="D22" s="2">
        <v>46167</v>
      </c>
      <c r="E22" s="2">
        <v>46175</v>
      </c>
      <c r="F22" t="s">
        <v>48</v>
      </c>
      <c r="G22" t="s">
        <v>24</v>
      </c>
      <c r="H22" t="s">
        <v>132</v>
      </c>
      <c r="I22" t="s">
        <v>26</v>
      </c>
      <c r="J22" t="s">
        <v>133</v>
      </c>
      <c r="K22" t="s">
        <v>134</v>
      </c>
      <c r="L22" t="s">
        <v>29</v>
      </c>
      <c r="M22" t="s">
        <v>135</v>
      </c>
      <c r="N22" t="s">
        <v>29</v>
      </c>
      <c r="O22" t="s">
        <v>29</v>
      </c>
      <c r="P22" t="s">
        <v>31</v>
      </c>
      <c r="Q22" s="3" t="s">
        <v>136</v>
      </c>
    </row>
    <row r="23" spans="1:17" ht="15.6" hidden="1" x14ac:dyDescent="0.3">
      <c r="A23" s="2">
        <v>46167</v>
      </c>
      <c r="B23">
        <v>289</v>
      </c>
      <c r="C23" t="s">
        <v>137</v>
      </c>
      <c r="D23" s="2">
        <v>46167</v>
      </c>
      <c r="E23" s="2">
        <v>46181</v>
      </c>
      <c r="F23" t="s">
        <v>71</v>
      </c>
      <c r="G23" t="s">
        <v>57</v>
      </c>
      <c r="H23" t="s">
        <v>138</v>
      </c>
      <c r="I23" t="s">
        <v>26</v>
      </c>
      <c r="J23" t="s">
        <v>123</v>
      </c>
      <c r="K23" t="s">
        <v>86</v>
      </c>
      <c r="L23" t="s">
        <v>29</v>
      </c>
      <c r="M23" t="s">
        <v>124</v>
      </c>
      <c r="N23" t="s">
        <v>29</v>
      </c>
      <c r="O23" t="s">
        <v>29</v>
      </c>
      <c r="P23" t="s">
        <v>31</v>
      </c>
      <c r="Q23" s="3" t="s">
        <v>139</v>
      </c>
    </row>
    <row r="24" spans="1:17" ht="15.6" hidden="1" x14ac:dyDescent="0.3">
      <c r="A24" s="2">
        <v>46167</v>
      </c>
      <c r="B24">
        <v>288</v>
      </c>
      <c r="C24" t="s">
        <v>140</v>
      </c>
      <c r="D24" s="2">
        <v>46167</v>
      </c>
      <c r="E24" s="2">
        <v>46175</v>
      </c>
      <c r="F24" t="s">
        <v>71</v>
      </c>
      <c r="G24" t="s">
        <v>24</v>
      </c>
      <c r="H24" t="s">
        <v>141</v>
      </c>
      <c r="I24" t="s">
        <v>26</v>
      </c>
      <c r="J24" t="s">
        <v>142</v>
      </c>
      <c r="K24" t="s">
        <v>86</v>
      </c>
      <c r="L24" t="s">
        <v>29</v>
      </c>
      <c r="M24" t="s">
        <v>68</v>
      </c>
      <c r="N24" t="s">
        <v>29</v>
      </c>
      <c r="O24" t="s">
        <v>29</v>
      </c>
      <c r="P24" t="s">
        <v>31</v>
      </c>
      <c r="Q24" s="3" t="s">
        <v>143</v>
      </c>
    </row>
    <row r="25" spans="1:17" ht="15.6" hidden="1" x14ac:dyDescent="0.3">
      <c r="A25" s="2">
        <v>46167</v>
      </c>
      <c r="B25">
        <v>287</v>
      </c>
      <c r="C25" t="s">
        <v>144</v>
      </c>
      <c r="D25" s="2">
        <v>46167</v>
      </c>
      <c r="E25" s="2">
        <v>46181</v>
      </c>
      <c r="F25" t="s">
        <v>71</v>
      </c>
      <c r="G25" t="s">
        <v>57</v>
      </c>
      <c r="H25" t="s">
        <v>145</v>
      </c>
      <c r="I25" t="s">
        <v>26</v>
      </c>
      <c r="J25" t="s">
        <v>123</v>
      </c>
      <c r="K25" t="s">
        <v>86</v>
      </c>
      <c r="L25" t="s">
        <v>29</v>
      </c>
      <c r="M25" t="s">
        <v>124</v>
      </c>
      <c r="N25" t="s">
        <v>29</v>
      </c>
      <c r="O25" t="s">
        <v>29</v>
      </c>
      <c r="P25" t="s">
        <v>31</v>
      </c>
      <c r="Q25" s="3" t="s">
        <v>146</v>
      </c>
    </row>
    <row r="26" spans="1:17" ht="15.6" hidden="1" x14ac:dyDescent="0.3">
      <c r="A26" s="2">
        <v>46167</v>
      </c>
      <c r="B26">
        <v>286</v>
      </c>
      <c r="C26" t="s">
        <v>147</v>
      </c>
      <c r="D26" s="2">
        <v>46167</v>
      </c>
      <c r="E26" s="2">
        <v>46175</v>
      </c>
      <c r="F26" t="s">
        <v>71</v>
      </c>
      <c r="G26" t="s">
        <v>24</v>
      </c>
      <c r="H26" t="s">
        <v>148</v>
      </c>
      <c r="I26" t="s">
        <v>26</v>
      </c>
      <c r="J26" t="s">
        <v>149</v>
      </c>
      <c r="K26" t="s">
        <v>43</v>
      </c>
      <c r="L26" t="s">
        <v>29</v>
      </c>
      <c r="M26" t="s">
        <v>109</v>
      </c>
      <c r="N26" t="s">
        <v>29</v>
      </c>
      <c r="O26" t="s">
        <v>29</v>
      </c>
      <c r="P26" t="s">
        <v>31</v>
      </c>
      <c r="Q26" s="3" t="s">
        <v>150</v>
      </c>
    </row>
    <row r="27" spans="1:17" ht="15.6" hidden="1" x14ac:dyDescent="0.3">
      <c r="A27" s="2">
        <v>46167</v>
      </c>
      <c r="B27">
        <v>285</v>
      </c>
      <c r="C27" t="s">
        <v>151</v>
      </c>
      <c r="D27" s="2">
        <v>46167</v>
      </c>
      <c r="E27" s="2">
        <v>46184</v>
      </c>
      <c r="F27" t="s">
        <v>71</v>
      </c>
      <c r="G27" t="s">
        <v>34</v>
      </c>
      <c r="H27" t="s">
        <v>152</v>
      </c>
      <c r="I27" t="s">
        <v>26</v>
      </c>
      <c r="J27" t="s">
        <v>153</v>
      </c>
      <c r="K27" t="s">
        <v>36</v>
      </c>
      <c r="L27" t="s">
        <v>29</v>
      </c>
      <c r="M27" t="s">
        <v>154</v>
      </c>
      <c r="N27" t="s">
        <v>38</v>
      </c>
      <c r="O27" t="s">
        <v>29</v>
      </c>
      <c r="P27" t="s">
        <v>155</v>
      </c>
      <c r="Q27" s="3" t="s">
        <v>156</v>
      </c>
    </row>
    <row r="28" spans="1:17" ht="15.6" hidden="1" x14ac:dyDescent="0.3">
      <c r="A28" s="2">
        <v>46167</v>
      </c>
      <c r="B28">
        <v>284</v>
      </c>
      <c r="C28" t="s">
        <v>157</v>
      </c>
      <c r="D28" s="2">
        <v>46167</v>
      </c>
      <c r="E28" s="2">
        <v>46196</v>
      </c>
      <c r="F28" t="s">
        <v>71</v>
      </c>
      <c r="G28" t="s">
        <v>34</v>
      </c>
      <c r="H28" t="s">
        <v>158</v>
      </c>
      <c r="I28" t="s">
        <v>26</v>
      </c>
      <c r="J28" t="s">
        <v>153</v>
      </c>
      <c r="K28" t="s">
        <v>36</v>
      </c>
      <c r="L28" t="s">
        <v>29</v>
      </c>
      <c r="M28" t="s">
        <v>154</v>
      </c>
      <c r="N28" t="s">
        <v>38</v>
      </c>
      <c r="O28" t="s">
        <v>29</v>
      </c>
      <c r="P28" t="s">
        <v>159</v>
      </c>
      <c r="Q28" s="3" t="s">
        <v>160</v>
      </c>
    </row>
    <row r="29" spans="1:17" ht="15.6" hidden="1" x14ac:dyDescent="0.3">
      <c r="A29" s="2">
        <v>46167</v>
      </c>
      <c r="B29">
        <v>283</v>
      </c>
      <c r="C29" t="s">
        <v>161</v>
      </c>
      <c r="D29" s="2">
        <v>46167</v>
      </c>
      <c r="E29" s="2">
        <v>46181</v>
      </c>
      <c r="F29" t="s">
        <v>162</v>
      </c>
      <c r="G29" t="s">
        <v>24</v>
      </c>
      <c r="H29" t="s">
        <v>163</v>
      </c>
      <c r="I29" t="s">
        <v>26</v>
      </c>
      <c r="J29" t="s">
        <v>164</v>
      </c>
      <c r="K29" t="s">
        <v>51</v>
      </c>
      <c r="L29" t="s">
        <v>29</v>
      </c>
      <c r="M29" t="s">
        <v>165</v>
      </c>
      <c r="N29" t="s">
        <v>38</v>
      </c>
      <c r="O29" t="s">
        <v>38</v>
      </c>
      <c r="P29" t="s">
        <v>166</v>
      </c>
      <c r="Q29" s="3" t="s">
        <v>167</v>
      </c>
    </row>
    <row r="30" spans="1:17" ht="15.6" hidden="1" x14ac:dyDescent="0.3">
      <c r="A30" s="2">
        <v>46167</v>
      </c>
      <c r="B30">
        <v>282</v>
      </c>
      <c r="C30" t="s">
        <v>168</v>
      </c>
      <c r="D30" s="2">
        <v>46167</v>
      </c>
      <c r="E30" s="2">
        <v>46174</v>
      </c>
      <c r="F30" t="s">
        <v>162</v>
      </c>
      <c r="G30" t="s">
        <v>24</v>
      </c>
      <c r="H30" t="s">
        <v>169</v>
      </c>
      <c r="I30" t="s">
        <v>26</v>
      </c>
      <c r="J30" t="s">
        <v>164</v>
      </c>
      <c r="K30" t="s">
        <v>51</v>
      </c>
      <c r="L30" t="s">
        <v>29</v>
      </c>
      <c r="M30" t="s">
        <v>170</v>
      </c>
      <c r="N30" t="s">
        <v>29</v>
      </c>
      <c r="O30" t="s">
        <v>29</v>
      </c>
      <c r="P30" t="s">
        <v>31</v>
      </c>
      <c r="Q30" s="3" t="s">
        <v>171</v>
      </c>
    </row>
    <row r="31" spans="1:17" ht="15.6" hidden="1" x14ac:dyDescent="0.3">
      <c r="A31" s="2">
        <v>46167</v>
      </c>
      <c r="B31">
        <v>281</v>
      </c>
      <c r="C31" t="s">
        <v>172</v>
      </c>
      <c r="D31" s="2">
        <v>46167</v>
      </c>
      <c r="E31" s="2">
        <v>46199</v>
      </c>
      <c r="F31" t="s">
        <v>48</v>
      </c>
      <c r="G31" t="s">
        <v>34</v>
      </c>
      <c r="H31" t="s">
        <v>173</v>
      </c>
      <c r="I31" t="s">
        <v>26</v>
      </c>
      <c r="J31" t="s">
        <v>174</v>
      </c>
      <c r="K31" t="s">
        <v>175</v>
      </c>
      <c r="L31" t="s">
        <v>29</v>
      </c>
      <c r="M31" t="s">
        <v>109</v>
      </c>
      <c r="N31" t="s">
        <v>29</v>
      </c>
      <c r="O31" t="s">
        <v>29</v>
      </c>
      <c r="P31" t="s">
        <v>31</v>
      </c>
      <c r="Q31" s="3" t="s">
        <v>176</v>
      </c>
    </row>
    <row r="32" spans="1:17" ht="15.6" hidden="1" x14ac:dyDescent="0.3">
      <c r="A32" s="2">
        <v>46167</v>
      </c>
      <c r="B32">
        <v>280</v>
      </c>
      <c r="C32" t="s">
        <v>177</v>
      </c>
      <c r="D32" s="2">
        <v>46167</v>
      </c>
      <c r="E32" s="2">
        <v>46182</v>
      </c>
      <c r="F32" t="s">
        <v>71</v>
      </c>
      <c r="G32" t="s">
        <v>24</v>
      </c>
      <c r="H32" t="s">
        <v>178</v>
      </c>
      <c r="I32" t="s">
        <v>26</v>
      </c>
      <c r="J32" t="s">
        <v>179</v>
      </c>
      <c r="K32" t="s">
        <v>51</v>
      </c>
      <c r="L32" t="s">
        <v>29</v>
      </c>
      <c r="M32" t="s">
        <v>135</v>
      </c>
      <c r="N32" t="s">
        <v>38</v>
      </c>
      <c r="O32" t="s">
        <v>38</v>
      </c>
      <c r="P32" t="s">
        <v>180</v>
      </c>
      <c r="Q32" s="3" t="s">
        <v>181</v>
      </c>
    </row>
    <row r="33" spans="1:17" ht="15.6" hidden="1" x14ac:dyDescent="0.3">
      <c r="A33" s="2">
        <v>46167</v>
      </c>
      <c r="B33">
        <v>279</v>
      </c>
      <c r="C33" t="s">
        <v>182</v>
      </c>
      <c r="D33" s="2">
        <v>46167</v>
      </c>
      <c r="E33" s="2">
        <v>46178</v>
      </c>
      <c r="F33" t="s">
        <v>71</v>
      </c>
      <c r="G33" t="s">
        <v>24</v>
      </c>
      <c r="H33" t="s">
        <v>183</v>
      </c>
      <c r="I33" t="s">
        <v>26</v>
      </c>
      <c r="J33" t="s">
        <v>164</v>
      </c>
      <c r="K33" t="s">
        <v>43</v>
      </c>
      <c r="L33" t="s">
        <v>29</v>
      </c>
      <c r="M33" t="s">
        <v>109</v>
      </c>
      <c r="N33" t="s">
        <v>38</v>
      </c>
      <c r="O33" t="s">
        <v>38</v>
      </c>
      <c r="P33" t="s">
        <v>184</v>
      </c>
      <c r="Q33" s="3" t="s">
        <v>185</v>
      </c>
    </row>
    <row r="34" spans="1:17" ht="15.6" hidden="1" x14ac:dyDescent="0.3">
      <c r="A34" s="2">
        <v>46167</v>
      </c>
      <c r="B34">
        <v>278</v>
      </c>
      <c r="C34" t="s">
        <v>186</v>
      </c>
      <c r="D34" s="2">
        <v>46167</v>
      </c>
      <c r="E34" s="2">
        <v>46174</v>
      </c>
      <c r="F34" t="s">
        <v>162</v>
      </c>
      <c r="G34" t="s">
        <v>24</v>
      </c>
      <c r="H34" t="s">
        <v>187</v>
      </c>
      <c r="I34" t="s">
        <v>26</v>
      </c>
      <c r="J34" t="s">
        <v>188</v>
      </c>
      <c r="K34" t="s">
        <v>43</v>
      </c>
      <c r="L34" t="s">
        <v>29</v>
      </c>
      <c r="M34" t="s">
        <v>109</v>
      </c>
      <c r="N34" t="s">
        <v>29</v>
      </c>
      <c r="O34" t="s">
        <v>29</v>
      </c>
      <c r="P34" t="s">
        <v>31</v>
      </c>
      <c r="Q34" s="3" t="s">
        <v>189</v>
      </c>
    </row>
    <row r="35" spans="1:17" ht="15.6" hidden="1" x14ac:dyDescent="0.3">
      <c r="A35" s="2">
        <v>46167</v>
      </c>
      <c r="B35">
        <v>277</v>
      </c>
      <c r="C35" t="s">
        <v>190</v>
      </c>
      <c r="D35" s="2">
        <v>46167</v>
      </c>
      <c r="E35" s="2">
        <v>46174</v>
      </c>
      <c r="F35" t="s">
        <v>162</v>
      </c>
      <c r="G35" t="s">
        <v>24</v>
      </c>
      <c r="H35" t="s">
        <v>191</v>
      </c>
      <c r="I35" t="s">
        <v>26</v>
      </c>
      <c r="J35" t="s">
        <v>188</v>
      </c>
      <c r="K35" t="s">
        <v>43</v>
      </c>
      <c r="L35" t="s">
        <v>29</v>
      </c>
      <c r="M35" t="s">
        <v>103</v>
      </c>
      <c r="N35" t="s">
        <v>29</v>
      </c>
      <c r="O35" t="s">
        <v>29</v>
      </c>
      <c r="P35" t="s">
        <v>31</v>
      </c>
      <c r="Q35" s="3" t="s">
        <v>192</v>
      </c>
    </row>
    <row r="36" spans="1:17" ht="15.6" hidden="1" x14ac:dyDescent="0.3">
      <c r="A36" s="2">
        <v>46167</v>
      </c>
      <c r="B36">
        <v>276</v>
      </c>
      <c r="C36" t="s">
        <v>193</v>
      </c>
      <c r="D36" s="2">
        <v>46167</v>
      </c>
      <c r="E36" s="2">
        <v>46177</v>
      </c>
      <c r="F36" t="s">
        <v>162</v>
      </c>
      <c r="G36" t="s">
        <v>24</v>
      </c>
      <c r="H36" t="s">
        <v>194</v>
      </c>
      <c r="I36" t="s">
        <v>26</v>
      </c>
      <c r="J36" t="s">
        <v>188</v>
      </c>
      <c r="K36" t="s">
        <v>43</v>
      </c>
      <c r="L36" t="s">
        <v>29</v>
      </c>
      <c r="M36" t="s">
        <v>103</v>
      </c>
      <c r="N36" t="s">
        <v>38</v>
      </c>
      <c r="O36" t="s">
        <v>38</v>
      </c>
      <c r="P36" t="s">
        <v>195</v>
      </c>
      <c r="Q36" s="3" t="s">
        <v>196</v>
      </c>
    </row>
    <row r="37" spans="1:17" ht="15.6" hidden="1" x14ac:dyDescent="0.3">
      <c r="A37" s="2">
        <v>46167</v>
      </c>
      <c r="B37">
        <v>275</v>
      </c>
      <c r="C37" t="s">
        <v>197</v>
      </c>
      <c r="D37" s="2">
        <v>46167</v>
      </c>
      <c r="E37" s="2">
        <v>46184</v>
      </c>
      <c r="F37" t="s">
        <v>162</v>
      </c>
      <c r="G37" t="s">
        <v>24</v>
      </c>
      <c r="H37" t="s">
        <v>198</v>
      </c>
      <c r="I37" t="s">
        <v>26</v>
      </c>
      <c r="J37" t="s">
        <v>188</v>
      </c>
      <c r="K37" t="s">
        <v>43</v>
      </c>
      <c r="L37" t="s">
        <v>29</v>
      </c>
      <c r="M37" t="s">
        <v>199</v>
      </c>
      <c r="N37" t="s">
        <v>38</v>
      </c>
      <c r="O37" t="s">
        <v>38</v>
      </c>
      <c r="P37" t="s">
        <v>200</v>
      </c>
      <c r="Q37" s="3" t="s">
        <v>201</v>
      </c>
    </row>
    <row r="38" spans="1:17" ht="15.6" hidden="1" x14ac:dyDescent="0.3">
      <c r="A38" s="2">
        <v>46167</v>
      </c>
      <c r="B38">
        <v>274</v>
      </c>
      <c r="C38" t="s">
        <v>202</v>
      </c>
      <c r="D38" s="2">
        <v>46167</v>
      </c>
      <c r="E38" s="2">
        <v>46171</v>
      </c>
      <c r="F38" t="s">
        <v>48</v>
      </c>
      <c r="G38" t="s">
        <v>24</v>
      </c>
      <c r="H38" t="s">
        <v>203</v>
      </c>
      <c r="I38" t="s">
        <v>26</v>
      </c>
      <c r="J38" t="s">
        <v>204</v>
      </c>
      <c r="K38" t="s">
        <v>43</v>
      </c>
      <c r="L38" t="s">
        <v>29</v>
      </c>
      <c r="M38" t="s">
        <v>205</v>
      </c>
      <c r="N38" t="s">
        <v>29</v>
      </c>
      <c r="O38" t="s">
        <v>29</v>
      </c>
      <c r="P38" t="s">
        <v>31</v>
      </c>
      <c r="Q38" s="3" t="s">
        <v>206</v>
      </c>
    </row>
    <row r="39" spans="1:17" ht="15.6" hidden="1" x14ac:dyDescent="0.3">
      <c r="A39" s="2">
        <v>46167</v>
      </c>
      <c r="B39">
        <v>273</v>
      </c>
      <c r="C39" t="s">
        <v>207</v>
      </c>
      <c r="D39" s="2">
        <v>46167</v>
      </c>
      <c r="E39" s="2">
        <v>46190</v>
      </c>
      <c r="F39" t="s">
        <v>71</v>
      </c>
      <c r="G39" t="s">
        <v>34</v>
      </c>
      <c r="H39" t="s">
        <v>208</v>
      </c>
      <c r="I39" t="s">
        <v>26</v>
      </c>
      <c r="J39" t="s">
        <v>209</v>
      </c>
      <c r="K39" t="s">
        <v>117</v>
      </c>
      <c r="L39" t="s">
        <v>29</v>
      </c>
      <c r="M39" t="s">
        <v>109</v>
      </c>
      <c r="N39" t="s">
        <v>29</v>
      </c>
      <c r="O39" t="s">
        <v>29</v>
      </c>
      <c r="P39" t="s">
        <v>31</v>
      </c>
      <c r="Q39" s="3" t="s">
        <v>210</v>
      </c>
    </row>
    <row r="40" spans="1:17" ht="15.6" hidden="1" x14ac:dyDescent="0.3">
      <c r="A40" s="2">
        <v>46167</v>
      </c>
      <c r="B40">
        <v>272</v>
      </c>
      <c r="C40" t="s">
        <v>211</v>
      </c>
      <c r="D40" s="2">
        <v>46167</v>
      </c>
      <c r="E40" s="2">
        <v>46196</v>
      </c>
      <c r="F40" t="s">
        <v>48</v>
      </c>
      <c r="G40" t="s">
        <v>57</v>
      </c>
      <c r="H40" t="s">
        <v>212</v>
      </c>
      <c r="I40" t="s">
        <v>26</v>
      </c>
      <c r="J40" t="s">
        <v>213</v>
      </c>
      <c r="K40" t="s">
        <v>214</v>
      </c>
      <c r="L40" t="s">
        <v>29</v>
      </c>
      <c r="M40" t="s">
        <v>68</v>
      </c>
      <c r="N40" t="s">
        <v>29</v>
      </c>
      <c r="O40" t="s">
        <v>29</v>
      </c>
      <c r="P40" t="s">
        <v>31</v>
      </c>
      <c r="Q40" s="3" t="s">
        <v>215</v>
      </c>
    </row>
    <row r="41" spans="1:17" ht="15.6" hidden="1" x14ac:dyDescent="0.3">
      <c r="A41" s="2">
        <v>46167</v>
      </c>
      <c r="B41">
        <v>271</v>
      </c>
      <c r="C41" t="s">
        <v>216</v>
      </c>
      <c r="D41" s="2">
        <v>46167</v>
      </c>
      <c r="E41" s="2">
        <v>46176</v>
      </c>
      <c r="F41" t="s">
        <v>217</v>
      </c>
      <c r="G41" t="s">
        <v>24</v>
      </c>
      <c r="H41" t="s">
        <v>218</v>
      </c>
      <c r="I41" t="s">
        <v>26</v>
      </c>
      <c r="J41" t="s">
        <v>219</v>
      </c>
      <c r="K41" t="s">
        <v>134</v>
      </c>
      <c r="L41" t="s">
        <v>29</v>
      </c>
      <c r="M41" t="s">
        <v>220</v>
      </c>
      <c r="N41" t="s">
        <v>38</v>
      </c>
      <c r="O41" t="s">
        <v>38</v>
      </c>
      <c r="P41" t="s">
        <v>221</v>
      </c>
      <c r="Q41" s="3" t="s">
        <v>222</v>
      </c>
    </row>
    <row r="42" spans="1:17" ht="15.6" hidden="1" x14ac:dyDescent="0.3">
      <c r="A42" s="2">
        <v>46167</v>
      </c>
      <c r="B42">
        <v>270</v>
      </c>
      <c r="C42" t="s">
        <v>223</v>
      </c>
      <c r="D42" s="2">
        <v>46167</v>
      </c>
      <c r="E42" s="2">
        <v>46182</v>
      </c>
      <c r="F42" t="s">
        <v>162</v>
      </c>
      <c r="G42" t="s">
        <v>57</v>
      </c>
      <c r="H42" t="s">
        <v>224</v>
      </c>
      <c r="I42" t="s">
        <v>26</v>
      </c>
      <c r="J42" t="s">
        <v>225</v>
      </c>
      <c r="K42" t="s">
        <v>36</v>
      </c>
      <c r="L42" t="s">
        <v>29</v>
      </c>
      <c r="M42" t="s">
        <v>44</v>
      </c>
      <c r="N42" t="s">
        <v>38</v>
      </c>
      <c r="O42" t="s">
        <v>38</v>
      </c>
      <c r="P42" t="s">
        <v>226</v>
      </c>
      <c r="Q42" s="3" t="s">
        <v>227</v>
      </c>
    </row>
    <row r="43" spans="1:17" ht="15.6" hidden="1" x14ac:dyDescent="0.3">
      <c r="A43" s="2">
        <v>46167</v>
      </c>
      <c r="B43">
        <v>269</v>
      </c>
      <c r="C43" t="s">
        <v>228</v>
      </c>
      <c r="D43" s="2">
        <v>46167</v>
      </c>
      <c r="E43" s="2">
        <v>46176</v>
      </c>
      <c r="F43" t="s">
        <v>48</v>
      </c>
      <c r="G43" t="s">
        <v>24</v>
      </c>
      <c r="H43" t="s">
        <v>229</v>
      </c>
      <c r="I43" t="s">
        <v>26</v>
      </c>
      <c r="J43" t="s">
        <v>230</v>
      </c>
      <c r="K43" t="s">
        <v>62</v>
      </c>
      <c r="L43" t="s">
        <v>29</v>
      </c>
      <c r="M43" t="s">
        <v>231</v>
      </c>
      <c r="N43" t="s">
        <v>29</v>
      </c>
      <c r="O43" t="s">
        <v>29</v>
      </c>
      <c r="P43" t="s">
        <v>31</v>
      </c>
      <c r="Q43" s="3" t="s">
        <v>232</v>
      </c>
    </row>
    <row r="44" spans="1:17" ht="15.6" hidden="1" x14ac:dyDescent="0.3">
      <c r="A44" s="2">
        <v>46167</v>
      </c>
      <c r="B44">
        <v>268</v>
      </c>
      <c r="C44" t="s">
        <v>233</v>
      </c>
      <c r="D44" s="2">
        <v>46167</v>
      </c>
      <c r="E44" s="2">
        <v>46190</v>
      </c>
      <c r="F44" t="s">
        <v>71</v>
      </c>
      <c r="G44" t="s">
        <v>34</v>
      </c>
      <c r="H44" t="s">
        <v>234</v>
      </c>
      <c r="I44" t="s">
        <v>26</v>
      </c>
      <c r="J44" t="s">
        <v>235</v>
      </c>
      <c r="K44" t="s">
        <v>62</v>
      </c>
      <c r="L44" t="s">
        <v>29</v>
      </c>
      <c r="M44" t="s">
        <v>44</v>
      </c>
      <c r="N44" t="s">
        <v>29</v>
      </c>
      <c r="O44" t="s">
        <v>29</v>
      </c>
      <c r="P44" t="s">
        <v>31</v>
      </c>
      <c r="Q44" s="3" t="s">
        <v>236</v>
      </c>
    </row>
    <row r="45" spans="1:17" ht="15.6" hidden="1" x14ac:dyDescent="0.3">
      <c r="A45" s="2">
        <v>46167</v>
      </c>
      <c r="B45">
        <v>267</v>
      </c>
      <c r="C45" t="s">
        <v>237</v>
      </c>
      <c r="D45" s="2">
        <v>46167</v>
      </c>
      <c r="E45" s="2">
        <v>46177</v>
      </c>
      <c r="F45" t="s">
        <v>23</v>
      </c>
      <c r="G45" t="s">
        <v>24</v>
      </c>
      <c r="H45" t="s">
        <v>238</v>
      </c>
      <c r="I45" t="s">
        <v>26</v>
      </c>
      <c r="J45" t="s">
        <v>204</v>
      </c>
      <c r="K45" t="s">
        <v>43</v>
      </c>
      <c r="L45" t="s">
        <v>29</v>
      </c>
      <c r="M45" t="s">
        <v>239</v>
      </c>
      <c r="N45" t="s">
        <v>38</v>
      </c>
      <c r="O45" t="s">
        <v>38</v>
      </c>
      <c r="P45" t="s">
        <v>240</v>
      </c>
      <c r="Q45" s="3" t="s">
        <v>241</v>
      </c>
    </row>
    <row r="46" spans="1:17" ht="15.6" hidden="1" x14ac:dyDescent="0.3">
      <c r="A46" s="2">
        <v>46167</v>
      </c>
      <c r="B46">
        <v>266</v>
      </c>
      <c r="C46" t="s">
        <v>242</v>
      </c>
      <c r="D46" s="2">
        <v>46167</v>
      </c>
      <c r="E46" s="2">
        <v>46171</v>
      </c>
      <c r="F46" t="s">
        <v>48</v>
      </c>
      <c r="G46" t="s">
        <v>24</v>
      </c>
      <c r="H46" t="s">
        <v>243</v>
      </c>
      <c r="I46" t="s">
        <v>26</v>
      </c>
      <c r="J46" t="s">
        <v>204</v>
      </c>
      <c r="K46" t="s">
        <v>43</v>
      </c>
      <c r="L46" t="s">
        <v>29</v>
      </c>
      <c r="M46" t="s">
        <v>205</v>
      </c>
      <c r="N46" t="s">
        <v>29</v>
      </c>
      <c r="O46" t="s">
        <v>29</v>
      </c>
      <c r="P46" t="s">
        <v>31</v>
      </c>
      <c r="Q46" s="3" t="s">
        <v>244</v>
      </c>
    </row>
    <row r="47" spans="1:17" ht="15.6" hidden="1" x14ac:dyDescent="0.3">
      <c r="A47" s="2">
        <v>46167</v>
      </c>
      <c r="B47">
        <v>265</v>
      </c>
      <c r="C47" t="s">
        <v>245</v>
      </c>
      <c r="D47" s="2">
        <v>46167</v>
      </c>
      <c r="E47" s="2">
        <v>46196</v>
      </c>
      <c r="F47" t="s">
        <v>48</v>
      </c>
      <c r="G47" t="s">
        <v>34</v>
      </c>
      <c r="H47" t="s">
        <v>246</v>
      </c>
      <c r="I47" t="s">
        <v>26</v>
      </c>
      <c r="J47" t="s">
        <v>247</v>
      </c>
      <c r="K47" t="s">
        <v>86</v>
      </c>
      <c r="L47" t="s">
        <v>29</v>
      </c>
      <c r="M47" t="s">
        <v>103</v>
      </c>
      <c r="N47" t="s">
        <v>29</v>
      </c>
      <c r="O47" t="s">
        <v>29</v>
      </c>
      <c r="P47" t="s">
        <v>31</v>
      </c>
      <c r="Q47" s="3" t="s">
        <v>248</v>
      </c>
    </row>
    <row r="48" spans="1:17" ht="15.6" hidden="1" x14ac:dyDescent="0.3">
      <c r="A48" s="2">
        <v>46167</v>
      </c>
      <c r="B48">
        <v>264</v>
      </c>
      <c r="C48" t="s">
        <v>249</v>
      </c>
      <c r="D48" s="2">
        <v>46167</v>
      </c>
      <c r="E48" s="2">
        <v>46174</v>
      </c>
      <c r="F48" t="s">
        <v>71</v>
      </c>
      <c r="G48" t="s">
        <v>24</v>
      </c>
      <c r="H48" t="s">
        <v>250</v>
      </c>
      <c r="I48" t="s">
        <v>26</v>
      </c>
      <c r="J48" t="s">
        <v>251</v>
      </c>
      <c r="K48" t="s">
        <v>43</v>
      </c>
      <c r="L48" t="s">
        <v>29</v>
      </c>
      <c r="M48" t="s">
        <v>231</v>
      </c>
      <c r="N48" t="s">
        <v>29</v>
      </c>
      <c r="O48" t="s">
        <v>29</v>
      </c>
      <c r="P48" t="s">
        <v>31</v>
      </c>
      <c r="Q48" s="3" t="s">
        <v>252</v>
      </c>
    </row>
    <row r="49" spans="1:17" ht="15.6" hidden="1" x14ac:dyDescent="0.3">
      <c r="A49" s="2">
        <v>46167</v>
      </c>
      <c r="B49">
        <v>263</v>
      </c>
      <c r="C49" t="s">
        <v>253</v>
      </c>
      <c r="D49" s="2">
        <v>46167</v>
      </c>
      <c r="E49" s="2">
        <v>46188</v>
      </c>
      <c r="F49" t="s">
        <v>162</v>
      </c>
      <c r="G49" t="s">
        <v>57</v>
      </c>
      <c r="H49" t="s">
        <v>254</v>
      </c>
      <c r="I49" t="s">
        <v>26</v>
      </c>
      <c r="J49" t="s">
        <v>255</v>
      </c>
      <c r="K49" t="s">
        <v>86</v>
      </c>
      <c r="L49" t="s">
        <v>29</v>
      </c>
      <c r="M49" t="s">
        <v>256</v>
      </c>
      <c r="N49" t="s">
        <v>29</v>
      </c>
      <c r="O49" t="s">
        <v>29</v>
      </c>
      <c r="P49" t="s">
        <v>31</v>
      </c>
      <c r="Q49" s="3" t="s">
        <v>257</v>
      </c>
    </row>
    <row r="50" spans="1:17" ht="15.6" hidden="1" x14ac:dyDescent="0.3">
      <c r="A50" s="2">
        <v>46167</v>
      </c>
      <c r="B50">
        <v>262</v>
      </c>
      <c r="C50" t="s">
        <v>258</v>
      </c>
      <c r="D50" s="2">
        <v>46167</v>
      </c>
      <c r="E50" s="2">
        <v>46171</v>
      </c>
      <c r="F50" t="s">
        <v>162</v>
      </c>
      <c r="G50" t="s">
        <v>24</v>
      </c>
      <c r="H50" t="s">
        <v>259</v>
      </c>
      <c r="I50" t="s">
        <v>26</v>
      </c>
      <c r="J50" t="s">
        <v>260</v>
      </c>
      <c r="K50" t="s">
        <v>43</v>
      </c>
      <c r="L50" t="s">
        <v>29</v>
      </c>
      <c r="M50" t="s">
        <v>109</v>
      </c>
      <c r="N50" t="s">
        <v>29</v>
      </c>
      <c r="O50" t="s">
        <v>29</v>
      </c>
      <c r="P50" t="s">
        <v>31</v>
      </c>
      <c r="Q50" s="3" t="s">
        <v>261</v>
      </c>
    </row>
    <row r="51" spans="1:17" ht="15.6" hidden="1" x14ac:dyDescent="0.3">
      <c r="A51" s="2">
        <v>46167</v>
      </c>
      <c r="B51">
        <v>261</v>
      </c>
      <c r="C51" t="s">
        <v>262</v>
      </c>
      <c r="D51" s="2">
        <v>46167</v>
      </c>
      <c r="E51" s="2">
        <v>46197</v>
      </c>
      <c r="F51" t="s">
        <v>48</v>
      </c>
      <c r="G51" t="s">
        <v>34</v>
      </c>
      <c r="H51" t="s">
        <v>263</v>
      </c>
      <c r="I51" t="s">
        <v>26</v>
      </c>
      <c r="J51" t="s">
        <v>264</v>
      </c>
      <c r="K51" t="s">
        <v>62</v>
      </c>
      <c r="L51" t="s">
        <v>29</v>
      </c>
      <c r="M51" t="s">
        <v>265</v>
      </c>
      <c r="N51" t="s">
        <v>38</v>
      </c>
      <c r="O51" t="s">
        <v>38</v>
      </c>
      <c r="P51" t="s">
        <v>266</v>
      </c>
      <c r="Q51" s="3" t="s">
        <v>267</v>
      </c>
    </row>
    <row r="52" spans="1:17" ht="15.6" hidden="1" x14ac:dyDescent="0.3">
      <c r="A52" s="2">
        <v>46167</v>
      </c>
      <c r="B52">
        <v>260</v>
      </c>
      <c r="C52" t="s">
        <v>268</v>
      </c>
      <c r="D52" s="2">
        <v>46167</v>
      </c>
      <c r="E52" s="2">
        <v>46196</v>
      </c>
      <c r="F52" t="s">
        <v>48</v>
      </c>
      <c r="G52" t="s">
        <v>34</v>
      </c>
      <c r="H52" t="s">
        <v>269</v>
      </c>
      <c r="I52" t="s">
        <v>26</v>
      </c>
      <c r="J52" t="s">
        <v>264</v>
      </c>
      <c r="K52" t="s">
        <v>62</v>
      </c>
      <c r="L52" t="s">
        <v>29</v>
      </c>
      <c r="M52" t="s">
        <v>239</v>
      </c>
      <c r="N52" t="s">
        <v>38</v>
      </c>
      <c r="O52" t="s">
        <v>38</v>
      </c>
      <c r="P52" t="s">
        <v>270</v>
      </c>
      <c r="Q52" s="3" t="s">
        <v>271</v>
      </c>
    </row>
    <row r="53" spans="1:17" ht="15.6" hidden="1" x14ac:dyDescent="0.3">
      <c r="A53" s="2">
        <v>46167</v>
      </c>
      <c r="B53">
        <v>259</v>
      </c>
      <c r="C53" t="s">
        <v>272</v>
      </c>
      <c r="D53" s="2">
        <v>46167</v>
      </c>
      <c r="E53" s="2">
        <v>46198</v>
      </c>
      <c r="F53" t="s">
        <v>48</v>
      </c>
      <c r="G53" t="s">
        <v>34</v>
      </c>
      <c r="H53" t="s">
        <v>273</v>
      </c>
      <c r="I53" t="s">
        <v>26</v>
      </c>
      <c r="J53" t="s">
        <v>264</v>
      </c>
      <c r="K53" t="s">
        <v>62</v>
      </c>
      <c r="L53" t="s">
        <v>29</v>
      </c>
      <c r="M53" t="s">
        <v>265</v>
      </c>
      <c r="N53" t="s">
        <v>38</v>
      </c>
      <c r="O53" t="s">
        <v>29</v>
      </c>
      <c r="P53" t="s">
        <v>274</v>
      </c>
      <c r="Q53" s="3" t="s">
        <v>275</v>
      </c>
    </row>
    <row r="54" spans="1:17" ht="15.6" hidden="1" x14ac:dyDescent="0.3">
      <c r="A54" s="2">
        <v>46167</v>
      </c>
      <c r="B54">
        <v>258</v>
      </c>
      <c r="C54" t="s">
        <v>276</v>
      </c>
      <c r="D54" s="2">
        <v>46167</v>
      </c>
      <c r="E54" s="2">
        <v>46197</v>
      </c>
      <c r="F54" t="s">
        <v>48</v>
      </c>
      <c r="G54" t="s">
        <v>34</v>
      </c>
      <c r="H54" t="s">
        <v>277</v>
      </c>
      <c r="I54" t="s">
        <v>26</v>
      </c>
      <c r="J54" t="s">
        <v>264</v>
      </c>
      <c r="K54" t="s">
        <v>62</v>
      </c>
      <c r="L54" t="s">
        <v>29</v>
      </c>
      <c r="M54" t="s">
        <v>278</v>
      </c>
      <c r="N54" t="s">
        <v>38</v>
      </c>
      <c r="O54" t="s">
        <v>38</v>
      </c>
      <c r="P54" t="s">
        <v>279</v>
      </c>
      <c r="Q54" s="3" t="s">
        <v>280</v>
      </c>
    </row>
    <row r="55" spans="1:17" ht="15.6" hidden="1" x14ac:dyDescent="0.3">
      <c r="A55" s="2">
        <v>46167</v>
      </c>
      <c r="B55">
        <v>257</v>
      </c>
      <c r="C55" t="s">
        <v>281</v>
      </c>
      <c r="D55" s="2">
        <v>46167</v>
      </c>
      <c r="E55" s="2">
        <v>46196</v>
      </c>
      <c r="F55" t="s">
        <v>48</v>
      </c>
      <c r="G55" t="s">
        <v>34</v>
      </c>
      <c r="H55" t="s">
        <v>282</v>
      </c>
      <c r="I55" t="s">
        <v>26</v>
      </c>
      <c r="J55" t="s">
        <v>264</v>
      </c>
      <c r="K55" t="s">
        <v>62</v>
      </c>
      <c r="L55" t="s">
        <v>29</v>
      </c>
      <c r="M55" t="s">
        <v>283</v>
      </c>
      <c r="N55" t="s">
        <v>38</v>
      </c>
      <c r="O55" t="s">
        <v>29</v>
      </c>
      <c r="P55" t="s">
        <v>284</v>
      </c>
      <c r="Q55" s="3" t="s">
        <v>285</v>
      </c>
    </row>
    <row r="56" spans="1:17" ht="15.6" hidden="1" x14ac:dyDescent="0.3">
      <c r="A56" s="2">
        <v>46167</v>
      </c>
      <c r="B56">
        <v>256</v>
      </c>
      <c r="C56" t="s">
        <v>286</v>
      </c>
      <c r="D56" s="2">
        <v>46167</v>
      </c>
      <c r="E56" s="2">
        <v>46199</v>
      </c>
      <c r="F56" t="s">
        <v>162</v>
      </c>
      <c r="G56" t="s">
        <v>57</v>
      </c>
      <c r="H56" t="s">
        <v>287</v>
      </c>
      <c r="I56" t="s">
        <v>26</v>
      </c>
      <c r="J56" t="s">
        <v>255</v>
      </c>
      <c r="K56" t="s">
        <v>28</v>
      </c>
      <c r="L56" t="s">
        <v>29</v>
      </c>
      <c r="M56" t="s">
        <v>52</v>
      </c>
      <c r="N56" t="s">
        <v>38</v>
      </c>
      <c r="O56" t="s">
        <v>38</v>
      </c>
      <c r="P56" t="s">
        <v>288</v>
      </c>
      <c r="Q56" s="3" t="s">
        <v>289</v>
      </c>
    </row>
    <row r="57" spans="1:17" ht="15.6" hidden="1" x14ac:dyDescent="0.3">
      <c r="A57" s="2">
        <v>46167</v>
      </c>
      <c r="B57">
        <v>255</v>
      </c>
      <c r="C57" t="s">
        <v>290</v>
      </c>
      <c r="D57" s="2">
        <v>46167</v>
      </c>
      <c r="E57" s="2">
        <v>46185</v>
      </c>
      <c r="F57" t="s">
        <v>71</v>
      </c>
      <c r="G57" t="s">
        <v>24</v>
      </c>
      <c r="H57" t="s">
        <v>291</v>
      </c>
      <c r="I57" t="s">
        <v>26</v>
      </c>
      <c r="J57" t="s">
        <v>292</v>
      </c>
      <c r="K57" t="s">
        <v>51</v>
      </c>
      <c r="L57" t="s">
        <v>29</v>
      </c>
      <c r="M57" t="s">
        <v>293</v>
      </c>
      <c r="N57" t="s">
        <v>29</v>
      </c>
      <c r="O57" t="s">
        <v>29</v>
      </c>
      <c r="P57" t="s">
        <v>31</v>
      </c>
      <c r="Q57" s="3" t="s">
        <v>294</v>
      </c>
    </row>
    <row r="58" spans="1:17" ht="15.6" hidden="1" x14ac:dyDescent="0.3">
      <c r="A58" s="2">
        <v>46167</v>
      </c>
      <c r="B58">
        <v>254</v>
      </c>
      <c r="C58" t="s">
        <v>295</v>
      </c>
      <c r="D58" s="2">
        <v>46167</v>
      </c>
      <c r="E58" s="2">
        <v>46199</v>
      </c>
      <c r="F58" t="s">
        <v>48</v>
      </c>
      <c r="G58" t="s">
        <v>34</v>
      </c>
      <c r="H58" t="s">
        <v>296</v>
      </c>
      <c r="I58" t="s">
        <v>26</v>
      </c>
      <c r="J58" t="s">
        <v>297</v>
      </c>
      <c r="K58" t="s">
        <v>28</v>
      </c>
      <c r="L58" t="s">
        <v>29</v>
      </c>
      <c r="M58" t="s">
        <v>74</v>
      </c>
      <c r="N58" t="s">
        <v>29</v>
      </c>
      <c r="O58" t="s">
        <v>29</v>
      </c>
      <c r="P58" t="s">
        <v>31</v>
      </c>
      <c r="Q58" s="3" t="s">
        <v>298</v>
      </c>
    </row>
    <row r="59" spans="1:17" ht="15.6" hidden="1" x14ac:dyDescent="0.3">
      <c r="A59" s="2">
        <v>46167</v>
      </c>
      <c r="B59">
        <v>253</v>
      </c>
      <c r="C59" t="s">
        <v>299</v>
      </c>
      <c r="D59" s="2">
        <v>46167</v>
      </c>
      <c r="E59" s="2">
        <v>46170</v>
      </c>
      <c r="F59" t="s">
        <v>71</v>
      </c>
      <c r="G59" t="s">
        <v>24</v>
      </c>
      <c r="H59" t="s">
        <v>300</v>
      </c>
      <c r="I59" t="s">
        <v>26</v>
      </c>
      <c r="J59" t="s">
        <v>301</v>
      </c>
      <c r="K59" t="s">
        <v>43</v>
      </c>
      <c r="L59" t="s">
        <v>29</v>
      </c>
      <c r="M59" t="s">
        <v>302</v>
      </c>
      <c r="N59" t="s">
        <v>29</v>
      </c>
      <c r="O59" t="s">
        <v>29</v>
      </c>
      <c r="P59" t="s">
        <v>31</v>
      </c>
      <c r="Q59" s="3" t="s">
        <v>303</v>
      </c>
    </row>
    <row r="60" spans="1:17" ht="15.6" hidden="1" x14ac:dyDescent="0.3">
      <c r="A60" s="2">
        <v>46167</v>
      </c>
      <c r="B60">
        <v>252</v>
      </c>
      <c r="C60" t="s">
        <v>304</v>
      </c>
      <c r="D60" s="2">
        <v>46167</v>
      </c>
      <c r="E60" s="2">
        <v>46176</v>
      </c>
      <c r="F60" t="s">
        <v>71</v>
      </c>
      <c r="G60" t="s">
        <v>24</v>
      </c>
      <c r="H60" t="s">
        <v>305</v>
      </c>
      <c r="I60" t="s">
        <v>26</v>
      </c>
      <c r="J60" t="s">
        <v>306</v>
      </c>
      <c r="K60" t="s">
        <v>43</v>
      </c>
      <c r="L60" t="s">
        <v>29</v>
      </c>
      <c r="M60" t="s">
        <v>44</v>
      </c>
      <c r="N60" t="s">
        <v>29</v>
      </c>
      <c r="O60" t="s">
        <v>29</v>
      </c>
      <c r="P60" t="s">
        <v>31</v>
      </c>
      <c r="Q60" s="3" t="s">
        <v>307</v>
      </c>
    </row>
    <row r="61" spans="1:17" ht="15.6" hidden="1" x14ac:dyDescent="0.3">
      <c r="A61" s="2">
        <v>46167</v>
      </c>
      <c r="B61">
        <v>251</v>
      </c>
      <c r="C61" t="s">
        <v>308</v>
      </c>
      <c r="D61" s="2">
        <v>46167</v>
      </c>
      <c r="E61" s="2">
        <v>46171</v>
      </c>
      <c r="F61" t="s">
        <v>162</v>
      </c>
      <c r="G61" t="s">
        <v>57</v>
      </c>
      <c r="H61" t="s">
        <v>309</v>
      </c>
      <c r="I61" t="s">
        <v>26</v>
      </c>
      <c r="J61" t="s">
        <v>310</v>
      </c>
      <c r="K61" t="s">
        <v>43</v>
      </c>
      <c r="L61" t="s">
        <v>29</v>
      </c>
      <c r="M61" t="s">
        <v>205</v>
      </c>
      <c r="N61" t="s">
        <v>29</v>
      </c>
      <c r="O61" t="s">
        <v>29</v>
      </c>
      <c r="P61" t="s">
        <v>31</v>
      </c>
      <c r="Q61" s="3" t="s">
        <v>311</v>
      </c>
    </row>
    <row r="62" spans="1:17" ht="15.6" hidden="1" x14ac:dyDescent="0.3">
      <c r="A62" s="2">
        <v>46167</v>
      </c>
      <c r="B62">
        <v>250</v>
      </c>
      <c r="C62" t="s">
        <v>312</v>
      </c>
      <c r="D62" s="2">
        <v>46167</v>
      </c>
      <c r="E62" s="2">
        <v>46170</v>
      </c>
      <c r="F62" t="s">
        <v>162</v>
      </c>
      <c r="G62" t="s">
        <v>57</v>
      </c>
      <c r="H62" t="s">
        <v>313</v>
      </c>
      <c r="I62" t="s">
        <v>26</v>
      </c>
      <c r="J62" t="s">
        <v>310</v>
      </c>
      <c r="K62" t="s">
        <v>43</v>
      </c>
      <c r="L62" t="s">
        <v>29</v>
      </c>
      <c r="M62" t="s">
        <v>314</v>
      </c>
      <c r="N62" t="s">
        <v>29</v>
      </c>
      <c r="O62" t="s">
        <v>29</v>
      </c>
      <c r="P62" t="s">
        <v>31</v>
      </c>
      <c r="Q62" s="3" t="s">
        <v>315</v>
      </c>
    </row>
    <row r="63" spans="1:17" ht="15.6" hidden="1" x14ac:dyDescent="0.3">
      <c r="A63" s="2">
        <v>46167</v>
      </c>
      <c r="B63">
        <v>249</v>
      </c>
      <c r="C63" t="s">
        <v>316</v>
      </c>
      <c r="D63" s="2">
        <v>46167</v>
      </c>
      <c r="E63" s="2">
        <v>46176</v>
      </c>
      <c r="F63" t="s">
        <v>23</v>
      </c>
      <c r="G63" t="s">
        <v>24</v>
      </c>
      <c r="H63" t="s">
        <v>317</v>
      </c>
      <c r="I63" t="s">
        <v>26</v>
      </c>
      <c r="J63" t="s">
        <v>318</v>
      </c>
      <c r="K63" t="s">
        <v>51</v>
      </c>
      <c r="L63" t="s">
        <v>29</v>
      </c>
      <c r="M63" t="s">
        <v>94</v>
      </c>
      <c r="N63" t="s">
        <v>38</v>
      </c>
      <c r="O63" t="s">
        <v>38</v>
      </c>
      <c r="P63" t="s">
        <v>319</v>
      </c>
      <c r="Q63" s="3" t="s">
        <v>320</v>
      </c>
    </row>
    <row r="64" spans="1:17" ht="15.6" hidden="1" x14ac:dyDescent="0.3">
      <c r="A64" s="2">
        <v>46167</v>
      </c>
      <c r="B64">
        <v>248</v>
      </c>
      <c r="C64" t="s">
        <v>321</v>
      </c>
      <c r="D64" s="2">
        <v>46167</v>
      </c>
      <c r="E64" s="2">
        <v>46181</v>
      </c>
      <c r="F64" t="s">
        <v>322</v>
      </c>
      <c r="G64" t="s">
        <v>24</v>
      </c>
      <c r="H64" t="s">
        <v>323</v>
      </c>
      <c r="I64" t="s">
        <v>26</v>
      </c>
      <c r="J64" t="s">
        <v>324</v>
      </c>
      <c r="K64" t="s">
        <v>51</v>
      </c>
      <c r="L64" t="s">
        <v>29</v>
      </c>
      <c r="M64" t="s">
        <v>68</v>
      </c>
      <c r="N64" t="s">
        <v>29</v>
      </c>
      <c r="O64" t="s">
        <v>29</v>
      </c>
      <c r="P64" t="s">
        <v>31</v>
      </c>
      <c r="Q64" s="3" t="s">
        <v>325</v>
      </c>
    </row>
    <row r="65" spans="1:17" ht="15.6" hidden="1" x14ac:dyDescent="0.3">
      <c r="A65" s="2">
        <v>46167</v>
      </c>
      <c r="B65">
        <v>247</v>
      </c>
      <c r="C65" t="s">
        <v>326</v>
      </c>
      <c r="D65" s="2">
        <v>46167</v>
      </c>
      <c r="E65" s="2">
        <v>46185</v>
      </c>
      <c r="F65" t="s">
        <v>48</v>
      </c>
      <c r="G65" t="s">
        <v>34</v>
      </c>
      <c r="H65" t="s">
        <v>327</v>
      </c>
      <c r="I65" t="s">
        <v>26</v>
      </c>
      <c r="J65" t="s">
        <v>328</v>
      </c>
      <c r="K65" t="s">
        <v>214</v>
      </c>
      <c r="L65" t="s">
        <v>29</v>
      </c>
      <c r="M65" t="s">
        <v>231</v>
      </c>
      <c r="N65" t="s">
        <v>38</v>
      </c>
      <c r="O65" t="s">
        <v>38</v>
      </c>
      <c r="P65" t="s">
        <v>329</v>
      </c>
      <c r="Q65" s="3" t="s">
        <v>330</v>
      </c>
    </row>
    <row r="66" spans="1:17" ht="15.6" hidden="1" x14ac:dyDescent="0.3">
      <c r="A66" s="2">
        <v>46167</v>
      </c>
      <c r="B66">
        <v>246</v>
      </c>
      <c r="C66" t="s">
        <v>331</v>
      </c>
      <c r="D66" s="2">
        <v>46167</v>
      </c>
      <c r="E66" s="2">
        <v>46175</v>
      </c>
      <c r="F66" t="s">
        <v>48</v>
      </c>
      <c r="G66" t="s">
        <v>24</v>
      </c>
      <c r="H66" t="s">
        <v>332</v>
      </c>
      <c r="I66" t="s">
        <v>26</v>
      </c>
      <c r="J66" t="s">
        <v>328</v>
      </c>
      <c r="K66" t="s">
        <v>214</v>
      </c>
      <c r="L66" t="s">
        <v>29</v>
      </c>
      <c r="M66" t="s">
        <v>231</v>
      </c>
      <c r="N66" t="s">
        <v>29</v>
      </c>
      <c r="O66" t="s">
        <v>29</v>
      </c>
      <c r="P66" t="s">
        <v>31</v>
      </c>
      <c r="Q66" s="3" t="s">
        <v>333</v>
      </c>
    </row>
    <row r="67" spans="1:17" ht="15.6" hidden="1" x14ac:dyDescent="0.3">
      <c r="A67" s="2">
        <v>46167</v>
      </c>
      <c r="B67">
        <v>245</v>
      </c>
      <c r="C67" t="s">
        <v>334</v>
      </c>
      <c r="D67" s="2">
        <v>46167</v>
      </c>
      <c r="E67" s="2">
        <v>46175</v>
      </c>
      <c r="F67" t="s">
        <v>48</v>
      </c>
      <c r="G67" t="s">
        <v>24</v>
      </c>
      <c r="H67" t="s">
        <v>335</v>
      </c>
      <c r="I67" t="s">
        <v>26</v>
      </c>
      <c r="J67" t="s">
        <v>328</v>
      </c>
      <c r="K67" t="s">
        <v>214</v>
      </c>
      <c r="L67" t="s">
        <v>29</v>
      </c>
      <c r="M67" t="s">
        <v>231</v>
      </c>
      <c r="N67" t="s">
        <v>29</v>
      </c>
      <c r="O67" t="s">
        <v>29</v>
      </c>
      <c r="P67" t="s">
        <v>31</v>
      </c>
      <c r="Q67" s="3" t="s">
        <v>336</v>
      </c>
    </row>
    <row r="68" spans="1:17" ht="15.6" hidden="1" x14ac:dyDescent="0.3">
      <c r="A68" s="2">
        <v>46167</v>
      </c>
      <c r="B68">
        <v>244</v>
      </c>
      <c r="C68" t="s">
        <v>337</v>
      </c>
      <c r="D68" s="2">
        <v>46167</v>
      </c>
      <c r="E68" s="2">
        <v>46184</v>
      </c>
      <c r="F68" t="s">
        <v>48</v>
      </c>
      <c r="G68" t="s">
        <v>24</v>
      </c>
      <c r="H68" t="s">
        <v>338</v>
      </c>
      <c r="I68" t="s">
        <v>26</v>
      </c>
      <c r="J68" t="s">
        <v>339</v>
      </c>
      <c r="K68" t="s">
        <v>43</v>
      </c>
      <c r="L68" t="s">
        <v>29</v>
      </c>
      <c r="M68" t="s">
        <v>340</v>
      </c>
      <c r="N68" t="s">
        <v>29</v>
      </c>
      <c r="O68" t="s">
        <v>29</v>
      </c>
      <c r="P68" t="s">
        <v>31</v>
      </c>
      <c r="Q68" s="3" t="s">
        <v>341</v>
      </c>
    </row>
    <row r="69" spans="1:17" ht="15.6" hidden="1" x14ac:dyDescent="0.3">
      <c r="A69" s="2">
        <v>46167</v>
      </c>
      <c r="B69">
        <v>243</v>
      </c>
      <c r="C69" t="s">
        <v>342</v>
      </c>
      <c r="D69" s="2">
        <v>46167</v>
      </c>
      <c r="E69" s="2">
        <v>46203</v>
      </c>
      <c r="F69" t="s">
        <v>48</v>
      </c>
      <c r="G69" t="s">
        <v>34</v>
      </c>
      <c r="H69" t="s">
        <v>343</v>
      </c>
      <c r="I69" t="s">
        <v>26</v>
      </c>
      <c r="J69" t="s">
        <v>344</v>
      </c>
      <c r="K69" t="s">
        <v>86</v>
      </c>
      <c r="L69" t="s">
        <v>29</v>
      </c>
      <c r="M69" t="s">
        <v>52</v>
      </c>
      <c r="N69" t="s">
        <v>38</v>
      </c>
      <c r="O69" t="s">
        <v>38</v>
      </c>
      <c r="P69" t="s">
        <v>345</v>
      </c>
      <c r="Q69" s="3" t="s">
        <v>346</v>
      </c>
    </row>
    <row r="70" spans="1:17" ht="15.6" hidden="1" x14ac:dyDescent="0.3">
      <c r="A70" s="2">
        <v>46167</v>
      </c>
      <c r="B70">
        <v>242</v>
      </c>
      <c r="C70" t="s">
        <v>347</v>
      </c>
      <c r="D70" s="2">
        <v>46167</v>
      </c>
      <c r="E70" s="2">
        <v>46210</v>
      </c>
      <c r="F70" t="s">
        <v>48</v>
      </c>
      <c r="G70" t="s">
        <v>34</v>
      </c>
      <c r="H70" t="s">
        <v>348</v>
      </c>
      <c r="I70" t="s">
        <v>26</v>
      </c>
      <c r="J70" t="s">
        <v>328</v>
      </c>
      <c r="K70" t="s">
        <v>214</v>
      </c>
      <c r="L70" t="s">
        <v>29</v>
      </c>
      <c r="M70" t="s">
        <v>231</v>
      </c>
      <c r="N70" t="s">
        <v>38</v>
      </c>
      <c r="O70" t="s">
        <v>38</v>
      </c>
      <c r="P70" t="s">
        <v>329</v>
      </c>
      <c r="Q70" s="3" t="s">
        <v>349</v>
      </c>
    </row>
    <row r="71" spans="1:17" ht="15.6" hidden="1" x14ac:dyDescent="0.3">
      <c r="A71" s="2">
        <v>46167</v>
      </c>
      <c r="B71">
        <v>241</v>
      </c>
      <c r="C71" t="s">
        <v>350</v>
      </c>
      <c r="D71" s="2">
        <v>46167</v>
      </c>
      <c r="E71" s="2">
        <v>46192</v>
      </c>
      <c r="F71" t="s">
        <v>48</v>
      </c>
      <c r="G71" t="s">
        <v>34</v>
      </c>
      <c r="H71" t="s">
        <v>351</v>
      </c>
      <c r="I71" t="s">
        <v>26</v>
      </c>
      <c r="J71" t="s">
        <v>344</v>
      </c>
      <c r="K71" t="s">
        <v>86</v>
      </c>
      <c r="L71" t="s">
        <v>29</v>
      </c>
      <c r="M71" t="s">
        <v>52</v>
      </c>
      <c r="N71" t="s">
        <v>38</v>
      </c>
      <c r="O71" t="s">
        <v>38</v>
      </c>
      <c r="P71" t="s">
        <v>345</v>
      </c>
      <c r="Q71" s="3" t="s">
        <v>352</v>
      </c>
    </row>
    <row r="72" spans="1:17" ht="15.6" hidden="1" x14ac:dyDescent="0.3">
      <c r="A72" s="2">
        <v>46167</v>
      </c>
      <c r="B72">
        <v>240</v>
      </c>
      <c r="C72" t="s">
        <v>353</v>
      </c>
      <c r="D72" s="2">
        <v>46167</v>
      </c>
      <c r="E72" s="2">
        <v>46203</v>
      </c>
      <c r="F72" t="s">
        <v>48</v>
      </c>
      <c r="G72" t="s">
        <v>34</v>
      </c>
      <c r="H72" t="s">
        <v>354</v>
      </c>
      <c r="I72" t="s">
        <v>26</v>
      </c>
      <c r="J72" t="s">
        <v>344</v>
      </c>
      <c r="K72" t="s">
        <v>86</v>
      </c>
      <c r="L72" t="s">
        <v>29</v>
      </c>
      <c r="M72" t="s">
        <v>109</v>
      </c>
      <c r="N72" t="s">
        <v>38</v>
      </c>
      <c r="O72" t="s">
        <v>38</v>
      </c>
      <c r="P72" t="s">
        <v>31</v>
      </c>
      <c r="Q72" s="3" t="s">
        <v>355</v>
      </c>
    </row>
    <row r="73" spans="1:17" ht="15.6" hidden="1" x14ac:dyDescent="0.3">
      <c r="A73" s="2">
        <v>46167</v>
      </c>
      <c r="B73">
        <v>239</v>
      </c>
      <c r="C73" t="s">
        <v>356</v>
      </c>
      <c r="D73" s="2">
        <v>46167</v>
      </c>
      <c r="E73" s="2">
        <v>46178</v>
      </c>
      <c r="F73" t="s">
        <v>48</v>
      </c>
      <c r="G73" t="s">
        <v>24</v>
      </c>
      <c r="H73" t="s">
        <v>357</v>
      </c>
      <c r="I73" t="s">
        <v>26</v>
      </c>
      <c r="J73" t="s">
        <v>358</v>
      </c>
      <c r="K73" t="s">
        <v>86</v>
      </c>
      <c r="L73" t="s">
        <v>29</v>
      </c>
      <c r="M73" t="s">
        <v>103</v>
      </c>
      <c r="N73" t="s">
        <v>38</v>
      </c>
      <c r="O73" t="s">
        <v>29</v>
      </c>
      <c r="P73" t="s">
        <v>359</v>
      </c>
      <c r="Q73" s="3" t="s">
        <v>360</v>
      </c>
    </row>
    <row r="74" spans="1:17" ht="15.6" hidden="1" x14ac:dyDescent="0.3">
      <c r="A74" s="2">
        <v>46167</v>
      </c>
      <c r="B74">
        <v>238</v>
      </c>
      <c r="C74" t="s">
        <v>361</v>
      </c>
      <c r="D74" s="2">
        <v>46167</v>
      </c>
      <c r="E74" s="2">
        <v>46175</v>
      </c>
      <c r="F74" t="s">
        <v>48</v>
      </c>
      <c r="G74" t="s">
        <v>24</v>
      </c>
      <c r="H74" t="s">
        <v>362</v>
      </c>
      <c r="I74" t="s">
        <v>26</v>
      </c>
      <c r="J74" t="s">
        <v>328</v>
      </c>
      <c r="K74" t="s">
        <v>214</v>
      </c>
      <c r="L74" t="s">
        <v>29</v>
      </c>
      <c r="M74" t="s">
        <v>231</v>
      </c>
      <c r="N74" t="s">
        <v>29</v>
      </c>
      <c r="O74" t="s">
        <v>29</v>
      </c>
      <c r="P74" t="s">
        <v>31</v>
      </c>
      <c r="Q74" s="3" t="s">
        <v>363</v>
      </c>
    </row>
    <row r="75" spans="1:17" ht="15.6" hidden="1" x14ac:dyDescent="0.3">
      <c r="A75" s="2">
        <v>46167</v>
      </c>
      <c r="B75">
        <v>237</v>
      </c>
      <c r="C75" t="s">
        <v>364</v>
      </c>
      <c r="D75" s="2">
        <v>46167</v>
      </c>
      <c r="E75" s="2">
        <v>46175</v>
      </c>
      <c r="F75" t="s">
        <v>71</v>
      </c>
      <c r="G75" t="s">
        <v>24</v>
      </c>
      <c r="H75" t="s">
        <v>364</v>
      </c>
      <c r="I75" t="s">
        <v>26</v>
      </c>
      <c r="J75" t="s">
        <v>365</v>
      </c>
      <c r="K75" t="s">
        <v>36</v>
      </c>
      <c r="L75" t="s">
        <v>29</v>
      </c>
      <c r="M75" t="s">
        <v>44</v>
      </c>
      <c r="N75" t="s">
        <v>29</v>
      </c>
      <c r="O75" t="s">
        <v>29</v>
      </c>
      <c r="P75" t="s">
        <v>31</v>
      </c>
      <c r="Q75" s="3" t="s">
        <v>366</v>
      </c>
    </row>
    <row r="76" spans="1:17" ht="15.6" hidden="1" x14ac:dyDescent="0.3">
      <c r="A76" s="2">
        <v>46167</v>
      </c>
      <c r="B76">
        <v>236</v>
      </c>
      <c r="C76" t="s">
        <v>367</v>
      </c>
      <c r="D76" s="2">
        <v>46167</v>
      </c>
      <c r="E76" s="2">
        <v>46174</v>
      </c>
      <c r="F76" t="s">
        <v>71</v>
      </c>
      <c r="G76" t="s">
        <v>24</v>
      </c>
      <c r="H76" t="s">
        <v>367</v>
      </c>
      <c r="I76" t="s">
        <v>26</v>
      </c>
      <c r="J76" t="s">
        <v>365</v>
      </c>
      <c r="K76" t="s">
        <v>36</v>
      </c>
      <c r="L76" t="s">
        <v>29</v>
      </c>
      <c r="M76" t="s">
        <v>44</v>
      </c>
      <c r="N76" t="s">
        <v>29</v>
      </c>
      <c r="O76" t="s">
        <v>29</v>
      </c>
      <c r="P76" t="s">
        <v>31</v>
      </c>
      <c r="Q76" s="3" t="s">
        <v>368</v>
      </c>
    </row>
    <row r="77" spans="1:17" ht="15.6" hidden="1" x14ac:dyDescent="0.3">
      <c r="A77" s="2">
        <v>46167</v>
      </c>
      <c r="B77">
        <v>235</v>
      </c>
      <c r="C77" t="s">
        <v>369</v>
      </c>
      <c r="D77" s="2">
        <v>46167</v>
      </c>
      <c r="E77" s="2">
        <v>46185</v>
      </c>
      <c r="F77" t="s">
        <v>71</v>
      </c>
      <c r="G77" t="s">
        <v>24</v>
      </c>
      <c r="H77" t="s">
        <v>370</v>
      </c>
      <c r="I77" t="s">
        <v>26</v>
      </c>
      <c r="J77" t="s">
        <v>371</v>
      </c>
      <c r="K77" t="s">
        <v>86</v>
      </c>
      <c r="L77" t="s">
        <v>29</v>
      </c>
      <c r="M77" t="s">
        <v>372</v>
      </c>
      <c r="N77" t="s">
        <v>38</v>
      </c>
      <c r="O77" t="s">
        <v>38</v>
      </c>
      <c r="P77" t="s">
        <v>373</v>
      </c>
      <c r="Q77" s="3" t="s">
        <v>374</v>
      </c>
    </row>
    <row r="78" spans="1:17" ht="15.6" hidden="1" x14ac:dyDescent="0.3">
      <c r="A78" s="2">
        <v>46167</v>
      </c>
      <c r="B78">
        <v>234</v>
      </c>
      <c r="C78" t="s">
        <v>375</v>
      </c>
      <c r="D78" s="2">
        <v>46167</v>
      </c>
      <c r="E78" s="2">
        <v>46170</v>
      </c>
      <c r="F78" t="s">
        <v>23</v>
      </c>
      <c r="G78" t="s">
        <v>24</v>
      </c>
      <c r="H78" t="s">
        <v>376</v>
      </c>
      <c r="I78" t="s">
        <v>26</v>
      </c>
      <c r="J78" t="s">
        <v>377</v>
      </c>
      <c r="K78" t="s">
        <v>43</v>
      </c>
      <c r="L78" t="s">
        <v>29</v>
      </c>
      <c r="M78" t="s">
        <v>68</v>
      </c>
      <c r="N78" t="s">
        <v>29</v>
      </c>
      <c r="O78" t="s">
        <v>29</v>
      </c>
      <c r="P78" t="s">
        <v>31</v>
      </c>
      <c r="Q78" s="3" t="s">
        <v>378</v>
      </c>
    </row>
    <row r="79" spans="1:17" ht="15.6" hidden="1" x14ac:dyDescent="0.3">
      <c r="A79" s="2">
        <v>46167</v>
      </c>
      <c r="B79">
        <v>233</v>
      </c>
      <c r="C79" t="s">
        <v>379</v>
      </c>
      <c r="D79" s="2">
        <v>46167</v>
      </c>
      <c r="E79" s="2">
        <v>46178</v>
      </c>
      <c r="F79" t="s">
        <v>48</v>
      </c>
      <c r="G79" t="s">
        <v>34</v>
      </c>
      <c r="H79" t="s">
        <v>380</v>
      </c>
      <c r="I79" t="s">
        <v>26</v>
      </c>
      <c r="J79" t="s">
        <v>381</v>
      </c>
      <c r="K79" t="s">
        <v>86</v>
      </c>
      <c r="L79" t="s">
        <v>29</v>
      </c>
      <c r="M79" t="s">
        <v>52</v>
      </c>
      <c r="N79" t="s">
        <v>38</v>
      </c>
      <c r="O79" t="s">
        <v>38</v>
      </c>
      <c r="P79" t="s">
        <v>382</v>
      </c>
      <c r="Q79" s="3" t="s">
        <v>383</v>
      </c>
    </row>
    <row r="80" spans="1:17" ht="15.6" hidden="1" x14ac:dyDescent="0.3">
      <c r="A80" s="2">
        <v>46167</v>
      </c>
      <c r="B80">
        <v>232</v>
      </c>
      <c r="C80" t="s">
        <v>384</v>
      </c>
      <c r="D80" s="2">
        <v>46167</v>
      </c>
      <c r="E80" s="2">
        <v>46181</v>
      </c>
      <c r="F80" t="s">
        <v>385</v>
      </c>
      <c r="G80" t="s">
        <v>57</v>
      </c>
      <c r="H80" t="s">
        <v>386</v>
      </c>
      <c r="I80" t="s">
        <v>26</v>
      </c>
      <c r="J80" t="s">
        <v>387</v>
      </c>
      <c r="K80" t="s">
        <v>36</v>
      </c>
      <c r="L80" t="s">
        <v>29</v>
      </c>
      <c r="M80" t="s">
        <v>256</v>
      </c>
      <c r="N80" t="s">
        <v>29</v>
      </c>
      <c r="O80" t="s">
        <v>29</v>
      </c>
      <c r="P80" t="s">
        <v>31</v>
      </c>
      <c r="Q80" s="3" t="s">
        <v>388</v>
      </c>
    </row>
    <row r="81" spans="1:17" ht="15.6" hidden="1" x14ac:dyDescent="0.3">
      <c r="A81" s="2">
        <v>46167</v>
      </c>
      <c r="B81">
        <v>231</v>
      </c>
      <c r="C81" t="s">
        <v>389</v>
      </c>
      <c r="D81" s="2">
        <v>46167</v>
      </c>
      <c r="E81" s="2">
        <v>46203</v>
      </c>
      <c r="F81" t="s">
        <v>48</v>
      </c>
      <c r="G81" t="s">
        <v>34</v>
      </c>
      <c r="H81" t="s">
        <v>390</v>
      </c>
      <c r="I81" t="s">
        <v>26</v>
      </c>
      <c r="J81" t="s">
        <v>344</v>
      </c>
      <c r="K81" t="s">
        <v>86</v>
      </c>
      <c r="L81" t="s">
        <v>29</v>
      </c>
      <c r="M81" t="s">
        <v>103</v>
      </c>
      <c r="N81" t="s">
        <v>29</v>
      </c>
      <c r="O81" t="s">
        <v>29</v>
      </c>
      <c r="P81" t="s">
        <v>31</v>
      </c>
      <c r="Q81" s="3" t="s">
        <v>391</v>
      </c>
    </row>
    <row r="82" spans="1:17" ht="15.6" hidden="1" x14ac:dyDescent="0.3">
      <c r="A82" s="2">
        <v>46167</v>
      </c>
      <c r="B82">
        <v>230</v>
      </c>
      <c r="C82" t="s">
        <v>392</v>
      </c>
      <c r="D82" s="2">
        <v>46167</v>
      </c>
      <c r="E82" s="2">
        <v>46175</v>
      </c>
      <c r="F82" t="s">
        <v>71</v>
      </c>
      <c r="G82" t="s">
        <v>24</v>
      </c>
      <c r="H82" t="s">
        <v>393</v>
      </c>
      <c r="I82" t="s">
        <v>26</v>
      </c>
      <c r="J82" t="s">
        <v>371</v>
      </c>
      <c r="K82" t="s">
        <v>43</v>
      </c>
      <c r="L82" t="s">
        <v>29</v>
      </c>
      <c r="M82" t="s">
        <v>265</v>
      </c>
      <c r="N82" t="s">
        <v>29</v>
      </c>
      <c r="O82" t="s">
        <v>29</v>
      </c>
      <c r="P82" t="s">
        <v>31</v>
      </c>
      <c r="Q82" s="3" t="s">
        <v>394</v>
      </c>
    </row>
    <row r="83" spans="1:17" ht="15.6" hidden="1" x14ac:dyDescent="0.3">
      <c r="A83" s="2">
        <v>46167</v>
      </c>
      <c r="B83">
        <v>229</v>
      </c>
      <c r="C83" t="s">
        <v>395</v>
      </c>
      <c r="D83" s="2">
        <v>46167</v>
      </c>
      <c r="E83" s="2">
        <v>46182</v>
      </c>
      <c r="F83" t="s">
        <v>48</v>
      </c>
      <c r="G83" t="s">
        <v>34</v>
      </c>
      <c r="H83" t="s">
        <v>396</v>
      </c>
      <c r="I83" t="s">
        <v>26</v>
      </c>
      <c r="J83" t="s">
        <v>397</v>
      </c>
      <c r="K83" t="s">
        <v>86</v>
      </c>
      <c r="L83" t="s">
        <v>29</v>
      </c>
      <c r="M83" t="s">
        <v>52</v>
      </c>
      <c r="N83" t="s">
        <v>29</v>
      </c>
      <c r="O83" t="s">
        <v>29</v>
      </c>
      <c r="P83" t="s">
        <v>31</v>
      </c>
      <c r="Q83" s="3" t="s">
        <v>398</v>
      </c>
    </row>
    <row r="84" spans="1:17" ht="15.6" hidden="1" x14ac:dyDescent="0.3">
      <c r="A84" s="2">
        <v>46167</v>
      </c>
      <c r="B84">
        <v>228</v>
      </c>
      <c r="C84" t="s">
        <v>399</v>
      </c>
      <c r="D84" s="2">
        <v>46167</v>
      </c>
      <c r="E84" s="2">
        <v>46174</v>
      </c>
      <c r="F84" t="s">
        <v>71</v>
      </c>
      <c r="G84" t="s">
        <v>24</v>
      </c>
      <c r="H84" t="s">
        <v>399</v>
      </c>
      <c r="I84" t="s">
        <v>26</v>
      </c>
      <c r="J84" t="s">
        <v>365</v>
      </c>
      <c r="K84" t="s">
        <v>36</v>
      </c>
      <c r="L84" t="s">
        <v>29</v>
      </c>
      <c r="M84" t="s">
        <v>44</v>
      </c>
      <c r="N84" t="s">
        <v>29</v>
      </c>
      <c r="O84" t="s">
        <v>29</v>
      </c>
      <c r="P84" t="s">
        <v>31</v>
      </c>
      <c r="Q84" s="3" t="s">
        <v>400</v>
      </c>
    </row>
    <row r="85" spans="1:17" ht="15.6" hidden="1" x14ac:dyDescent="0.3">
      <c r="A85" s="2">
        <v>46167</v>
      </c>
      <c r="B85">
        <v>227</v>
      </c>
      <c r="C85" t="s">
        <v>401</v>
      </c>
      <c r="D85" s="2">
        <v>46167</v>
      </c>
      <c r="E85" s="2">
        <v>46199</v>
      </c>
      <c r="F85" t="s">
        <v>48</v>
      </c>
      <c r="G85" t="s">
        <v>34</v>
      </c>
      <c r="H85" t="s">
        <v>402</v>
      </c>
      <c r="I85" t="s">
        <v>26</v>
      </c>
      <c r="J85" t="s">
        <v>397</v>
      </c>
      <c r="K85" t="s">
        <v>86</v>
      </c>
      <c r="L85" t="s">
        <v>29</v>
      </c>
      <c r="M85" t="s">
        <v>403</v>
      </c>
      <c r="N85" t="s">
        <v>29</v>
      </c>
      <c r="O85" t="s">
        <v>29</v>
      </c>
      <c r="P85" t="s">
        <v>31</v>
      </c>
      <c r="Q85" s="3" t="s">
        <v>404</v>
      </c>
    </row>
    <row r="86" spans="1:17" ht="15.6" hidden="1" x14ac:dyDescent="0.3">
      <c r="A86" s="2">
        <v>46167</v>
      </c>
      <c r="B86">
        <v>226</v>
      </c>
      <c r="C86" t="s">
        <v>405</v>
      </c>
      <c r="D86" s="2">
        <v>46167</v>
      </c>
      <c r="E86" s="2">
        <v>46199</v>
      </c>
      <c r="F86" t="s">
        <v>48</v>
      </c>
      <c r="G86" t="s">
        <v>34</v>
      </c>
      <c r="H86" t="s">
        <v>406</v>
      </c>
      <c r="I86" t="s">
        <v>26</v>
      </c>
      <c r="J86" t="s">
        <v>397</v>
      </c>
      <c r="K86" t="s">
        <v>86</v>
      </c>
      <c r="L86" t="s">
        <v>29</v>
      </c>
      <c r="M86" t="s">
        <v>403</v>
      </c>
      <c r="N86" t="s">
        <v>29</v>
      </c>
      <c r="O86" t="s">
        <v>29</v>
      </c>
      <c r="P86" t="s">
        <v>31</v>
      </c>
      <c r="Q86" s="3" t="s">
        <v>407</v>
      </c>
    </row>
    <row r="87" spans="1:17" ht="15.6" hidden="1" x14ac:dyDescent="0.3">
      <c r="A87" s="2">
        <v>46167</v>
      </c>
      <c r="B87">
        <v>225</v>
      </c>
      <c r="C87" t="s">
        <v>408</v>
      </c>
      <c r="D87" s="2">
        <v>46167</v>
      </c>
      <c r="E87" s="2">
        <v>46182</v>
      </c>
      <c r="F87" t="s">
        <v>48</v>
      </c>
      <c r="G87" t="s">
        <v>34</v>
      </c>
      <c r="H87" t="s">
        <v>409</v>
      </c>
      <c r="I87" t="s">
        <v>26</v>
      </c>
      <c r="J87" t="s">
        <v>397</v>
      </c>
      <c r="K87" t="s">
        <v>86</v>
      </c>
      <c r="L87" t="s">
        <v>29</v>
      </c>
      <c r="M87" t="s">
        <v>52</v>
      </c>
      <c r="N87" t="s">
        <v>29</v>
      </c>
      <c r="O87" t="s">
        <v>29</v>
      </c>
      <c r="P87" t="s">
        <v>31</v>
      </c>
      <c r="Q87" s="3" t="s">
        <v>410</v>
      </c>
    </row>
    <row r="88" spans="1:17" ht="15.6" hidden="1" x14ac:dyDescent="0.3">
      <c r="A88" s="2">
        <v>46167</v>
      </c>
      <c r="B88">
        <v>224</v>
      </c>
      <c r="C88" t="s">
        <v>411</v>
      </c>
      <c r="D88" s="2">
        <v>46167</v>
      </c>
      <c r="E88" s="2">
        <v>46183</v>
      </c>
      <c r="F88" t="s">
        <v>48</v>
      </c>
      <c r="G88" t="s">
        <v>34</v>
      </c>
      <c r="H88" t="s">
        <v>412</v>
      </c>
      <c r="I88" t="s">
        <v>26</v>
      </c>
      <c r="J88" t="s">
        <v>397</v>
      </c>
      <c r="K88" t="s">
        <v>86</v>
      </c>
      <c r="L88" t="s">
        <v>29</v>
      </c>
      <c r="M88" t="s">
        <v>52</v>
      </c>
      <c r="N88" t="s">
        <v>29</v>
      </c>
      <c r="O88" t="s">
        <v>29</v>
      </c>
      <c r="P88" t="s">
        <v>31</v>
      </c>
      <c r="Q88" s="3" t="s">
        <v>413</v>
      </c>
    </row>
    <row r="89" spans="1:17" ht="15.6" hidden="1" x14ac:dyDescent="0.3">
      <c r="A89" s="2">
        <v>46167</v>
      </c>
      <c r="B89">
        <v>223</v>
      </c>
      <c r="C89" t="s">
        <v>414</v>
      </c>
      <c r="D89" s="2">
        <v>46167</v>
      </c>
      <c r="E89" s="2">
        <v>46183</v>
      </c>
      <c r="F89" t="s">
        <v>48</v>
      </c>
      <c r="G89" t="s">
        <v>34</v>
      </c>
      <c r="H89" t="s">
        <v>415</v>
      </c>
      <c r="I89" t="s">
        <v>26</v>
      </c>
      <c r="J89" t="s">
        <v>397</v>
      </c>
      <c r="K89" t="s">
        <v>86</v>
      </c>
      <c r="L89" t="s">
        <v>29</v>
      </c>
      <c r="M89" t="s">
        <v>52</v>
      </c>
      <c r="N89" t="s">
        <v>29</v>
      </c>
      <c r="O89" t="s">
        <v>29</v>
      </c>
      <c r="P89" t="s">
        <v>31</v>
      </c>
      <c r="Q89" s="3" t="s">
        <v>416</v>
      </c>
    </row>
    <row r="90" spans="1:17" ht="15.6" hidden="1" x14ac:dyDescent="0.3">
      <c r="A90" s="2">
        <v>46167</v>
      </c>
      <c r="B90">
        <v>222</v>
      </c>
      <c r="C90" t="s">
        <v>417</v>
      </c>
      <c r="D90" s="2">
        <v>46167</v>
      </c>
      <c r="E90" s="2">
        <v>46185</v>
      </c>
      <c r="F90" t="s">
        <v>48</v>
      </c>
      <c r="G90" t="s">
        <v>34</v>
      </c>
      <c r="H90" t="s">
        <v>418</v>
      </c>
      <c r="I90" t="s">
        <v>26</v>
      </c>
      <c r="J90" t="s">
        <v>397</v>
      </c>
      <c r="K90" t="s">
        <v>86</v>
      </c>
      <c r="L90" t="s">
        <v>29</v>
      </c>
      <c r="M90" t="s">
        <v>52</v>
      </c>
      <c r="N90" t="s">
        <v>29</v>
      </c>
      <c r="O90" t="s">
        <v>29</v>
      </c>
      <c r="P90" t="s">
        <v>31</v>
      </c>
      <c r="Q90" s="3" t="s">
        <v>419</v>
      </c>
    </row>
    <row r="91" spans="1:17" ht="15.6" hidden="1" x14ac:dyDescent="0.3">
      <c r="A91" s="2">
        <v>46167</v>
      </c>
      <c r="B91">
        <v>221</v>
      </c>
      <c r="C91" t="s">
        <v>420</v>
      </c>
      <c r="D91" s="2">
        <v>46167</v>
      </c>
      <c r="E91" s="2">
        <v>46185</v>
      </c>
      <c r="F91" t="s">
        <v>48</v>
      </c>
      <c r="G91" t="s">
        <v>34</v>
      </c>
      <c r="H91" t="s">
        <v>421</v>
      </c>
      <c r="I91" t="s">
        <v>26</v>
      </c>
      <c r="J91" t="s">
        <v>397</v>
      </c>
      <c r="K91" t="s">
        <v>86</v>
      </c>
      <c r="L91" t="s">
        <v>29</v>
      </c>
      <c r="M91" t="s">
        <v>52</v>
      </c>
      <c r="N91" t="s">
        <v>29</v>
      </c>
      <c r="O91" t="s">
        <v>29</v>
      </c>
      <c r="P91" t="s">
        <v>31</v>
      </c>
      <c r="Q91" s="3" t="s">
        <v>422</v>
      </c>
    </row>
    <row r="92" spans="1:17" ht="15.6" hidden="1" x14ac:dyDescent="0.3">
      <c r="A92" s="2">
        <v>46167</v>
      </c>
      <c r="B92">
        <v>220</v>
      </c>
      <c r="C92" t="s">
        <v>423</v>
      </c>
      <c r="D92" s="2">
        <v>46167</v>
      </c>
      <c r="E92" s="2">
        <v>46183</v>
      </c>
      <c r="F92" t="s">
        <v>48</v>
      </c>
      <c r="G92" t="s">
        <v>34</v>
      </c>
      <c r="H92" t="s">
        <v>424</v>
      </c>
      <c r="I92" t="s">
        <v>26</v>
      </c>
      <c r="J92" t="s">
        <v>397</v>
      </c>
      <c r="K92" t="s">
        <v>86</v>
      </c>
      <c r="L92" t="s">
        <v>29</v>
      </c>
      <c r="M92" t="s">
        <v>52</v>
      </c>
      <c r="N92" t="s">
        <v>29</v>
      </c>
      <c r="O92" t="s">
        <v>29</v>
      </c>
      <c r="P92" t="s">
        <v>31</v>
      </c>
      <c r="Q92" s="3" t="s">
        <v>425</v>
      </c>
    </row>
    <row r="93" spans="1:17" ht="15.6" hidden="1" x14ac:dyDescent="0.3">
      <c r="A93" s="2">
        <v>46167</v>
      </c>
      <c r="B93">
        <v>219</v>
      </c>
      <c r="C93" t="s">
        <v>426</v>
      </c>
      <c r="D93" s="2">
        <v>46167</v>
      </c>
      <c r="E93" s="2">
        <v>46183</v>
      </c>
      <c r="F93" t="s">
        <v>48</v>
      </c>
      <c r="G93" t="s">
        <v>34</v>
      </c>
      <c r="H93" t="s">
        <v>427</v>
      </c>
      <c r="I93" t="s">
        <v>26</v>
      </c>
      <c r="J93" t="s">
        <v>397</v>
      </c>
      <c r="K93" t="s">
        <v>86</v>
      </c>
      <c r="L93" t="s">
        <v>29</v>
      </c>
      <c r="M93" t="s">
        <v>52</v>
      </c>
      <c r="N93" t="s">
        <v>29</v>
      </c>
      <c r="O93" t="s">
        <v>29</v>
      </c>
      <c r="P93" t="s">
        <v>31</v>
      </c>
      <c r="Q93" s="3" t="s">
        <v>428</v>
      </c>
    </row>
    <row r="94" spans="1:17" ht="15.6" hidden="1" x14ac:dyDescent="0.3">
      <c r="A94" s="2">
        <v>46167</v>
      </c>
      <c r="B94">
        <v>218</v>
      </c>
      <c r="C94" t="s">
        <v>429</v>
      </c>
      <c r="D94" s="2">
        <v>46167</v>
      </c>
      <c r="E94" s="2">
        <v>46175</v>
      </c>
      <c r="F94" t="s">
        <v>48</v>
      </c>
      <c r="G94" t="s">
        <v>24</v>
      </c>
      <c r="H94" t="s">
        <v>430</v>
      </c>
      <c r="I94" t="s">
        <v>26</v>
      </c>
      <c r="J94" t="s">
        <v>431</v>
      </c>
      <c r="K94" t="s">
        <v>36</v>
      </c>
      <c r="L94" t="s">
        <v>29</v>
      </c>
      <c r="M94" t="s">
        <v>231</v>
      </c>
      <c r="N94" t="s">
        <v>29</v>
      </c>
      <c r="O94" t="s">
        <v>29</v>
      </c>
      <c r="P94" t="s">
        <v>31</v>
      </c>
      <c r="Q94" s="3" t="s">
        <v>432</v>
      </c>
    </row>
    <row r="95" spans="1:17" ht="15.6" hidden="1" x14ac:dyDescent="0.3">
      <c r="A95" s="2">
        <v>46167</v>
      </c>
      <c r="B95">
        <v>217</v>
      </c>
      <c r="C95" t="s">
        <v>433</v>
      </c>
      <c r="D95" s="2">
        <v>46167</v>
      </c>
      <c r="E95" s="2">
        <v>46185</v>
      </c>
      <c r="F95" t="s">
        <v>48</v>
      </c>
      <c r="G95" t="s">
        <v>34</v>
      </c>
      <c r="H95" t="s">
        <v>434</v>
      </c>
      <c r="I95" t="s">
        <v>26</v>
      </c>
      <c r="J95" t="s">
        <v>397</v>
      </c>
      <c r="K95" t="s">
        <v>86</v>
      </c>
      <c r="L95" t="s">
        <v>29</v>
      </c>
      <c r="M95" t="s">
        <v>52</v>
      </c>
      <c r="N95" t="s">
        <v>29</v>
      </c>
      <c r="O95" t="s">
        <v>29</v>
      </c>
      <c r="P95" t="s">
        <v>31</v>
      </c>
      <c r="Q95" s="3" t="s">
        <v>435</v>
      </c>
    </row>
    <row r="96" spans="1:17" ht="15.6" hidden="1" x14ac:dyDescent="0.3">
      <c r="A96" s="2">
        <v>46167</v>
      </c>
      <c r="B96">
        <v>216</v>
      </c>
      <c r="C96" t="s">
        <v>436</v>
      </c>
      <c r="D96" s="2">
        <v>46167</v>
      </c>
      <c r="E96" s="2">
        <v>46183</v>
      </c>
      <c r="F96" t="s">
        <v>48</v>
      </c>
      <c r="G96" t="s">
        <v>34</v>
      </c>
      <c r="H96" t="s">
        <v>437</v>
      </c>
      <c r="I96" t="s">
        <v>26</v>
      </c>
      <c r="J96" t="s">
        <v>397</v>
      </c>
      <c r="K96" t="s">
        <v>86</v>
      </c>
      <c r="L96" t="s">
        <v>29</v>
      </c>
      <c r="M96" t="s">
        <v>52</v>
      </c>
      <c r="N96" t="s">
        <v>29</v>
      </c>
      <c r="O96" t="s">
        <v>29</v>
      </c>
      <c r="P96" t="s">
        <v>31</v>
      </c>
      <c r="Q96" s="3" t="s">
        <v>438</v>
      </c>
    </row>
    <row r="97" spans="1:17" ht="15.6" hidden="1" x14ac:dyDescent="0.3">
      <c r="A97" s="2">
        <v>46167</v>
      </c>
      <c r="B97">
        <v>215</v>
      </c>
      <c r="C97" t="s">
        <v>439</v>
      </c>
      <c r="D97" s="2">
        <v>46167</v>
      </c>
      <c r="E97" s="2">
        <v>46185</v>
      </c>
      <c r="F97" t="s">
        <v>48</v>
      </c>
      <c r="G97" t="s">
        <v>34</v>
      </c>
      <c r="H97" t="s">
        <v>440</v>
      </c>
      <c r="I97" t="s">
        <v>26</v>
      </c>
      <c r="J97" t="s">
        <v>397</v>
      </c>
      <c r="K97" t="s">
        <v>86</v>
      </c>
      <c r="L97" t="s">
        <v>29</v>
      </c>
      <c r="M97" t="s">
        <v>52</v>
      </c>
      <c r="N97" t="s">
        <v>29</v>
      </c>
      <c r="O97" t="s">
        <v>29</v>
      </c>
      <c r="P97" t="s">
        <v>31</v>
      </c>
      <c r="Q97" s="3" t="s">
        <v>441</v>
      </c>
    </row>
    <row r="98" spans="1:17" ht="15.6" hidden="1" x14ac:dyDescent="0.3">
      <c r="A98" s="2">
        <v>46167</v>
      </c>
      <c r="B98">
        <v>214</v>
      </c>
      <c r="C98" t="s">
        <v>442</v>
      </c>
      <c r="D98" s="2">
        <v>46167</v>
      </c>
      <c r="E98" s="2">
        <v>46185</v>
      </c>
      <c r="F98" t="s">
        <v>48</v>
      </c>
      <c r="G98" t="s">
        <v>34</v>
      </c>
      <c r="H98" t="s">
        <v>443</v>
      </c>
      <c r="I98" t="s">
        <v>26</v>
      </c>
      <c r="J98" t="s">
        <v>397</v>
      </c>
      <c r="K98" t="s">
        <v>86</v>
      </c>
      <c r="L98" t="s">
        <v>29</v>
      </c>
      <c r="M98" t="s">
        <v>52</v>
      </c>
      <c r="N98" t="s">
        <v>29</v>
      </c>
      <c r="O98" t="s">
        <v>29</v>
      </c>
      <c r="P98" t="s">
        <v>31</v>
      </c>
      <c r="Q98" s="3" t="s">
        <v>444</v>
      </c>
    </row>
    <row r="99" spans="1:17" ht="15.6" hidden="1" x14ac:dyDescent="0.3">
      <c r="A99" s="2">
        <v>46167</v>
      </c>
      <c r="B99">
        <v>213</v>
      </c>
      <c r="C99" t="s">
        <v>445</v>
      </c>
      <c r="D99" s="2">
        <v>46167</v>
      </c>
      <c r="E99" s="2">
        <v>46185</v>
      </c>
      <c r="F99" t="s">
        <v>48</v>
      </c>
      <c r="G99" t="s">
        <v>34</v>
      </c>
      <c r="H99" t="s">
        <v>446</v>
      </c>
      <c r="I99" t="s">
        <v>26</v>
      </c>
      <c r="J99" t="s">
        <v>397</v>
      </c>
      <c r="K99" t="s">
        <v>86</v>
      </c>
      <c r="L99" t="s">
        <v>29</v>
      </c>
      <c r="M99" t="s">
        <v>52</v>
      </c>
      <c r="N99" t="s">
        <v>29</v>
      </c>
      <c r="O99" t="s">
        <v>29</v>
      </c>
      <c r="P99" t="s">
        <v>31</v>
      </c>
      <c r="Q99" s="3" t="s">
        <v>447</v>
      </c>
    </row>
    <row r="100" spans="1:17" ht="15.6" hidden="1" x14ac:dyDescent="0.3">
      <c r="A100" s="2">
        <v>46167</v>
      </c>
      <c r="B100">
        <v>212</v>
      </c>
      <c r="C100" t="s">
        <v>448</v>
      </c>
      <c r="D100" s="2">
        <v>46167</v>
      </c>
      <c r="E100" s="2">
        <v>46185</v>
      </c>
      <c r="F100" t="s">
        <v>48</v>
      </c>
      <c r="G100" t="s">
        <v>34</v>
      </c>
      <c r="H100" t="s">
        <v>449</v>
      </c>
      <c r="I100" t="s">
        <v>26</v>
      </c>
      <c r="J100" t="s">
        <v>397</v>
      </c>
      <c r="K100" t="s">
        <v>86</v>
      </c>
      <c r="L100" t="s">
        <v>29</v>
      </c>
      <c r="M100" t="s">
        <v>52</v>
      </c>
      <c r="N100" t="s">
        <v>29</v>
      </c>
      <c r="O100" t="s">
        <v>29</v>
      </c>
      <c r="P100" t="s">
        <v>31</v>
      </c>
      <c r="Q100" s="3" t="s">
        <v>450</v>
      </c>
    </row>
    <row r="101" spans="1:17" ht="15.6" hidden="1" x14ac:dyDescent="0.3">
      <c r="A101" s="2">
        <v>46167</v>
      </c>
      <c r="B101">
        <v>211</v>
      </c>
      <c r="C101" t="s">
        <v>451</v>
      </c>
      <c r="D101" s="2">
        <v>46167</v>
      </c>
      <c r="E101" s="2">
        <v>46183</v>
      </c>
      <c r="F101" t="s">
        <v>48</v>
      </c>
      <c r="G101" t="s">
        <v>34</v>
      </c>
      <c r="H101" t="s">
        <v>452</v>
      </c>
      <c r="I101" t="s">
        <v>26</v>
      </c>
      <c r="J101" t="s">
        <v>397</v>
      </c>
      <c r="K101" t="s">
        <v>86</v>
      </c>
      <c r="L101" t="s">
        <v>29</v>
      </c>
      <c r="M101" t="s">
        <v>52</v>
      </c>
      <c r="N101" t="s">
        <v>29</v>
      </c>
      <c r="O101" t="s">
        <v>29</v>
      </c>
      <c r="P101" t="s">
        <v>31</v>
      </c>
      <c r="Q101" s="3" t="s">
        <v>453</v>
      </c>
    </row>
    <row r="102" spans="1:17" ht="15.6" hidden="1" x14ac:dyDescent="0.3">
      <c r="A102" s="2">
        <v>46168</v>
      </c>
      <c r="B102">
        <v>210</v>
      </c>
      <c r="C102" t="s">
        <v>454</v>
      </c>
      <c r="D102" s="2">
        <v>46168</v>
      </c>
      <c r="E102" s="2">
        <v>46183</v>
      </c>
      <c r="F102" t="s">
        <v>71</v>
      </c>
      <c r="G102" t="s">
        <v>24</v>
      </c>
      <c r="H102" t="s">
        <v>455</v>
      </c>
      <c r="I102" t="s">
        <v>26</v>
      </c>
      <c r="J102" t="s">
        <v>456</v>
      </c>
      <c r="K102" t="s">
        <v>62</v>
      </c>
      <c r="L102" t="s">
        <v>29</v>
      </c>
      <c r="M102" t="s">
        <v>199</v>
      </c>
      <c r="N102" t="s">
        <v>38</v>
      </c>
      <c r="O102" t="s">
        <v>29</v>
      </c>
      <c r="P102" t="s">
        <v>457</v>
      </c>
      <c r="Q102" s="3" t="s">
        <v>458</v>
      </c>
    </row>
    <row r="103" spans="1:17" ht="15.6" hidden="1" x14ac:dyDescent="0.3">
      <c r="A103" s="2">
        <v>46168</v>
      </c>
      <c r="B103">
        <v>209</v>
      </c>
      <c r="C103" t="s">
        <v>459</v>
      </c>
      <c r="D103" s="2">
        <v>46168</v>
      </c>
      <c r="E103" s="2">
        <v>46182</v>
      </c>
      <c r="F103" t="s">
        <v>71</v>
      </c>
      <c r="G103" t="s">
        <v>24</v>
      </c>
      <c r="H103" t="s">
        <v>460</v>
      </c>
      <c r="I103" t="s">
        <v>26</v>
      </c>
      <c r="J103" t="s">
        <v>456</v>
      </c>
      <c r="K103" t="s">
        <v>62</v>
      </c>
      <c r="L103" t="s">
        <v>29</v>
      </c>
      <c r="M103" t="s">
        <v>44</v>
      </c>
      <c r="N103" t="s">
        <v>29</v>
      </c>
      <c r="O103" t="s">
        <v>29</v>
      </c>
      <c r="P103" t="s">
        <v>31</v>
      </c>
      <c r="Q103" s="3" t="s">
        <v>461</v>
      </c>
    </row>
    <row r="104" spans="1:17" ht="15.6" hidden="1" x14ac:dyDescent="0.3">
      <c r="A104" s="2">
        <v>46168</v>
      </c>
      <c r="B104">
        <v>208</v>
      </c>
      <c r="C104" t="s">
        <v>462</v>
      </c>
      <c r="D104" s="2">
        <v>46168</v>
      </c>
      <c r="E104" s="2">
        <v>46196</v>
      </c>
      <c r="F104" t="s">
        <v>71</v>
      </c>
      <c r="G104" t="s">
        <v>57</v>
      </c>
      <c r="H104" t="s">
        <v>463</v>
      </c>
      <c r="I104" t="s">
        <v>26</v>
      </c>
      <c r="J104" t="s">
        <v>456</v>
      </c>
      <c r="K104" t="s">
        <v>62</v>
      </c>
      <c r="L104" t="s">
        <v>29</v>
      </c>
      <c r="M104" t="s">
        <v>199</v>
      </c>
      <c r="N104" t="s">
        <v>29</v>
      </c>
      <c r="O104" t="s">
        <v>29</v>
      </c>
      <c r="P104" t="s">
        <v>31</v>
      </c>
      <c r="Q104" s="3" t="s">
        <v>464</v>
      </c>
    </row>
    <row r="105" spans="1:17" ht="15.6" hidden="1" x14ac:dyDescent="0.3">
      <c r="A105" s="2">
        <v>46168</v>
      </c>
      <c r="B105">
        <v>207</v>
      </c>
      <c r="C105" t="s">
        <v>465</v>
      </c>
      <c r="D105" s="2">
        <v>46168</v>
      </c>
      <c r="E105" s="2">
        <v>46174</v>
      </c>
      <c r="F105" t="s">
        <v>71</v>
      </c>
      <c r="G105" t="s">
        <v>24</v>
      </c>
      <c r="H105" t="s">
        <v>466</v>
      </c>
      <c r="I105" t="s">
        <v>26</v>
      </c>
      <c r="J105" t="s">
        <v>456</v>
      </c>
      <c r="K105" t="s">
        <v>62</v>
      </c>
      <c r="L105" t="s">
        <v>29</v>
      </c>
      <c r="M105" t="s">
        <v>467</v>
      </c>
      <c r="N105" t="s">
        <v>29</v>
      </c>
      <c r="O105" t="s">
        <v>29</v>
      </c>
      <c r="P105" t="s">
        <v>31</v>
      </c>
      <c r="Q105" s="3" t="s">
        <v>468</v>
      </c>
    </row>
    <row r="106" spans="1:17" ht="15.6" hidden="1" x14ac:dyDescent="0.3">
      <c r="A106" s="2">
        <v>46168</v>
      </c>
      <c r="B106">
        <v>206</v>
      </c>
      <c r="C106" t="s">
        <v>469</v>
      </c>
      <c r="D106" s="2">
        <v>46168</v>
      </c>
      <c r="E106" s="2">
        <v>46199</v>
      </c>
      <c r="F106" t="s">
        <v>48</v>
      </c>
      <c r="G106" t="s">
        <v>34</v>
      </c>
      <c r="H106" t="s">
        <v>470</v>
      </c>
      <c r="I106" t="s">
        <v>26</v>
      </c>
      <c r="J106" t="s">
        <v>471</v>
      </c>
      <c r="K106" t="s">
        <v>214</v>
      </c>
      <c r="L106" t="s">
        <v>29</v>
      </c>
      <c r="M106" t="s">
        <v>109</v>
      </c>
      <c r="N106" t="s">
        <v>29</v>
      </c>
      <c r="O106" t="s">
        <v>29</v>
      </c>
      <c r="P106" t="s">
        <v>31</v>
      </c>
      <c r="Q106" s="3" t="s">
        <v>472</v>
      </c>
    </row>
    <row r="107" spans="1:17" ht="15.6" hidden="1" x14ac:dyDescent="0.3">
      <c r="A107" s="2">
        <v>46168</v>
      </c>
      <c r="B107">
        <v>205</v>
      </c>
      <c r="C107" t="s">
        <v>473</v>
      </c>
      <c r="D107" s="2">
        <v>46168</v>
      </c>
      <c r="E107" s="2">
        <v>46182</v>
      </c>
      <c r="F107" t="s">
        <v>71</v>
      </c>
      <c r="G107" t="s">
        <v>24</v>
      </c>
      <c r="H107" t="s">
        <v>474</v>
      </c>
      <c r="I107" t="s">
        <v>26</v>
      </c>
      <c r="J107" t="s">
        <v>142</v>
      </c>
      <c r="K107" t="s">
        <v>86</v>
      </c>
      <c r="L107" t="s">
        <v>29</v>
      </c>
      <c r="M107" t="s">
        <v>135</v>
      </c>
      <c r="N107" t="s">
        <v>29</v>
      </c>
      <c r="O107" t="s">
        <v>29</v>
      </c>
      <c r="P107" t="s">
        <v>31</v>
      </c>
      <c r="Q107" s="3" t="s">
        <v>475</v>
      </c>
    </row>
    <row r="108" spans="1:17" ht="15.6" hidden="1" x14ac:dyDescent="0.3">
      <c r="A108" s="2">
        <v>46168</v>
      </c>
      <c r="B108">
        <v>204</v>
      </c>
      <c r="C108" t="s">
        <v>476</v>
      </c>
      <c r="D108" s="2">
        <v>46168</v>
      </c>
      <c r="E108" s="2">
        <v>46192</v>
      </c>
      <c r="F108" t="s">
        <v>71</v>
      </c>
      <c r="G108" t="s">
        <v>57</v>
      </c>
      <c r="H108" t="s">
        <v>477</v>
      </c>
      <c r="I108" t="s">
        <v>26</v>
      </c>
      <c r="J108" t="s">
        <v>478</v>
      </c>
      <c r="K108" t="s">
        <v>36</v>
      </c>
      <c r="L108" t="s">
        <v>29</v>
      </c>
      <c r="M108" t="s">
        <v>63</v>
      </c>
      <c r="N108" t="s">
        <v>38</v>
      </c>
      <c r="O108" t="s">
        <v>38</v>
      </c>
      <c r="P108" t="s">
        <v>479</v>
      </c>
      <c r="Q108" s="3" t="s">
        <v>480</v>
      </c>
    </row>
    <row r="109" spans="1:17" ht="15.6" hidden="1" x14ac:dyDescent="0.3">
      <c r="A109" s="2">
        <v>46168</v>
      </c>
      <c r="B109">
        <v>203</v>
      </c>
      <c r="C109" t="s">
        <v>481</v>
      </c>
      <c r="D109" s="2">
        <v>46168</v>
      </c>
      <c r="E109" s="2">
        <v>46192</v>
      </c>
      <c r="F109" t="s">
        <v>71</v>
      </c>
      <c r="G109" t="s">
        <v>34</v>
      </c>
      <c r="H109" t="s">
        <v>482</v>
      </c>
      <c r="I109" t="s">
        <v>26</v>
      </c>
      <c r="J109" t="s">
        <v>483</v>
      </c>
      <c r="K109" t="s">
        <v>28</v>
      </c>
      <c r="L109" t="s">
        <v>29</v>
      </c>
      <c r="M109" t="s">
        <v>220</v>
      </c>
      <c r="N109" t="s">
        <v>29</v>
      </c>
      <c r="O109" t="s">
        <v>29</v>
      </c>
      <c r="P109" t="s">
        <v>31</v>
      </c>
      <c r="Q109" s="3" t="s">
        <v>484</v>
      </c>
    </row>
    <row r="110" spans="1:17" ht="15.6" hidden="1" x14ac:dyDescent="0.3">
      <c r="A110" s="2">
        <v>46168</v>
      </c>
      <c r="B110">
        <v>202</v>
      </c>
      <c r="C110" t="s">
        <v>485</v>
      </c>
      <c r="D110" s="2">
        <v>46168</v>
      </c>
      <c r="E110" s="2">
        <v>46192</v>
      </c>
      <c r="F110" t="s">
        <v>71</v>
      </c>
      <c r="G110" t="s">
        <v>34</v>
      </c>
      <c r="H110" t="s">
        <v>486</v>
      </c>
      <c r="I110" t="s">
        <v>26</v>
      </c>
      <c r="J110" t="s">
        <v>483</v>
      </c>
      <c r="K110" t="s">
        <v>28</v>
      </c>
      <c r="L110" t="s">
        <v>29</v>
      </c>
      <c r="M110" t="s">
        <v>68</v>
      </c>
      <c r="N110" t="s">
        <v>29</v>
      </c>
      <c r="O110" t="s">
        <v>29</v>
      </c>
      <c r="P110" t="s">
        <v>31</v>
      </c>
      <c r="Q110" s="3" t="s">
        <v>487</v>
      </c>
    </row>
    <row r="111" spans="1:17" ht="15.6" hidden="1" x14ac:dyDescent="0.3">
      <c r="A111" s="2">
        <v>46168</v>
      </c>
      <c r="B111">
        <v>201</v>
      </c>
      <c r="C111" t="s">
        <v>488</v>
      </c>
      <c r="D111" s="2">
        <v>46168</v>
      </c>
      <c r="E111" s="2">
        <v>46182</v>
      </c>
      <c r="F111" t="s">
        <v>71</v>
      </c>
      <c r="G111" t="s">
        <v>24</v>
      </c>
      <c r="H111" t="s">
        <v>489</v>
      </c>
      <c r="I111" t="s">
        <v>26</v>
      </c>
      <c r="J111" t="s">
        <v>490</v>
      </c>
      <c r="K111" t="s">
        <v>134</v>
      </c>
      <c r="L111" t="s">
        <v>29</v>
      </c>
      <c r="M111" t="s">
        <v>491</v>
      </c>
      <c r="N111" t="s">
        <v>29</v>
      </c>
      <c r="O111" t="s">
        <v>29</v>
      </c>
      <c r="P111" t="s">
        <v>31</v>
      </c>
      <c r="Q111" s="3" t="s">
        <v>492</v>
      </c>
    </row>
    <row r="112" spans="1:17" ht="15.6" hidden="1" x14ac:dyDescent="0.3">
      <c r="A112" s="2">
        <v>46168</v>
      </c>
      <c r="B112">
        <v>200</v>
      </c>
      <c r="C112" t="s">
        <v>493</v>
      </c>
      <c r="D112" s="2">
        <v>46168</v>
      </c>
      <c r="E112" s="2">
        <v>46202</v>
      </c>
      <c r="F112" t="s">
        <v>71</v>
      </c>
      <c r="G112" t="s">
        <v>34</v>
      </c>
      <c r="H112" t="s">
        <v>494</v>
      </c>
      <c r="I112" t="s">
        <v>26</v>
      </c>
      <c r="J112" t="s">
        <v>495</v>
      </c>
      <c r="K112" t="s">
        <v>43</v>
      </c>
      <c r="L112" t="s">
        <v>29</v>
      </c>
      <c r="M112" t="s">
        <v>68</v>
      </c>
      <c r="N112" t="s">
        <v>29</v>
      </c>
      <c r="O112" t="s">
        <v>29</v>
      </c>
      <c r="P112" t="s">
        <v>31</v>
      </c>
      <c r="Q112" s="3" t="s">
        <v>496</v>
      </c>
    </row>
    <row r="113" spans="1:17" ht="15.6" hidden="1" x14ac:dyDescent="0.3">
      <c r="A113" s="2">
        <v>46168</v>
      </c>
      <c r="B113">
        <v>199</v>
      </c>
      <c r="C113" t="s">
        <v>497</v>
      </c>
      <c r="D113" s="2">
        <v>46168</v>
      </c>
      <c r="E113" s="2">
        <v>46203</v>
      </c>
      <c r="F113" t="s">
        <v>71</v>
      </c>
      <c r="G113" t="s">
        <v>34</v>
      </c>
      <c r="H113" t="s">
        <v>498</v>
      </c>
      <c r="I113" t="s">
        <v>26</v>
      </c>
      <c r="J113" t="s">
        <v>495</v>
      </c>
      <c r="K113" t="s">
        <v>43</v>
      </c>
      <c r="L113" t="s">
        <v>29</v>
      </c>
      <c r="M113" t="s">
        <v>499</v>
      </c>
      <c r="N113" t="s">
        <v>29</v>
      </c>
      <c r="O113" t="s">
        <v>29</v>
      </c>
      <c r="P113" t="s">
        <v>31</v>
      </c>
      <c r="Q113" s="3" t="s">
        <v>500</v>
      </c>
    </row>
    <row r="114" spans="1:17" ht="15.6" hidden="1" x14ac:dyDescent="0.3">
      <c r="A114" s="2">
        <v>46168</v>
      </c>
      <c r="B114">
        <v>198</v>
      </c>
      <c r="C114" t="s">
        <v>501</v>
      </c>
      <c r="D114" s="2">
        <v>46168</v>
      </c>
      <c r="E114" s="2">
        <v>46191</v>
      </c>
      <c r="F114" t="s">
        <v>71</v>
      </c>
      <c r="G114" t="s">
        <v>34</v>
      </c>
      <c r="H114" t="s">
        <v>502</v>
      </c>
      <c r="I114" t="s">
        <v>26</v>
      </c>
      <c r="J114" t="s">
        <v>503</v>
      </c>
      <c r="K114" t="s">
        <v>36</v>
      </c>
      <c r="L114" t="s">
        <v>29</v>
      </c>
      <c r="M114" t="s">
        <v>109</v>
      </c>
      <c r="N114" t="s">
        <v>38</v>
      </c>
      <c r="O114" t="s">
        <v>29</v>
      </c>
      <c r="P114" t="s">
        <v>504</v>
      </c>
      <c r="Q114" s="3" t="s">
        <v>505</v>
      </c>
    </row>
    <row r="115" spans="1:17" ht="15.6" hidden="1" x14ac:dyDescent="0.3">
      <c r="A115" s="2">
        <v>46168</v>
      </c>
      <c r="B115">
        <v>197</v>
      </c>
      <c r="C115" t="s">
        <v>506</v>
      </c>
      <c r="D115" s="2">
        <v>46168</v>
      </c>
      <c r="E115" s="2">
        <v>46203</v>
      </c>
      <c r="F115" t="s">
        <v>507</v>
      </c>
      <c r="G115" t="s">
        <v>57</v>
      </c>
      <c r="H115" t="s">
        <v>508</v>
      </c>
      <c r="I115" t="s">
        <v>26</v>
      </c>
      <c r="J115" t="s">
        <v>27</v>
      </c>
      <c r="K115" t="s">
        <v>214</v>
      </c>
      <c r="L115" t="s">
        <v>29</v>
      </c>
      <c r="M115" t="s">
        <v>52</v>
      </c>
      <c r="N115" t="s">
        <v>29</v>
      </c>
      <c r="O115" t="s">
        <v>29</v>
      </c>
      <c r="P115" t="s">
        <v>31</v>
      </c>
      <c r="Q115" s="3" t="s">
        <v>509</v>
      </c>
    </row>
    <row r="116" spans="1:17" ht="15.6" hidden="1" x14ac:dyDescent="0.3">
      <c r="A116" s="2">
        <v>46168</v>
      </c>
      <c r="B116">
        <v>196</v>
      </c>
      <c r="C116" t="s">
        <v>510</v>
      </c>
      <c r="D116" s="2">
        <v>46168</v>
      </c>
      <c r="E116" s="2">
        <v>46182</v>
      </c>
      <c r="F116" t="s">
        <v>48</v>
      </c>
      <c r="G116" t="s">
        <v>34</v>
      </c>
      <c r="H116" t="s">
        <v>511</v>
      </c>
      <c r="I116" t="s">
        <v>26</v>
      </c>
      <c r="J116" t="s">
        <v>471</v>
      </c>
      <c r="K116" t="s">
        <v>214</v>
      </c>
      <c r="L116" t="s">
        <v>29</v>
      </c>
      <c r="M116" t="s">
        <v>44</v>
      </c>
      <c r="N116" t="s">
        <v>29</v>
      </c>
      <c r="O116" t="s">
        <v>29</v>
      </c>
      <c r="P116" t="s">
        <v>31</v>
      </c>
      <c r="Q116" s="3" t="s">
        <v>512</v>
      </c>
    </row>
    <row r="117" spans="1:17" ht="15.6" hidden="1" x14ac:dyDescent="0.3">
      <c r="A117" s="2">
        <v>46168</v>
      </c>
      <c r="B117">
        <v>195</v>
      </c>
      <c r="C117" t="s">
        <v>513</v>
      </c>
      <c r="D117" s="2">
        <v>46168</v>
      </c>
      <c r="E117" s="2">
        <v>46191</v>
      </c>
      <c r="F117" t="s">
        <v>71</v>
      </c>
      <c r="G117" t="s">
        <v>34</v>
      </c>
      <c r="H117" t="s">
        <v>514</v>
      </c>
      <c r="I117" t="s">
        <v>26</v>
      </c>
      <c r="J117" t="s">
        <v>515</v>
      </c>
      <c r="K117" t="s">
        <v>117</v>
      </c>
      <c r="L117" t="s">
        <v>29</v>
      </c>
      <c r="M117" t="s">
        <v>516</v>
      </c>
      <c r="N117" t="s">
        <v>38</v>
      </c>
      <c r="O117" t="s">
        <v>29</v>
      </c>
      <c r="P117" t="s">
        <v>517</v>
      </c>
      <c r="Q117" s="3" t="s">
        <v>518</v>
      </c>
    </row>
    <row r="118" spans="1:17" ht="15.6" hidden="1" x14ac:dyDescent="0.3">
      <c r="A118" s="2">
        <v>46168</v>
      </c>
      <c r="B118">
        <v>194</v>
      </c>
      <c r="C118" t="s">
        <v>519</v>
      </c>
      <c r="D118" s="2">
        <v>46168</v>
      </c>
      <c r="E118" s="2">
        <v>46174</v>
      </c>
      <c r="F118" t="s">
        <v>48</v>
      </c>
      <c r="G118" t="s">
        <v>24</v>
      </c>
      <c r="H118" t="s">
        <v>520</v>
      </c>
      <c r="I118" t="s">
        <v>26</v>
      </c>
      <c r="J118" t="s">
        <v>431</v>
      </c>
      <c r="K118" t="s">
        <v>36</v>
      </c>
      <c r="L118" t="s">
        <v>29</v>
      </c>
      <c r="M118" t="s">
        <v>521</v>
      </c>
      <c r="N118" t="s">
        <v>29</v>
      </c>
      <c r="O118" t="s">
        <v>29</v>
      </c>
      <c r="P118" t="s">
        <v>31</v>
      </c>
      <c r="Q118" s="3" t="s">
        <v>522</v>
      </c>
    </row>
    <row r="119" spans="1:17" ht="15.6" hidden="1" x14ac:dyDescent="0.3">
      <c r="A119" s="2">
        <v>46168</v>
      </c>
      <c r="B119">
        <v>193</v>
      </c>
      <c r="C119" t="s">
        <v>523</v>
      </c>
      <c r="D119" s="2">
        <v>46168</v>
      </c>
      <c r="E119" s="2">
        <v>46174</v>
      </c>
      <c r="F119" t="s">
        <v>48</v>
      </c>
      <c r="G119" t="s">
        <v>24</v>
      </c>
      <c r="H119" t="s">
        <v>524</v>
      </c>
      <c r="I119" t="s">
        <v>26</v>
      </c>
      <c r="J119" t="s">
        <v>431</v>
      </c>
      <c r="K119" t="s">
        <v>36</v>
      </c>
      <c r="L119" t="s">
        <v>29</v>
      </c>
      <c r="M119" t="s">
        <v>521</v>
      </c>
      <c r="N119" t="s">
        <v>29</v>
      </c>
      <c r="O119" t="s">
        <v>29</v>
      </c>
      <c r="P119" t="s">
        <v>31</v>
      </c>
      <c r="Q119" s="3" t="s">
        <v>525</v>
      </c>
    </row>
    <row r="120" spans="1:17" ht="15.6" hidden="1" x14ac:dyDescent="0.3">
      <c r="A120" s="2">
        <v>46168</v>
      </c>
      <c r="B120">
        <v>192</v>
      </c>
      <c r="C120" t="s">
        <v>526</v>
      </c>
      <c r="D120" s="2">
        <v>46168</v>
      </c>
      <c r="E120" s="2">
        <v>46198</v>
      </c>
      <c r="F120" t="s">
        <v>48</v>
      </c>
      <c r="G120" t="s">
        <v>34</v>
      </c>
      <c r="H120" t="s">
        <v>527</v>
      </c>
      <c r="I120" t="s">
        <v>26</v>
      </c>
      <c r="J120" t="s">
        <v>471</v>
      </c>
      <c r="K120" t="s">
        <v>214</v>
      </c>
      <c r="L120" t="s">
        <v>29</v>
      </c>
      <c r="M120" t="s">
        <v>154</v>
      </c>
      <c r="N120" t="s">
        <v>29</v>
      </c>
      <c r="O120" t="s">
        <v>29</v>
      </c>
      <c r="P120" t="s">
        <v>31</v>
      </c>
      <c r="Q120" s="3" t="s">
        <v>528</v>
      </c>
    </row>
    <row r="121" spans="1:17" ht="15.6" hidden="1" x14ac:dyDescent="0.3">
      <c r="A121" s="2">
        <v>46168</v>
      </c>
      <c r="B121">
        <v>191</v>
      </c>
      <c r="C121" t="s">
        <v>529</v>
      </c>
      <c r="D121" s="2">
        <v>46168</v>
      </c>
      <c r="E121" s="2">
        <v>46170</v>
      </c>
      <c r="F121" t="s">
        <v>162</v>
      </c>
      <c r="G121" t="s">
        <v>34</v>
      </c>
      <c r="H121" t="s">
        <v>530</v>
      </c>
      <c r="I121" t="s">
        <v>26</v>
      </c>
      <c r="J121" t="s">
        <v>50</v>
      </c>
      <c r="K121" t="s">
        <v>86</v>
      </c>
      <c r="L121" t="s">
        <v>29</v>
      </c>
      <c r="M121" t="s">
        <v>44</v>
      </c>
      <c r="N121" t="s">
        <v>29</v>
      </c>
      <c r="O121" t="s">
        <v>29</v>
      </c>
      <c r="P121" t="s">
        <v>31</v>
      </c>
      <c r="Q121" s="3" t="s">
        <v>531</v>
      </c>
    </row>
    <row r="122" spans="1:17" ht="15.6" hidden="1" x14ac:dyDescent="0.3">
      <c r="A122" s="2">
        <v>46168</v>
      </c>
      <c r="B122">
        <v>190</v>
      </c>
      <c r="C122" t="s">
        <v>532</v>
      </c>
      <c r="D122" s="2">
        <v>46168</v>
      </c>
      <c r="E122" s="2">
        <v>46174</v>
      </c>
      <c r="F122" t="s">
        <v>48</v>
      </c>
      <c r="G122" t="s">
        <v>34</v>
      </c>
      <c r="H122" t="s">
        <v>533</v>
      </c>
      <c r="I122" t="s">
        <v>26</v>
      </c>
      <c r="J122" t="s">
        <v>50</v>
      </c>
      <c r="K122" t="s">
        <v>86</v>
      </c>
      <c r="L122" t="s">
        <v>29</v>
      </c>
      <c r="M122" t="s">
        <v>44</v>
      </c>
      <c r="N122" t="s">
        <v>29</v>
      </c>
      <c r="O122" t="s">
        <v>29</v>
      </c>
      <c r="P122" t="s">
        <v>31</v>
      </c>
      <c r="Q122" s="3" t="s">
        <v>534</v>
      </c>
    </row>
    <row r="123" spans="1:17" ht="15.6" hidden="1" x14ac:dyDescent="0.3">
      <c r="A123" s="2">
        <v>46168</v>
      </c>
      <c r="B123">
        <v>189</v>
      </c>
      <c r="C123" t="s">
        <v>535</v>
      </c>
      <c r="D123" s="2">
        <v>46168</v>
      </c>
      <c r="E123" s="2">
        <v>46190</v>
      </c>
      <c r="F123" t="s">
        <v>71</v>
      </c>
      <c r="G123" t="s">
        <v>34</v>
      </c>
      <c r="H123" t="s">
        <v>536</v>
      </c>
      <c r="I123" t="s">
        <v>26</v>
      </c>
      <c r="J123" t="s">
        <v>537</v>
      </c>
      <c r="K123" t="s">
        <v>43</v>
      </c>
      <c r="L123" t="s">
        <v>29</v>
      </c>
      <c r="M123" t="s">
        <v>94</v>
      </c>
      <c r="N123" t="s">
        <v>38</v>
      </c>
      <c r="O123" t="s">
        <v>38</v>
      </c>
      <c r="P123" t="s">
        <v>538</v>
      </c>
      <c r="Q123" s="3" t="s">
        <v>539</v>
      </c>
    </row>
    <row r="124" spans="1:17" ht="15.6" hidden="1" x14ac:dyDescent="0.3">
      <c r="A124" s="2">
        <v>46168</v>
      </c>
      <c r="B124">
        <v>188</v>
      </c>
      <c r="C124" t="s">
        <v>540</v>
      </c>
      <c r="D124" s="2">
        <v>46168</v>
      </c>
      <c r="E124" s="2">
        <v>46190</v>
      </c>
      <c r="F124" t="s">
        <v>71</v>
      </c>
      <c r="G124" t="s">
        <v>57</v>
      </c>
      <c r="H124" t="s">
        <v>541</v>
      </c>
      <c r="I124" t="s">
        <v>26</v>
      </c>
      <c r="J124" t="s">
        <v>537</v>
      </c>
      <c r="K124" t="s">
        <v>36</v>
      </c>
      <c r="L124" t="s">
        <v>29</v>
      </c>
      <c r="M124" t="s">
        <v>103</v>
      </c>
      <c r="N124" t="s">
        <v>38</v>
      </c>
      <c r="O124" t="s">
        <v>38</v>
      </c>
      <c r="P124" t="s">
        <v>542</v>
      </c>
      <c r="Q124" s="3" t="s">
        <v>543</v>
      </c>
    </row>
    <row r="125" spans="1:17" ht="15.6" hidden="1" x14ac:dyDescent="0.3">
      <c r="A125" s="2">
        <v>46168</v>
      </c>
      <c r="B125">
        <v>187</v>
      </c>
      <c r="C125" t="s">
        <v>544</v>
      </c>
      <c r="D125" s="2">
        <v>46168</v>
      </c>
      <c r="E125" s="2">
        <v>46190</v>
      </c>
      <c r="F125" t="s">
        <v>71</v>
      </c>
      <c r="G125" t="s">
        <v>57</v>
      </c>
      <c r="H125" t="s">
        <v>545</v>
      </c>
      <c r="I125" t="s">
        <v>26</v>
      </c>
      <c r="J125" t="s">
        <v>537</v>
      </c>
      <c r="K125" t="s">
        <v>43</v>
      </c>
      <c r="L125" t="s">
        <v>29</v>
      </c>
      <c r="M125" t="s">
        <v>94</v>
      </c>
      <c r="N125" t="s">
        <v>38</v>
      </c>
      <c r="O125" t="s">
        <v>38</v>
      </c>
      <c r="P125" t="s">
        <v>546</v>
      </c>
      <c r="Q125" s="3" t="s">
        <v>547</v>
      </c>
    </row>
    <row r="126" spans="1:17" ht="15.6" hidden="1" x14ac:dyDescent="0.3">
      <c r="A126" s="2">
        <v>46168</v>
      </c>
      <c r="B126">
        <v>186</v>
      </c>
      <c r="C126" t="s">
        <v>548</v>
      </c>
      <c r="D126" s="2">
        <v>46168</v>
      </c>
      <c r="E126" s="2">
        <v>46198</v>
      </c>
      <c r="F126" t="s">
        <v>48</v>
      </c>
      <c r="G126" t="s">
        <v>34</v>
      </c>
      <c r="H126" t="s">
        <v>549</v>
      </c>
      <c r="I126" t="s">
        <v>26</v>
      </c>
      <c r="J126" t="s">
        <v>471</v>
      </c>
      <c r="K126" t="s">
        <v>214</v>
      </c>
      <c r="L126" t="s">
        <v>29</v>
      </c>
      <c r="M126" t="s">
        <v>154</v>
      </c>
      <c r="N126" t="s">
        <v>29</v>
      </c>
      <c r="O126" t="s">
        <v>29</v>
      </c>
      <c r="P126" t="s">
        <v>31</v>
      </c>
      <c r="Q126" s="3" t="s">
        <v>550</v>
      </c>
    </row>
    <row r="127" spans="1:17" ht="15.6" hidden="1" x14ac:dyDescent="0.3">
      <c r="A127" s="2">
        <v>46168</v>
      </c>
      <c r="B127">
        <v>185</v>
      </c>
      <c r="C127" t="s">
        <v>551</v>
      </c>
      <c r="D127" s="2">
        <v>46168</v>
      </c>
      <c r="E127" s="2">
        <v>46176</v>
      </c>
      <c r="F127" t="s">
        <v>48</v>
      </c>
      <c r="G127" t="s">
        <v>24</v>
      </c>
      <c r="H127" t="s">
        <v>552</v>
      </c>
      <c r="I127" t="s">
        <v>26</v>
      </c>
      <c r="J127" t="s">
        <v>328</v>
      </c>
      <c r="K127" t="s">
        <v>214</v>
      </c>
      <c r="L127" t="s">
        <v>29</v>
      </c>
      <c r="M127" t="s">
        <v>231</v>
      </c>
      <c r="N127" t="s">
        <v>38</v>
      </c>
      <c r="O127" t="s">
        <v>38</v>
      </c>
      <c r="P127" t="s">
        <v>553</v>
      </c>
      <c r="Q127" s="3" t="s">
        <v>554</v>
      </c>
    </row>
    <row r="128" spans="1:17" ht="15.6" hidden="1" x14ac:dyDescent="0.3">
      <c r="A128" s="2">
        <v>46168</v>
      </c>
      <c r="B128">
        <v>184</v>
      </c>
      <c r="C128" t="s">
        <v>555</v>
      </c>
      <c r="D128" s="2">
        <v>46168</v>
      </c>
      <c r="E128" s="2">
        <v>46176</v>
      </c>
      <c r="F128" t="s">
        <v>48</v>
      </c>
      <c r="G128" t="s">
        <v>24</v>
      </c>
      <c r="H128" t="s">
        <v>556</v>
      </c>
      <c r="I128" t="s">
        <v>26</v>
      </c>
      <c r="J128" t="s">
        <v>328</v>
      </c>
      <c r="K128" t="s">
        <v>214</v>
      </c>
      <c r="L128" t="s">
        <v>29</v>
      </c>
      <c r="M128" t="s">
        <v>231</v>
      </c>
      <c r="N128" t="s">
        <v>38</v>
      </c>
      <c r="O128" t="s">
        <v>38</v>
      </c>
      <c r="P128" t="s">
        <v>553</v>
      </c>
      <c r="Q128" s="3" t="s">
        <v>557</v>
      </c>
    </row>
    <row r="129" spans="1:17" ht="15.6" hidden="1" x14ac:dyDescent="0.3">
      <c r="A129" s="2">
        <v>46168</v>
      </c>
      <c r="B129">
        <v>183</v>
      </c>
      <c r="C129" t="s">
        <v>558</v>
      </c>
      <c r="D129" s="2">
        <v>46168</v>
      </c>
      <c r="E129" s="2">
        <v>46176</v>
      </c>
      <c r="F129" t="s">
        <v>48</v>
      </c>
      <c r="G129" t="s">
        <v>24</v>
      </c>
      <c r="H129" t="s">
        <v>559</v>
      </c>
      <c r="I129" t="s">
        <v>26</v>
      </c>
      <c r="J129" t="s">
        <v>560</v>
      </c>
      <c r="K129" t="s">
        <v>175</v>
      </c>
      <c r="L129" t="s">
        <v>29</v>
      </c>
      <c r="M129" t="s">
        <v>94</v>
      </c>
      <c r="N129" t="s">
        <v>29</v>
      </c>
      <c r="O129" t="s">
        <v>29</v>
      </c>
      <c r="P129" t="s">
        <v>31</v>
      </c>
      <c r="Q129" s="3" t="s">
        <v>561</v>
      </c>
    </row>
    <row r="130" spans="1:17" ht="15.6" hidden="1" x14ac:dyDescent="0.3">
      <c r="A130" s="2">
        <v>46168</v>
      </c>
      <c r="B130">
        <v>182</v>
      </c>
      <c r="C130" t="s">
        <v>562</v>
      </c>
      <c r="D130" s="2">
        <v>46168</v>
      </c>
      <c r="E130" s="2">
        <v>46199</v>
      </c>
      <c r="F130" t="s">
        <v>71</v>
      </c>
      <c r="G130" t="s">
        <v>34</v>
      </c>
      <c r="H130" t="s">
        <v>563</v>
      </c>
      <c r="I130" t="s">
        <v>26</v>
      </c>
      <c r="J130" t="s">
        <v>564</v>
      </c>
      <c r="K130" t="s">
        <v>28</v>
      </c>
      <c r="L130" t="s">
        <v>29</v>
      </c>
      <c r="M130" t="s">
        <v>52</v>
      </c>
      <c r="N130" t="s">
        <v>29</v>
      </c>
      <c r="O130" t="s">
        <v>29</v>
      </c>
      <c r="P130" t="s">
        <v>31</v>
      </c>
      <c r="Q130" s="3" t="s">
        <v>565</v>
      </c>
    </row>
    <row r="131" spans="1:17" ht="15.6" hidden="1" x14ac:dyDescent="0.3">
      <c r="A131" s="2">
        <v>46168</v>
      </c>
      <c r="B131">
        <v>181</v>
      </c>
      <c r="C131" t="s">
        <v>566</v>
      </c>
      <c r="D131" s="2">
        <v>46168</v>
      </c>
      <c r="E131" s="2">
        <v>46176</v>
      </c>
      <c r="F131" t="s">
        <v>71</v>
      </c>
      <c r="G131" t="s">
        <v>24</v>
      </c>
      <c r="H131" t="s">
        <v>567</v>
      </c>
      <c r="I131" t="s">
        <v>26</v>
      </c>
      <c r="J131" t="s">
        <v>292</v>
      </c>
      <c r="K131" t="s">
        <v>51</v>
      </c>
      <c r="L131" t="s">
        <v>29</v>
      </c>
      <c r="M131" t="s">
        <v>293</v>
      </c>
      <c r="N131" t="s">
        <v>29</v>
      </c>
      <c r="O131" t="s">
        <v>29</v>
      </c>
      <c r="P131" t="s">
        <v>31</v>
      </c>
      <c r="Q131" s="3" t="s">
        <v>568</v>
      </c>
    </row>
    <row r="132" spans="1:17" ht="15.6" hidden="1" x14ac:dyDescent="0.3">
      <c r="A132" s="2">
        <v>46168</v>
      </c>
      <c r="B132">
        <v>180</v>
      </c>
      <c r="C132" t="s">
        <v>569</v>
      </c>
      <c r="D132" s="2">
        <v>46168</v>
      </c>
      <c r="E132" s="2">
        <v>46192</v>
      </c>
      <c r="F132" t="s">
        <v>507</v>
      </c>
      <c r="G132" t="s">
        <v>57</v>
      </c>
      <c r="H132" t="s">
        <v>570</v>
      </c>
      <c r="I132" t="s">
        <v>26</v>
      </c>
      <c r="J132" t="s">
        <v>571</v>
      </c>
      <c r="K132" t="s">
        <v>43</v>
      </c>
      <c r="L132" t="s">
        <v>29</v>
      </c>
      <c r="M132" t="s">
        <v>103</v>
      </c>
      <c r="N132" t="s">
        <v>38</v>
      </c>
      <c r="O132" t="s">
        <v>38</v>
      </c>
      <c r="P132" t="s">
        <v>572</v>
      </c>
      <c r="Q132" s="3" t="s">
        <v>573</v>
      </c>
    </row>
    <row r="133" spans="1:17" ht="15.6" hidden="1" x14ac:dyDescent="0.3">
      <c r="A133" s="2">
        <v>46168</v>
      </c>
      <c r="B133">
        <v>179</v>
      </c>
      <c r="C133" t="s">
        <v>574</v>
      </c>
      <c r="D133" s="2">
        <v>46168</v>
      </c>
      <c r="E133" s="2">
        <v>46202</v>
      </c>
      <c r="F133" t="s">
        <v>71</v>
      </c>
      <c r="G133" t="s">
        <v>34</v>
      </c>
      <c r="H133" t="s">
        <v>575</v>
      </c>
      <c r="I133" t="s">
        <v>26</v>
      </c>
      <c r="J133" t="s">
        <v>576</v>
      </c>
      <c r="K133" t="s">
        <v>51</v>
      </c>
      <c r="L133" t="s">
        <v>29</v>
      </c>
      <c r="M133" t="s">
        <v>109</v>
      </c>
      <c r="N133" t="s">
        <v>38</v>
      </c>
      <c r="O133" t="s">
        <v>29</v>
      </c>
      <c r="P133" t="s">
        <v>577</v>
      </c>
      <c r="Q133" s="3" t="s">
        <v>578</v>
      </c>
    </row>
    <row r="134" spans="1:17" ht="15.6" hidden="1" x14ac:dyDescent="0.3">
      <c r="A134" s="2">
        <v>46168</v>
      </c>
      <c r="B134">
        <v>178</v>
      </c>
      <c r="C134" t="s">
        <v>579</v>
      </c>
      <c r="D134" s="2">
        <v>46168</v>
      </c>
      <c r="E134" s="2">
        <v>46171</v>
      </c>
      <c r="F134" t="s">
        <v>71</v>
      </c>
      <c r="G134" t="s">
        <v>24</v>
      </c>
      <c r="H134" t="s">
        <v>580</v>
      </c>
      <c r="I134" t="s">
        <v>26</v>
      </c>
      <c r="J134" t="s">
        <v>581</v>
      </c>
      <c r="K134" t="s">
        <v>43</v>
      </c>
      <c r="L134" t="s">
        <v>29</v>
      </c>
      <c r="M134" t="s">
        <v>231</v>
      </c>
      <c r="N134" t="s">
        <v>29</v>
      </c>
      <c r="O134" t="s">
        <v>29</v>
      </c>
      <c r="P134" t="s">
        <v>31</v>
      </c>
      <c r="Q134" s="3" t="s">
        <v>582</v>
      </c>
    </row>
    <row r="135" spans="1:17" ht="15.6" hidden="1" x14ac:dyDescent="0.3">
      <c r="A135" s="2">
        <v>46168</v>
      </c>
      <c r="B135">
        <v>177</v>
      </c>
      <c r="C135" t="s">
        <v>583</v>
      </c>
      <c r="D135" s="2">
        <v>46168</v>
      </c>
      <c r="E135" s="2">
        <v>46174</v>
      </c>
      <c r="F135" t="s">
        <v>71</v>
      </c>
      <c r="G135" t="s">
        <v>24</v>
      </c>
      <c r="H135" t="s">
        <v>584</v>
      </c>
      <c r="I135" t="s">
        <v>26</v>
      </c>
      <c r="J135" t="s">
        <v>585</v>
      </c>
      <c r="K135" t="s">
        <v>43</v>
      </c>
      <c r="L135" t="s">
        <v>29</v>
      </c>
      <c r="M135" t="s">
        <v>586</v>
      </c>
      <c r="N135" t="s">
        <v>29</v>
      </c>
      <c r="O135" t="s">
        <v>29</v>
      </c>
      <c r="P135" t="s">
        <v>31</v>
      </c>
      <c r="Q135" s="3" t="s">
        <v>587</v>
      </c>
    </row>
    <row r="136" spans="1:17" ht="15.6" hidden="1" x14ac:dyDescent="0.3">
      <c r="A136" s="2">
        <v>46168</v>
      </c>
      <c r="B136">
        <v>176</v>
      </c>
      <c r="C136" t="s">
        <v>588</v>
      </c>
      <c r="D136" s="2">
        <v>46168</v>
      </c>
      <c r="E136" s="2">
        <v>46175</v>
      </c>
      <c r="F136" t="s">
        <v>71</v>
      </c>
      <c r="G136" t="s">
        <v>24</v>
      </c>
      <c r="H136" t="s">
        <v>589</v>
      </c>
      <c r="I136" t="s">
        <v>26</v>
      </c>
      <c r="J136" t="s">
        <v>590</v>
      </c>
      <c r="K136" t="s">
        <v>43</v>
      </c>
      <c r="L136" t="s">
        <v>29</v>
      </c>
      <c r="M136" t="s">
        <v>109</v>
      </c>
      <c r="N136" t="s">
        <v>29</v>
      </c>
      <c r="O136" t="s">
        <v>29</v>
      </c>
      <c r="P136" t="s">
        <v>31</v>
      </c>
      <c r="Q136" s="3" t="s">
        <v>591</v>
      </c>
    </row>
    <row r="137" spans="1:17" ht="15.6" hidden="1" x14ac:dyDescent="0.3">
      <c r="A137" s="2">
        <v>46168</v>
      </c>
      <c r="B137">
        <v>175</v>
      </c>
      <c r="C137" t="s">
        <v>592</v>
      </c>
      <c r="D137" s="2">
        <v>46168</v>
      </c>
      <c r="E137" s="2">
        <v>46175</v>
      </c>
      <c r="F137" t="s">
        <v>162</v>
      </c>
      <c r="G137" t="s">
        <v>24</v>
      </c>
      <c r="H137" t="s">
        <v>593</v>
      </c>
      <c r="I137" t="s">
        <v>26</v>
      </c>
      <c r="J137" t="s">
        <v>188</v>
      </c>
      <c r="K137" t="s">
        <v>43</v>
      </c>
      <c r="L137" t="s">
        <v>29</v>
      </c>
      <c r="M137" t="s">
        <v>109</v>
      </c>
      <c r="N137" t="s">
        <v>29</v>
      </c>
      <c r="O137" t="s">
        <v>29</v>
      </c>
      <c r="P137" t="s">
        <v>31</v>
      </c>
      <c r="Q137" s="3" t="s">
        <v>594</v>
      </c>
    </row>
    <row r="138" spans="1:17" ht="15.6" hidden="1" x14ac:dyDescent="0.3">
      <c r="A138" s="2">
        <v>46168</v>
      </c>
      <c r="B138">
        <v>174</v>
      </c>
      <c r="C138" t="s">
        <v>595</v>
      </c>
      <c r="D138" s="2">
        <v>46168</v>
      </c>
      <c r="E138" s="2">
        <v>46199</v>
      </c>
      <c r="F138" t="s">
        <v>71</v>
      </c>
      <c r="G138" t="s">
        <v>34</v>
      </c>
      <c r="H138" t="s">
        <v>596</v>
      </c>
      <c r="I138" t="s">
        <v>26</v>
      </c>
      <c r="J138" t="s">
        <v>564</v>
      </c>
      <c r="K138" t="s">
        <v>28</v>
      </c>
      <c r="L138" t="s">
        <v>29</v>
      </c>
      <c r="M138" t="s">
        <v>52</v>
      </c>
      <c r="N138" t="s">
        <v>29</v>
      </c>
      <c r="O138" t="s">
        <v>29</v>
      </c>
      <c r="P138" t="s">
        <v>31</v>
      </c>
      <c r="Q138" s="3" t="s">
        <v>597</v>
      </c>
    </row>
    <row r="139" spans="1:17" ht="15.6" hidden="1" x14ac:dyDescent="0.3">
      <c r="A139" s="2">
        <v>46168</v>
      </c>
      <c r="B139">
        <v>173</v>
      </c>
      <c r="C139" t="s">
        <v>598</v>
      </c>
      <c r="D139" s="2">
        <v>46168</v>
      </c>
      <c r="E139" s="2">
        <v>46176</v>
      </c>
      <c r="F139" t="s">
        <v>71</v>
      </c>
      <c r="G139" t="s">
        <v>24</v>
      </c>
      <c r="H139" t="s">
        <v>599</v>
      </c>
      <c r="I139" t="s">
        <v>26</v>
      </c>
      <c r="J139" t="s">
        <v>600</v>
      </c>
      <c r="K139" t="s">
        <v>28</v>
      </c>
      <c r="L139" t="s">
        <v>29</v>
      </c>
      <c r="M139" t="s">
        <v>103</v>
      </c>
      <c r="N139" t="s">
        <v>29</v>
      </c>
      <c r="O139" t="s">
        <v>29</v>
      </c>
      <c r="P139" t="s">
        <v>31</v>
      </c>
      <c r="Q139" s="3" t="s">
        <v>601</v>
      </c>
    </row>
    <row r="140" spans="1:17" ht="15.6" hidden="1" x14ac:dyDescent="0.3">
      <c r="A140" s="2">
        <v>46168</v>
      </c>
      <c r="B140">
        <v>172</v>
      </c>
      <c r="C140" t="s">
        <v>602</v>
      </c>
      <c r="D140" s="2">
        <v>46168</v>
      </c>
      <c r="E140" s="2">
        <v>46176</v>
      </c>
      <c r="F140" t="s">
        <v>48</v>
      </c>
      <c r="G140" t="s">
        <v>24</v>
      </c>
      <c r="H140" t="s">
        <v>603</v>
      </c>
      <c r="I140" t="s">
        <v>26</v>
      </c>
      <c r="J140" t="s">
        <v>600</v>
      </c>
      <c r="K140" t="s">
        <v>28</v>
      </c>
      <c r="L140" t="s">
        <v>29</v>
      </c>
      <c r="M140" t="s">
        <v>103</v>
      </c>
      <c r="N140" t="s">
        <v>29</v>
      </c>
      <c r="O140" t="s">
        <v>29</v>
      </c>
      <c r="P140" t="s">
        <v>31</v>
      </c>
      <c r="Q140" s="3" t="s">
        <v>604</v>
      </c>
    </row>
    <row r="141" spans="1:17" ht="15.6" hidden="1" x14ac:dyDescent="0.3">
      <c r="A141" s="2">
        <v>46168</v>
      </c>
      <c r="B141">
        <v>171</v>
      </c>
      <c r="C141" t="s">
        <v>605</v>
      </c>
      <c r="D141" s="2">
        <v>46168</v>
      </c>
      <c r="E141" s="2">
        <v>46176</v>
      </c>
      <c r="F141" t="s">
        <v>48</v>
      </c>
      <c r="G141" t="s">
        <v>24</v>
      </c>
      <c r="H141" t="s">
        <v>606</v>
      </c>
      <c r="I141" t="s">
        <v>26</v>
      </c>
      <c r="J141" t="s">
        <v>600</v>
      </c>
      <c r="K141" t="s">
        <v>28</v>
      </c>
      <c r="L141" t="s">
        <v>29</v>
      </c>
      <c r="M141" t="s">
        <v>103</v>
      </c>
      <c r="N141" t="s">
        <v>29</v>
      </c>
      <c r="O141" t="s">
        <v>29</v>
      </c>
      <c r="P141" t="s">
        <v>31</v>
      </c>
      <c r="Q141" s="3" t="s">
        <v>607</v>
      </c>
    </row>
    <row r="142" spans="1:17" ht="15.6" hidden="1" x14ac:dyDescent="0.3">
      <c r="A142" s="2">
        <v>46168</v>
      </c>
      <c r="B142">
        <v>170</v>
      </c>
      <c r="C142" t="s">
        <v>608</v>
      </c>
      <c r="D142" s="2">
        <v>46168</v>
      </c>
      <c r="E142" s="2">
        <v>46176</v>
      </c>
      <c r="F142" t="s">
        <v>48</v>
      </c>
      <c r="G142" t="s">
        <v>24</v>
      </c>
      <c r="H142" t="s">
        <v>609</v>
      </c>
      <c r="I142" t="s">
        <v>26</v>
      </c>
      <c r="J142" t="s">
        <v>600</v>
      </c>
      <c r="K142" t="s">
        <v>28</v>
      </c>
      <c r="L142" t="s">
        <v>29</v>
      </c>
      <c r="M142" t="s">
        <v>103</v>
      </c>
      <c r="N142" t="s">
        <v>29</v>
      </c>
      <c r="O142" t="s">
        <v>29</v>
      </c>
      <c r="P142" t="s">
        <v>31</v>
      </c>
      <c r="Q142" s="3" t="s">
        <v>610</v>
      </c>
    </row>
    <row r="143" spans="1:17" ht="15.6" hidden="1" x14ac:dyDescent="0.3">
      <c r="A143" s="2">
        <v>46168</v>
      </c>
      <c r="B143">
        <v>169</v>
      </c>
      <c r="C143" t="s">
        <v>611</v>
      </c>
      <c r="D143" s="2">
        <v>46168</v>
      </c>
      <c r="E143" s="2">
        <v>46191</v>
      </c>
      <c r="F143" t="s">
        <v>71</v>
      </c>
      <c r="G143" t="s">
        <v>24</v>
      </c>
      <c r="H143" t="s">
        <v>612</v>
      </c>
      <c r="I143" t="s">
        <v>26</v>
      </c>
      <c r="J143" t="s">
        <v>179</v>
      </c>
      <c r="K143" t="s">
        <v>51</v>
      </c>
      <c r="L143" t="s">
        <v>29</v>
      </c>
      <c r="M143" t="s">
        <v>293</v>
      </c>
      <c r="N143" t="s">
        <v>29</v>
      </c>
      <c r="O143" t="s">
        <v>29</v>
      </c>
      <c r="P143" t="s">
        <v>31</v>
      </c>
      <c r="Q143" s="3" t="s">
        <v>613</v>
      </c>
    </row>
    <row r="144" spans="1:17" ht="15.6" hidden="1" x14ac:dyDescent="0.3">
      <c r="A144" s="2">
        <v>46168</v>
      </c>
      <c r="B144">
        <v>168</v>
      </c>
      <c r="C144" t="s">
        <v>614</v>
      </c>
      <c r="D144" s="2">
        <v>46168</v>
      </c>
      <c r="E144" s="2">
        <v>46176</v>
      </c>
      <c r="F144" t="s">
        <v>48</v>
      </c>
      <c r="G144" t="s">
        <v>24</v>
      </c>
      <c r="H144" t="s">
        <v>615</v>
      </c>
      <c r="I144" t="s">
        <v>26</v>
      </c>
      <c r="J144" t="s">
        <v>600</v>
      </c>
      <c r="K144" t="s">
        <v>28</v>
      </c>
      <c r="L144" t="s">
        <v>29</v>
      </c>
      <c r="M144" t="s">
        <v>68</v>
      </c>
      <c r="N144" t="s">
        <v>29</v>
      </c>
      <c r="O144" t="s">
        <v>29</v>
      </c>
      <c r="P144" t="s">
        <v>31</v>
      </c>
      <c r="Q144" s="3" t="s">
        <v>616</v>
      </c>
    </row>
    <row r="145" spans="1:17" ht="15.6" hidden="1" x14ac:dyDescent="0.3">
      <c r="A145" s="2">
        <v>46168</v>
      </c>
      <c r="B145">
        <v>167</v>
      </c>
      <c r="C145" t="s">
        <v>617</v>
      </c>
      <c r="D145" s="2">
        <v>46168</v>
      </c>
      <c r="E145" s="2">
        <v>46185</v>
      </c>
      <c r="F145" t="s">
        <v>48</v>
      </c>
      <c r="G145" t="s">
        <v>24</v>
      </c>
      <c r="H145" t="s">
        <v>618</v>
      </c>
      <c r="I145" t="s">
        <v>26</v>
      </c>
      <c r="J145" t="s">
        <v>204</v>
      </c>
      <c r="K145" t="s">
        <v>86</v>
      </c>
      <c r="L145" t="s">
        <v>29</v>
      </c>
      <c r="M145" t="s">
        <v>265</v>
      </c>
      <c r="N145" t="s">
        <v>38</v>
      </c>
      <c r="O145" t="s">
        <v>38</v>
      </c>
      <c r="P145" t="s">
        <v>619</v>
      </c>
      <c r="Q145" s="3" t="s">
        <v>620</v>
      </c>
    </row>
    <row r="146" spans="1:17" ht="15.6" hidden="1" x14ac:dyDescent="0.3">
      <c r="A146" s="2">
        <v>46168</v>
      </c>
      <c r="B146">
        <v>166</v>
      </c>
      <c r="C146" t="s">
        <v>621</v>
      </c>
      <c r="D146" s="2">
        <v>46168</v>
      </c>
      <c r="E146" s="2">
        <v>46185</v>
      </c>
      <c r="F146" t="s">
        <v>48</v>
      </c>
      <c r="G146" t="s">
        <v>34</v>
      </c>
      <c r="H146" t="s">
        <v>622</v>
      </c>
      <c r="I146" t="s">
        <v>26</v>
      </c>
      <c r="J146" t="s">
        <v>623</v>
      </c>
      <c r="K146" t="s">
        <v>62</v>
      </c>
      <c r="L146" t="s">
        <v>29</v>
      </c>
      <c r="M146" t="s">
        <v>624</v>
      </c>
      <c r="N146" t="s">
        <v>38</v>
      </c>
      <c r="O146" t="s">
        <v>29</v>
      </c>
      <c r="P146" t="s">
        <v>625</v>
      </c>
      <c r="Q146" s="3" t="s">
        <v>626</v>
      </c>
    </row>
    <row r="147" spans="1:17" ht="15.6" hidden="1" x14ac:dyDescent="0.3">
      <c r="A147" s="2">
        <v>46168</v>
      </c>
      <c r="B147">
        <v>165</v>
      </c>
      <c r="C147" t="s">
        <v>627</v>
      </c>
      <c r="D147" s="2">
        <v>46168</v>
      </c>
      <c r="E147" s="2">
        <v>46178</v>
      </c>
      <c r="F147" t="s">
        <v>23</v>
      </c>
      <c r="G147" t="s">
        <v>628</v>
      </c>
      <c r="H147" t="s">
        <v>629</v>
      </c>
      <c r="I147" t="s">
        <v>26</v>
      </c>
      <c r="J147" t="s">
        <v>27</v>
      </c>
      <c r="K147" t="s">
        <v>28</v>
      </c>
      <c r="L147" t="s">
        <v>29</v>
      </c>
      <c r="M147" t="s">
        <v>630</v>
      </c>
      <c r="N147" t="s">
        <v>29</v>
      </c>
      <c r="O147" t="s">
        <v>29</v>
      </c>
      <c r="P147" t="s">
        <v>31</v>
      </c>
      <c r="Q147" s="3" t="s">
        <v>631</v>
      </c>
    </row>
    <row r="148" spans="1:17" ht="15.6" hidden="1" x14ac:dyDescent="0.3">
      <c r="A148" s="2">
        <v>46168</v>
      </c>
      <c r="B148">
        <v>164</v>
      </c>
      <c r="C148" t="s">
        <v>632</v>
      </c>
      <c r="D148" s="2">
        <v>46168</v>
      </c>
      <c r="E148" s="2">
        <v>46182</v>
      </c>
      <c r="F148" t="s">
        <v>162</v>
      </c>
      <c r="G148" t="s">
        <v>24</v>
      </c>
      <c r="H148" t="s">
        <v>633</v>
      </c>
      <c r="I148" t="s">
        <v>26</v>
      </c>
      <c r="J148" t="s">
        <v>164</v>
      </c>
      <c r="K148" t="s">
        <v>51</v>
      </c>
      <c r="L148" t="s">
        <v>29</v>
      </c>
      <c r="M148" t="s">
        <v>109</v>
      </c>
      <c r="N148" t="s">
        <v>29</v>
      </c>
      <c r="O148" t="s">
        <v>29</v>
      </c>
      <c r="P148" t="s">
        <v>31</v>
      </c>
      <c r="Q148" s="3" t="s">
        <v>634</v>
      </c>
    </row>
    <row r="149" spans="1:17" ht="15.6" hidden="1" x14ac:dyDescent="0.3">
      <c r="A149" s="2">
        <v>46168</v>
      </c>
      <c r="B149">
        <v>163</v>
      </c>
      <c r="C149" t="s">
        <v>635</v>
      </c>
      <c r="D149" s="2">
        <v>46168</v>
      </c>
      <c r="E149" s="2">
        <v>46192</v>
      </c>
      <c r="F149" t="s">
        <v>23</v>
      </c>
      <c r="G149" t="s">
        <v>24</v>
      </c>
      <c r="H149" t="s">
        <v>636</v>
      </c>
      <c r="I149" t="s">
        <v>26</v>
      </c>
      <c r="J149" t="s">
        <v>27</v>
      </c>
      <c r="K149" t="s">
        <v>62</v>
      </c>
      <c r="L149" t="s">
        <v>29</v>
      </c>
      <c r="M149" t="s">
        <v>637</v>
      </c>
      <c r="N149" t="s">
        <v>29</v>
      </c>
      <c r="O149" t="s">
        <v>29</v>
      </c>
      <c r="P149" t="s">
        <v>31</v>
      </c>
      <c r="Q149" s="3" t="s">
        <v>638</v>
      </c>
    </row>
    <row r="150" spans="1:17" ht="15.6" hidden="1" x14ac:dyDescent="0.3">
      <c r="A150" s="2">
        <v>46168</v>
      </c>
      <c r="B150">
        <v>162</v>
      </c>
      <c r="C150" t="s">
        <v>639</v>
      </c>
      <c r="D150" s="2">
        <v>46168</v>
      </c>
      <c r="E150" s="2">
        <v>46198</v>
      </c>
      <c r="F150" t="s">
        <v>71</v>
      </c>
      <c r="G150" t="s">
        <v>34</v>
      </c>
      <c r="H150" t="s">
        <v>640</v>
      </c>
      <c r="I150" t="s">
        <v>26</v>
      </c>
      <c r="J150" t="s">
        <v>27</v>
      </c>
      <c r="K150" t="s">
        <v>62</v>
      </c>
      <c r="L150" t="s">
        <v>29</v>
      </c>
      <c r="M150" t="s">
        <v>103</v>
      </c>
      <c r="N150" t="s">
        <v>29</v>
      </c>
      <c r="O150" t="s">
        <v>29</v>
      </c>
      <c r="P150" t="s">
        <v>31</v>
      </c>
      <c r="Q150" s="3" t="s">
        <v>641</v>
      </c>
    </row>
    <row r="151" spans="1:17" ht="15.6" hidden="1" x14ac:dyDescent="0.3">
      <c r="A151" s="2">
        <v>46168</v>
      </c>
      <c r="B151">
        <v>161</v>
      </c>
      <c r="C151" t="s">
        <v>642</v>
      </c>
      <c r="D151" s="2">
        <v>46168</v>
      </c>
      <c r="E151" s="2">
        <v>46190</v>
      </c>
      <c r="F151" t="s">
        <v>23</v>
      </c>
      <c r="G151" t="s">
        <v>24</v>
      </c>
      <c r="H151" t="s">
        <v>643</v>
      </c>
      <c r="I151" t="s">
        <v>26</v>
      </c>
      <c r="J151" t="s">
        <v>204</v>
      </c>
      <c r="K151" t="s">
        <v>43</v>
      </c>
      <c r="L151" t="s">
        <v>29</v>
      </c>
      <c r="M151" t="s">
        <v>293</v>
      </c>
      <c r="N151" t="s">
        <v>38</v>
      </c>
      <c r="O151" t="s">
        <v>38</v>
      </c>
      <c r="P151" t="s">
        <v>644</v>
      </c>
      <c r="Q151" s="3" t="s">
        <v>645</v>
      </c>
    </row>
    <row r="152" spans="1:17" ht="15.6" hidden="1" x14ac:dyDescent="0.3">
      <c r="A152" s="2">
        <v>46168</v>
      </c>
      <c r="B152">
        <v>160</v>
      </c>
      <c r="C152" t="s">
        <v>646</v>
      </c>
      <c r="D152" s="2">
        <v>46168</v>
      </c>
      <c r="E152" s="2">
        <v>46176</v>
      </c>
      <c r="F152" t="s">
        <v>48</v>
      </c>
      <c r="G152" t="s">
        <v>24</v>
      </c>
      <c r="H152" t="s">
        <v>647</v>
      </c>
      <c r="I152" t="s">
        <v>26</v>
      </c>
      <c r="J152" t="s">
        <v>648</v>
      </c>
      <c r="K152" t="s">
        <v>51</v>
      </c>
      <c r="L152" t="s">
        <v>29</v>
      </c>
      <c r="M152" t="s">
        <v>499</v>
      </c>
      <c r="N152" t="s">
        <v>29</v>
      </c>
      <c r="O152" t="s">
        <v>29</v>
      </c>
      <c r="P152" t="s">
        <v>31</v>
      </c>
      <c r="Q152" s="3" t="s">
        <v>649</v>
      </c>
    </row>
    <row r="153" spans="1:17" ht="15.6" hidden="1" x14ac:dyDescent="0.3">
      <c r="A153" s="2">
        <v>46168</v>
      </c>
      <c r="B153">
        <v>159</v>
      </c>
      <c r="C153" t="s">
        <v>650</v>
      </c>
      <c r="D153" s="2">
        <v>46168</v>
      </c>
      <c r="E153" s="2">
        <v>46176</v>
      </c>
      <c r="F153" t="s">
        <v>48</v>
      </c>
      <c r="G153" t="s">
        <v>24</v>
      </c>
      <c r="H153" t="s">
        <v>651</v>
      </c>
      <c r="I153" t="s">
        <v>26</v>
      </c>
      <c r="J153" t="s">
        <v>648</v>
      </c>
      <c r="K153" t="s">
        <v>51</v>
      </c>
      <c r="L153" t="s">
        <v>29</v>
      </c>
      <c r="M153" t="s">
        <v>68</v>
      </c>
      <c r="N153" t="s">
        <v>29</v>
      </c>
      <c r="O153" t="s">
        <v>29</v>
      </c>
      <c r="P153" t="s">
        <v>31</v>
      </c>
      <c r="Q153" s="3" t="s">
        <v>652</v>
      </c>
    </row>
    <row r="154" spans="1:17" ht="15.6" hidden="1" x14ac:dyDescent="0.3">
      <c r="A154" s="2">
        <v>46168</v>
      </c>
      <c r="B154">
        <v>158</v>
      </c>
      <c r="C154" t="s">
        <v>653</v>
      </c>
      <c r="D154" s="2">
        <v>46168</v>
      </c>
      <c r="E154" s="2">
        <v>46178</v>
      </c>
      <c r="F154" t="s">
        <v>48</v>
      </c>
      <c r="G154" t="s">
        <v>24</v>
      </c>
      <c r="H154" t="s">
        <v>654</v>
      </c>
      <c r="I154" t="s">
        <v>26</v>
      </c>
      <c r="J154" t="s">
        <v>648</v>
      </c>
      <c r="K154" t="s">
        <v>51</v>
      </c>
      <c r="L154" t="s">
        <v>29</v>
      </c>
      <c r="M154" t="s">
        <v>256</v>
      </c>
      <c r="N154" t="s">
        <v>29</v>
      </c>
      <c r="O154" t="s">
        <v>29</v>
      </c>
      <c r="P154" t="s">
        <v>31</v>
      </c>
      <c r="Q154" s="3" t="s">
        <v>655</v>
      </c>
    </row>
    <row r="155" spans="1:17" ht="15.6" hidden="1" x14ac:dyDescent="0.3">
      <c r="A155" s="2">
        <v>46168</v>
      </c>
      <c r="B155">
        <v>157</v>
      </c>
      <c r="C155" t="s">
        <v>656</v>
      </c>
      <c r="D155" s="2">
        <v>46168</v>
      </c>
      <c r="E155" s="2">
        <v>46191</v>
      </c>
      <c r="F155" t="s">
        <v>71</v>
      </c>
      <c r="G155" t="s">
        <v>34</v>
      </c>
      <c r="H155" t="s">
        <v>657</v>
      </c>
      <c r="I155" t="s">
        <v>26</v>
      </c>
      <c r="J155" t="s">
        <v>209</v>
      </c>
      <c r="K155" t="s">
        <v>117</v>
      </c>
      <c r="L155" t="s">
        <v>29</v>
      </c>
      <c r="M155" t="s">
        <v>109</v>
      </c>
      <c r="N155" t="s">
        <v>29</v>
      </c>
      <c r="O155" t="s">
        <v>29</v>
      </c>
      <c r="P155" t="s">
        <v>31</v>
      </c>
      <c r="Q155" s="3" t="s">
        <v>658</v>
      </c>
    </row>
    <row r="156" spans="1:17" ht="15.6" hidden="1" x14ac:dyDescent="0.3">
      <c r="A156" s="2">
        <v>46168</v>
      </c>
      <c r="B156">
        <v>156</v>
      </c>
      <c r="C156" t="s">
        <v>659</v>
      </c>
      <c r="D156" s="2">
        <v>46168</v>
      </c>
      <c r="E156" s="2">
        <v>46178</v>
      </c>
      <c r="F156" t="s">
        <v>71</v>
      </c>
      <c r="G156" t="s">
        <v>24</v>
      </c>
      <c r="H156" t="s">
        <v>660</v>
      </c>
      <c r="I156" t="s">
        <v>26</v>
      </c>
      <c r="J156" t="s">
        <v>661</v>
      </c>
      <c r="K156" t="s">
        <v>43</v>
      </c>
      <c r="L156" t="s">
        <v>29</v>
      </c>
      <c r="M156" t="s">
        <v>662</v>
      </c>
      <c r="N156" t="s">
        <v>29</v>
      </c>
      <c r="O156" t="s">
        <v>29</v>
      </c>
      <c r="P156" t="s">
        <v>31</v>
      </c>
      <c r="Q156" s="3" t="s">
        <v>663</v>
      </c>
    </row>
    <row r="157" spans="1:17" ht="15.6" hidden="1" x14ac:dyDescent="0.3">
      <c r="A157" s="2">
        <v>46168</v>
      </c>
      <c r="B157">
        <v>155</v>
      </c>
      <c r="C157" t="s">
        <v>664</v>
      </c>
      <c r="D157" s="2">
        <v>46168</v>
      </c>
      <c r="E157" s="2">
        <v>46197</v>
      </c>
      <c r="F157" t="s">
        <v>71</v>
      </c>
      <c r="G157" t="s">
        <v>57</v>
      </c>
      <c r="H157" t="s">
        <v>665</v>
      </c>
      <c r="I157" t="s">
        <v>26</v>
      </c>
      <c r="J157" t="s">
        <v>666</v>
      </c>
      <c r="K157" t="s">
        <v>36</v>
      </c>
      <c r="L157" t="s">
        <v>29</v>
      </c>
      <c r="M157" t="s">
        <v>667</v>
      </c>
      <c r="N157" t="s">
        <v>38</v>
      </c>
      <c r="O157" t="s">
        <v>38</v>
      </c>
      <c r="P157" t="s">
        <v>668</v>
      </c>
      <c r="Q157" s="3" t="s">
        <v>669</v>
      </c>
    </row>
    <row r="158" spans="1:17" ht="15.6" hidden="1" x14ac:dyDescent="0.3">
      <c r="A158" s="2">
        <v>46168</v>
      </c>
      <c r="B158">
        <v>154</v>
      </c>
      <c r="C158" t="s">
        <v>670</v>
      </c>
      <c r="D158" s="2">
        <v>46168</v>
      </c>
      <c r="E158" s="2">
        <v>46188</v>
      </c>
      <c r="F158" t="s">
        <v>23</v>
      </c>
      <c r="G158" t="s">
        <v>34</v>
      </c>
      <c r="H158" t="s">
        <v>671</v>
      </c>
      <c r="I158" t="s">
        <v>26</v>
      </c>
      <c r="J158" t="s">
        <v>27</v>
      </c>
      <c r="K158" t="s">
        <v>51</v>
      </c>
      <c r="L158" t="s">
        <v>29</v>
      </c>
      <c r="M158" t="s">
        <v>109</v>
      </c>
      <c r="N158" t="s">
        <v>38</v>
      </c>
      <c r="O158" t="s">
        <v>29</v>
      </c>
      <c r="P158" t="s">
        <v>577</v>
      </c>
      <c r="Q158" s="3" t="s">
        <v>672</v>
      </c>
    </row>
    <row r="159" spans="1:17" ht="15.6" hidden="1" x14ac:dyDescent="0.3">
      <c r="A159" s="2">
        <v>46168</v>
      </c>
      <c r="B159">
        <v>153</v>
      </c>
      <c r="C159" t="s">
        <v>673</v>
      </c>
      <c r="D159" s="2">
        <v>46168</v>
      </c>
      <c r="E159" s="2">
        <v>46175</v>
      </c>
      <c r="F159" t="s">
        <v>71</v>
      </c>
      <c r="G159" t="s">
        <v>24</v>
      </c>
      <c r="H159" t="s">
        <v>674</v>
      </c>
      <c r="I159" t="s">
        <v>26</v>
      </c>
      <c r="J159" t="s">
        <v>675</v>
      </c>
      <c r="K159" t="s">
        <v>86</v>
      </c>
      <c r="L159" t="s">
        <v>29</v>
      </c>
      <c r="M159" t="s">
        <v>676</v>
      </c>
      <c r="N159" t="s">
        <v>29</v>
      </c>
      <c r="O159" t="s">
        <v>29</v>
      </c>
      <c r="P159" t="s">
        <v>31</v>
      </c>
      <c r="Q159" s="3" t="s">
        <v>677</v>
      </c>
    </row>
    <row r="160" spans="1:17" ht="15.6" hidden="1" x14ac:dyDescent="0.3">
      <c r="A160" s="2">
        <v>46168</v>
      </c>
      <c r="B160">
        <v>152</v>
      </c>
      <c r="C160" t="s">
        <v>678</v>
      </c>
      <c r="D160" s="2">
        <v>46168</v>
      </c>
      <c r="E160" s="2">
        <v>46190</v>
      </c>
      <c r="F160" t="s">
        <v>71</v>
      </c>
      <c r="G160" t="s">
        <v>34</v>
      </c>
      <c r="H160" t="s">
        <v>679</v>
      </c>
      <c r="I160" t="s">
        <v>26</v>
      </c>
      <c r="J160" t="s">
        <v>680</v>
      </c>
      <c r="K160" t="s">
        <v>36</v>
      </c>
      <c r="L160" t="s">
        <v>29</v>
      </c>
      <c r="M160" t="s">
        <v>68</v>
      </c>
      <c r="N160" t="s">
        <v>29</v>
      </c>
      <c r="O160" t="s">
        <v>29</v>
      </c>
      <c r="P160" t="s">
        <v>31</v>
      </c>
      <c r="Q160" s="3" t="s">
        <v>681</v>
      </c>
    </row>
    <row r="161" spans="1:17" ht="15.6" hidden="1" x14ac:dyDescent="0.3">
      <c r="A161" s="2">
        <v>46168</v>
      </c>
      <c r="B161">
        <v>151</v>
      </c>
      <c r="C161" t="s">
        <v>682</v>
      </c>
      <c r="D161" s="2">
        <v>46168</v>
      </c>
      <c r="E161" s="2">
        <v>46192</v>
      </c>
      <c r="F161" t="s">
        <v>23</v>
      </c>
      <c r="G161" t="s">
        <v>24</v>
      </c>
      <c r="H161" t="s">
        <v>683</v>
      </c>
      <c r="I161" t="s">
        <v>26</v>
      </c>
      <c r="J161" t="s">
        <v>27</v>
      </c>
      <c r="K161" t="s">
        <v>62</v>
      </c>
      <c r="L161" t="s">
        <v>29</v>
      </c>
      <c r="M161" t="s">
        <v>170</v>
      </c>
      <c r="N161" t="s">
        <v>38</v>
      </c>
      <c r="O161" t="s">
        <v>29</v>
      </c>
      <c r="P161" t="s">
        <v>542</v>
      </c>
      <c r="Q161" s="3" t="s">
        <v>684</v>
      </c>
    </row>
    <row r="162" spans="1:17" ht="15.6" hidden="1" x14ac:dyDescent="0.3">
      <c r="A162" s="2">
        <v>46168</v>
      </c>
      <c r="B162">
        <v>150</v>
      </c>
      <c r="C162" t="s">
        <v>685</v>
      </c>
      <c r="D162" s="2">
        <v>46168</v>
      </c>
      <c r="E162" s="2">
        <v>46192</v>
      </c>
      <c r="F162" t="s">
        <v>23</v>
      </c>
      <c r="G162" t="s">
        <v>34</v>
      </c>
      <c r="H162" t="s">
        <v>686</v>
      </c>
      <c r="I162" t="s">
        <v>26</v>
      </c>
      <c r="J162" t="s">
        <v>27</v>
      </c>
      <c r="K162" t="s">
        <v>214</v>
      </c>
      <c r="L162" t="s">
        <v>29</v>
      </c>
      <c r="M162" t="s">
        <v>103</v>
      </c>
      <c r="N162" t="s">
        <v>38</v>
      </c>
      <c r="O162" t="s">
        <v>38</v>
      </c>
      <c r="P162" t="s">
        <v>687</v>
      </c>
      <c r="Q162" s="3" t="s">
        <v>688</v>
      </c>
    </row>
    <row r="163" spans="1:17" ht="15.6" hidden="1" x14ac:dyDescent="0.3">
      <c r="A163" s="2">
        <v>46168</v>
      </c>
      <c r="B163">
        <v>149</v>
      </c>
      <c r="C163" t="s">
        <v>689</v>
      </c>
      <c r="D163" s="2">
        <v>46168</v>
      </c>
      <c r="E163" s="2">
        <v>46190</v>
      </c>
      <c r="F163" t="s">
        <v>71</v>
      </c>
      <c r="G163" t="s">
        <v>34</v>
      </c>
      <c r="H163" t="s">
        <v>690</v>
      </c>
      <c r="I163" t="s">
        <v>26</v>
      </c>
      <c r="J163" t="s">
        <v>691</v>
      </c>
      <c r="K163" t="s">
        <v>36</v>
      </c>
      <c r="L163" t="s">
        <v>29</v>
      </c>
      <c r="M163" t="s">
        <v>109</v>
      </c>
      <c r="N163" t="s">
        <v>29</v>
      </c>
      <c r="O163" t="s">
        <v>29</v>
      </c>
      <c r="P163" t="s">
        <v>31</v>
      </c>
      <c r="Q163" s="3" t="s">
        <v>692</v>
      </c>
    </row>
    <row r="164" spans="1:17" ht="15.6" hidden="1" x14ac:dyDescent="0.3">
      <c r="A164" s="2">
        <v>46168</v>
      </c>
      <c r="B164">
        <v>148</v>
      </c>
      <c r="C164" t="s">
        <v>693</v>
      </c>
      <c r="D164" s="2">
        <v>46168</v>
      </c>
      <c r="E164" s="2">
        <v>46195</v>
      </c>
      <c r="F164" t="s">
        <v>71</v>
      </c>
      <c r="G164" t="s">
        <v>34</v>
      </c>
      <c r="H164" t="s">
        <v>694</v>
      </c>
      <c r="I164" t="s">
        <v>26</v>
      </c>
      <c r="J164" t="s">
        <v>695</v>
      </c>
      <c r="K164" t="s">
        <v>28</v>
      </c>
      <c r="L164" t="s">
        <v>29</v>
      </c>
      <c r="M164" t="s">
        <v>696</v>
      </c>
      <c r="N164" t="s">
        <v>29</v>
      </c>
      <c r="O164" t="s">
        <v>29</v>
      </c>
      <c r="P164" t="s">
        <v>31</v>
      </c>
      <c r="Q164" s="3" t="s">
        <v>697</v>
      </c>
    </row>
    <row r="165" spans="1:17" ht="15.6" hidden="1" x14ac:dyDescent="0.3">
      <c r="A165" s="2">
        <v>46168</v>
      </c>
      <c r="B165">
        <v>147</v>
      </c>
      <c r="C165" t="s">
        <v>698</v>
      </c>
      <c r="D165" s="2">
        <v>46168</v>
      </c>
      <c r="E165" s="2">
        <v>46191</v>
      </c>
      <c r="F165" t="s">
        <v>71</v>
      </c>
      <c r="G165" t="s">
        <v>24</v>
      </c>
      <c r="H165" t="s">
        <v>699</v>
      </c>
      <c r="I165" t="s">
        <v>26</v>
      </c>
      <c r="J165" t="s">
        <v>339</v>
      </c>
      <c r="K165" t="s">
        <v>28</v>
      </c>
      <c r="L165" t="s">
        <v>29</v>
      </c>
      <c r="M165" t="s">
        <v>68</v>
      </c>
      <c r="N165" t="s">
        <v>29</v>
      </c>
      <c r="O165" t="s">
        <v>29</v>
      </c>
      <c r="P165" t="s">
        <v>31</v>
      </c>
      <c r="Q165" s="3" t="s">
        <v>700</v>
      </c>
    </row>
    <row r="166" spans="1:17" ht="15.6" hidden="1" x14ac:dyDescent="0.3">
      <c r="A166" s="2">
        <v>46168</v>
      </c>
      <c r="B166">
        <v>146</v>
      </c>
      <c r="C166" t="s">
        <v>701</v>
      </c>
      <c r="D166" s="2">
        <v>46168</v>
      </c>
      <c r="E166" s="2">
        <v>46191</v>
      </c>
      <c r="F166" t="s">
        <v>71</v>
      </c>
      <c r="G166" t="s">
        <v>24</v>
      </c>
      <c r="H166" t="s">
        <v>702</v>
      </c>
      <c r="I166" t="s">
        <v>26</v>
      </c>
      <c r="J166" t="s">
        <v>339</v>
      </c>
      <c r="K166" t="s">
        <v>28</v>
      </c>
      <c r="L166" t="s">
        <v>29</v>
      </c>
      <c r="M166" t="s">
        <v>68</v>
      </c>
      <c r="N166" t="s">
        <v>29</v>
      </c>
      <c r="O166" t="s">
        <v>29</v>
      </c>
      <c r="P166" t="s">
        <v>31</v>
      </c>
      <c r="Q166" s="3" t="s">
        <v>703</v>
      </c>
    </row>
    <row r="167" spans="1:17" ht="15.6" hidden="1" x14ac:dyDescent="0.3">
      <c r="A167" s="2">
        <v>46168</v>
      </c>
      <c r="B167">
        <v>145</v>
      </c>
      <c r="C167" t="s">
        <v>704</v>
      </c>
      <c r="D167" s="2">
        <v>46168</v>
      </c>
      <c r="E167" s="2">
        <v>46183</v>
      </c>
      <c r="F167" t="s">
        <v>48</v>
      </c>
      <c r="G167" t="s">
        <v>34</v>
      </c>
      <c r="H167" t="s">
        <v>705</v>
      </c>
      <c r="I167" t="s">
        <v>26</v>
      </c>
      <c r="J167" t="s">
        <v>706</v>
      </c>
      <c r="K167" t="s">
        <v>51</v>
      </c>
      <c r="L167" t="s">
        <v>29</v>
      </c>
      <c r="M167" t="s">
        <v>220</v>
      </c>
      <c r="N167" t="s">
        <v>38</v>
      </c>
      <c r="O167" t="s">
        <v>38</v>
      </c>
      <c r="P167" t="s">
        <v>707</v>
      </c>
      <c r="Q167" s="3" t="s">
        <v>708</v>
      </c>
    </row>
    <row r="168" spans="1:17" ht="15.6" hidden="1" x14ac:dyDescent="0.3">
      <c r="A168" s="2">
        <v>46168</v>
      </c>
      <c r="B168">
        <v>144</v>
      </c>
      <c r="C168" t="s">
        <v>709</v>
      </c>
      <c r="D168" s="2">
        <v>46168</v>
      </c>
      <c r="E168" s="2">
        <v>46185</v>
      </c>
      <c r="F168" t="s">
        <v>48</v>
      </c>
      <c r="G168" t="s">
        <v>24</v>
      </c>
      <c r="H168" t="s">
        <v>710</v>
      </c>
      <c r="I168" t="s">
        <v>26</v>
      </c>
      <c r="J168" t="s">
        <v>339</v>
      </c>
      <c r="K168" t="s">
        <v>51</v>
      </c>
      <c r="L168" t="s">
        <v>29</v>
      </c>
      <c r="M168" t="s">
        <v>103</v>
      </c>
      <c r="N168" t="s">
        <v>38</v>
      </c>
      <c r="O168" t="s">
        <v>38</v>
      </c>
      <c r="P168" t="s">
        <v>711</v>
      </c>
      <c r="Q168" s="3" t="s">
        <v>712</v>
      </c>
    </row>
    <row r="169" spans="1:17" ht="15.6" hidden="1" x14ac:dyDescent="0.3">
      <c r="A169" s="2">
        <v>46168</v>
      </c>
      <c r="B169">
        <v>143</v>
      </c>
      <c r="C169" t="s">
        <v>713</v>
      </c>
      <c r="D169" s="2">
        <v>46168</v>
      </c>
      <c r="E169" s="2">
        <v>46174</v>
      </c>
      <c r="F169" t="s">
        <v>714</v>
      </c>
      <c r="G169" t="s">
        <v>24</v>
      </c>
      <c r="H169" t="s">
        <v>715</v>
      </c>
      <c r="I169" t="s">
        <v>26</v>
      </c>
      <c r="J169" t="s">
        <v>716</v>
      </c>
      <c r="K169" t="s">
        <v>43</v>
      </c>
      <c r="L169" t="s">
        <v>29</v>
      </c>
      <c r="M169" t="s">
        <v>109</v>
      </c>
      <c r="N169" t="s">
        <v>29</v>
      </c>
      <c r="O169" t="s">
        <v>29</v>
      </c>
      <c r="P169" t="s">
        <v>31</v>
      </c>
      <c r="Q169" s="3" t="s">
        <v>717</v>
      </c>
    </row>
    <row r="170" spans="1:17" ht="15.6" hidden="1" x14ac:dyDescent="0.3">
      <c r="A170" s="2">
        <v>46168</v>
      </c>
      <c r="B170">
        <v>142</v>
      </c>
      <c r="C170" t="s">
        <v>718</v>
      </c>
      <c r="D170" s="2">
        <v>46168</v>
      </c>
      <c r="E170" s="2">
        <v>46174</v>
      </c>
      <c r="F170" t="s">
        <v>71</v>
      </c>
      <c r="G170" t="s">
        <v>24</v>
      </c>
      <c r="H170" t="s">
        <v>719</v>
      </c>
      <c r="I170" t="s">
        <v>26</v>
      </c>
      <c r="J170" t="s">
        <v>716</v>
      </c>
      <c r="K170" t="s">
        <v>43</v>
      </c>
      <c r="L170" t="s">
        <v>29</v>
      </c>
      <c r="M170" t="s">
        <v>109</v>
      </c>
      <c r="N170" t="s">
        <v>29</v>
      </c>
      <c r="O170" t="s">
        <v>29</v>
      </c>
      <c r="P170" t="s">
        <v>31</v>
      </c>
      <c r="Q170" s="3" t="s">
        <v>720</v>
      </c>
    </row>
    <row r="171" spans="1:17" ht="15.6" hidden="1" x14ac:dyDescent="0.3">
      <c r="A171" s="2">
        <v>46168</v>
      </c>
      <c r="B171">
        <v>141</v>
      </c>
      <c r="C171" t="s">
        <v>721</v>
      </c>
      <c r="D171" s="2">
        <v>46168</v>
      </c>
      <c r="E171" s="2">
        <v>46188</v>
      </c>
      <c r="F171" t="s">
        <v>48</v>
      </c>
      <c r="G171" t="s">
        <v>24</v>
      </c>
      <c r="H171" t="s">
        <v>722</v>
      </c>
      <c r="I171" t="s">
        <v>26</v>
      </c>
      <c r="J171" t="s">
        <v>339</v>
      </c>
      <c r="K171" t="s">
        <v>51</v>
      </c>
      <c r="L171" t="s">
        <v>29</v>
      </c>
      <c r="M171" t="s">
        <v>135</v>
      </c>
      <c r="N171" t="s">
        <v>38</v>
      </c>
      <c r="O171" t="s">
        <v>38</v>
      </c>
      <c r="P171" t="s">
        <v>723</v>
      </c>
      <c r="Q171" s="3" t="s">
        <v>724</v>
      </c>
    </row>
    <row r="172" spans="1:17" ht="15.6" hidden="1" x14ac:dyDescent="0.3">
      <c r="A172" s="2">
        <v>46168</v>
      </c>
      <c r="B172">
        <v>140</v>
      </c>
      <c r="C172" t="s">
        <v>725</v>
      </c>
      <c r="D172" s="2">
        <v>46168</v>
      </c>
      <c r="E172" s="2">
        <v>46183</v>
      </c>
      <c r="F172" t="s">
        <v>71</v>
      </c>
      <c r="G172" t="s">
        <v>72</v>
      </c>
      <c r="H172" t="s">
        <v>726</v>
      </c>
      <c r="I172" t="s">
        <v>26</v>
      </c>
      <c r="J172" t="s">
        <v>716</v>
      </c>
      <c r="K172" t="s">
        <v>43</v>
      </c>
      <c r="L172" t="s">
        <v>29</v>
      </c>
      <c r="M172" t="s">
        <v>727</v>
      </c>
      <c r="N172" t="s">
        <v>29</v>
      </c>
      <c r="O172" t="s">
        <v>29</v>
      </c>
      <c r="P172" t="s">
        <v>31</v>
      </c>
      <c r="Q172" s="3" t="s">
        <v>728</v>
      </c>
    </row>
    <row r="173" spans="1:17" ht="15.6" hidden="1" x14ac:dyDescent="0.3">
      <c r="A173" s="2">
        <v>46168</v>
      </c>
      <c r="B173">
        <v>139</v>
      </c>
      <c r="C173" t="s">
        <v>729</v>
      </c>
      <c r="D173" s="2">
        <v>46168</v>
      </c>
      <c r="E173" s="2">
        <v>46183</v>
      </c>
      <c r="F173" t="s">
        <v>162</v>
      </c>
      <c r="G173" t="s">
        <v>24</v>
      </c>
      <c r="H173" t="s">
        <v>730</v>
      </c>
      <c r="I173" t="s">
        <v>26</v>
      </c>
      <c r="J173" t="s">
        <v>339</v>
      </c>
      <c r="K173" t="s">
        <v>43</v>
      </c>
      <c r="L173" t="s">
        <v>29</v>
      </c>
      <c r="M173" t="s">
        <v>624</v>
      </c>
      <c r="N173" t="s">
        <v>29</v>
      </c>
      <c r="O173" t="s">
        <v>29</v>
      </c>
      <c r="P173" t="s">
        <v>31</v>
      </c>
      <c r="Q173" s="3" t="s">
        <v>731</v>
      </c>
    </row>
    <row r="174" spans="1:17" ht="15.6" hidden="1" x14ac:dyDescent="0.3">
      <c r="A174" s="2">
        <v>46168</v>
      </c>
      <c r="B174">
        <v>138</v>
      </c>
      <c r="C174" t="s">
        <v>732</v>
      </c>
      <c r="D174" s="2">
        <v>46168</v>
      </c>
      <c r="E174" s="2">
        <v>46183</v>
      </c>
      <c r="F174" t="s">
        <v>71</v>
      </c>
      <c r="G174" t="s">
        <v>34</v>
      </c>
      <c r="H174" t="s">
        <v>733</v>
      </c>
      <c r="I174" t="s">
        <v>26</v>
      </c>
      <c r="J174" t="s">
        <v>27</v>
      </c>
      <c r="K174" t="s">
        <v>62</v>
      </c>
      <c r="L174" t="s">
        <v>29</v>
      </c>
      <c r="M174" t="s">
        <v>734</v>
      </c>
      <c r="N174" t="s">
        <v>29</v>
      </c>
      <c r="O174" t="s">
        <v>29</v>
      </c>
      <c r="P174" t="s">
        <v>31</v>
      </c>
      <c r="Q174" s="3" t="s">
        <v>735</v>
      </c>
    </row>
    <row r="175" spans="1:17" ht="15.6" hidden="1" x14ac:dyDescent="0.3">
      <c r="A175" s="2">
        <v>46168</v>
      </c>
      <c r="B175">
        <v>137</v>
      </c>
      <c r="C175" t="s">
        <v>736</v>
      </c>
      <c r="D175" s="2">
        <v>46168</v>
      </c>
      <c r="E175" s="2">
        <v>46191</v>
      </c>
      <c r="F175" t="s">
        <v>71</v>
      </c>
      <c r="G175" t="s">
        <v>24</v>
      </c>
      <c r="H175" t="s">
        <v>737</v>
      </c>
      <c r="I175" t="s">
        <v>26</v>
      </c>
      <c r="J175" t="s">
        <v>339</v>
      </c>
      <c r="K175" t="s">
        <v>28</v>
      </c>
      <c r="L175" t="s">
        <v>29</v>
      </c>
      <c r="M175" t="s">
        <v>103</v>
      </c>
      <c r="N175" t="s">
        <v>29</v>
      </c>
      <c r="O175" t="s">
        <v>29</v>
      </c>
      <c r="P175" t="s">
        <v>31</v>
      </c>
      <c r="Q175" s="3" t="s">
        <v>738</v>
      </c>
    </row>
    <row r="176" spans="1:17" ht="15.6" hidden="1" x14ac:dyDescent="0.3">
      <c r="A176" s="2">
        <v>46168</v>
      </c>
      <c r="B176">
        <v>136</v>
      </c>
      <c r="C176" t="s">
        <v>739</v>
      </c>
      <c r="D176" s="2">
        <v>46168</v>
      </c>
      <c r="E176" s="2">
        <v>46177</v>
      </c>
      <c r="F176" t="s">
        <v>71</v>
      </c>
      <c r="G176" t="s">
        <v>24</v>
      </c>
      <c r="H176" t="s">
        <v>740</v>
      </c>
      <c r="I176" t="s">
        <v>26</v>
      </c>
      <c r="J176" t="s">
        <v>149</v>
      </c>
      <c r="K176" t="s">
        <v>43</v>
      </c>
      <c r="L176" t="s">
        <v>29</v>
      </c>
      <c r="M176" t="s">
        <v>109</v>
      </c>
      <c r="N176" t="s">
        <v>29</v>
      </c>
      <c r="O176" t="s">
        <v>29</v>
      </c>
      <c r="P176" t="s">
        <v>31</v>
      </c>
      <c r="Q176" s="3" t="s">
        <v>741</v>
      </c>
    </row>
    <row r="177" spans="1:17" ht="15.6" hidden="1" x14ac:dyDescent="0.3">
      <c r="A177" s="2">
        <v>46168</v>
      </c>
      <c r="B177">
        <v>135</v>
      </c>
      <c r="C177" t="s">
        <v>742</v>
      </c>
      <c r="D177" s="2">
        <v>46168</v>
      </c>
      <c r="E177" s="2">
        <v>46182</v>
      </c>
      <c r="F177" t="s">
        <v>71</v>
      </c>
      <c r="G177" t="s">
        <v>34</v>
      </c>
      <c r="H177" t="s">
        <v>743</v>
      </c>
      <c r="I177" t="s">
        <v>26</v>
      </c>
      <c r="J177" t="s">
        <v>744</v>
      </c>
      <c r="K177" t="s">
        <v>86</v>
      </c>
      <c r="L177" t="s">
        <v>29</v>
      </c>
      <c r="M177" t="s">
        <v>340</v>
      </c>
      <c r="N177" t="s">
        <v>29</v>
      </c>
      <c r="O177" t="s">
        <v>29</v>
      </c>
      <c r="P177" t="s">
        <v>31</v>
      </c>
      <c r="Q177" s="3" t="s">
        <v>745</v>
      </c>
    </row>
    <row r="178" spans="1:17" ht="15.6" hidden="1" x14ac:dyDescent="0.3">
      <c r="A178" s="2">
        <v>46168</v>
      </c>
      <c r="B178">
        <v>134</v>
      </c>
      <c r="C178" t="s">
        <v>746</v>
      </c>
      <c r="D178" s="2">
        <v>46168</v>
      </c>
      <c r="E178" s="2">
        <v>46177</v>
      </c>
      <c r="F178" t="s">
        <v>747</v>
      </c>
      <c r="G178" t="s">
        <v>24</v>
      </c>
      <c r="H178" t="s">
        <v>748</v>
      </c>
      <c r="I178" t="s">
        <v>26</v>
      </c>
      <c r="J178" t="s">
        <v>749</v>
      </c>
      <c r="K178" t="s">
        <v>43</v>
      </c>
      <c r="L178" t="s">
        <v>29</v>
      </c>
      <c r="M178" t="s">
        <v>109</v>
      </c>
      <c r="N178" t="s">
        <v>29</v>
      </c>
      <c r="O178" t="s">
        <v>29</v>
      </c>
      <c r="P178" t="s">
        <v>31</v>
      </c>
      <c r="Q178" s="3" t="s">
        <v>750</v>
      </c>
    </row>
    <row r="179" spans="1:17" ht="15.6" hidden="1" x14ac:dyDescent="0.3">
      <c r="A179" s="2">
        <v>46168</v>
      </c>
      <c r="B179">
        <v>133</v>
      </c>
      <c r="C179" t="s">
        <v>751</v>
      </c>
      <c r="D179" s="2">
        <v>46168</v>
      </c>
      <c r="E179" s="2">
        <v>46175</v>
      </c>
      <c r="F179" t="s">
        <v>71</v>
      </c>
      <c r="G179" t="s">
        <v>34</v>
      </c>
      <c r="H179" t="s">
        <v>752</v>
      </c>
      <c r="I179" t="s">
        <v>26</v>
      </c>
      <c r="J179" t="s">
        <v>744</v>
      </c>
      <c r="K179" t="s">
        <v>86</v>
      </c>
      <c r="L179" t="s">
        <v>29</v>
      </c>
      <c r="M179" t="s">
        <v>94</v>
      </c>
      <c r="N179" t="s">
        <v>29</v>
      </c>
      <c r="O179" t="s">
        <v>29</v>
      </c>
      <c r="P179" t="s">
        <v>31</v>
      </c>
      <c r="Q179" s="3" t="s">
        <v>753</v>
      </c>
    </row>
    <row r="180" spans="1:17" ht="15.6" hidden="1" x14ac:dyDescent="0.3">
      <c r="A180" s="2">
        <v>46168</v>
      </c>
      <c r="B180">
        <v>132</v>
      </c>
      <c r="C180" t="s">
        <v>754</v>
      </c>
      <c r="D180" s="2">
        <v>46168</v>
      </c>
      <c r="E180" s="2">
        <v>46206</v>
      </c>
      <c r="F180" t="s">
        <v>48</v>
      </c>
      <c r="G180" t="s">
        <v>34</v>
      </c>
      <c r="H180" t="s">
        <v>755</v>
      </c>
      <c r="I180" t="s">
        <v>26</v>
      </c>
      <c r="J180" t="s">
        <v>756</v>
      </c>
      <c r="K180" t="s">
        <v>51</v>
      </c>
      <c r="L180" t="s">
        <v>29</v>
      </c>
      <c r="M180" t="s">
        <v>757</v>
      </c>
      <c r="N180" t="s">
        <v>38</v>
      </c>
      <c r="O180" t="s">
        <v>38</v>
      </c>
      <c r="P180" t="s">
        <v>758</v>
      </c>
      <c r="Q180" s="3" t="s">
        <v>759</v>
      </c>
    </row>
    <row r="181" spans="1:17" ht="15.6" hidden="1" x14ac:dyDescent="0.3">
      <c r="A181" s="2">
        <v>46168</v>
      </c>
      <c r="B181">
        <v>131</v>
      </c>
      <c r="C181" t="s">
        <v>760</v>
      </c>
      <c r="D181" s="2">
        <v>46168</v>
      </c>
      <c r="E181" s="2">
        <v>46178</v>
      </c>
      <c r="F181" t="s">
        <v>23</v>
      </c>
      <c r="G181" t="s">
        <v>34</v>
      </c>
      <c r="H181" t="s">
        <v>761</v>
      </c>
      <c r="I181" t="s">
        <v>26</v>
      </c>
      <c r="J181" t="s">
        <v>27</v>
      </c>
      <c r="K181" t="s">
        <v>62</v>
      </c>
      <c r="L181" t="s">
        <v>29</v>
      </c>
      <c r="M181" t="s">
        <v>103</v>
      </c>
      <c r="N181" t="s">
        <v>29</v>
      </c>
      <c r="O181" t="s">
        <v>29</v>
      </c>
      <c r="P181" t="s">
        <v>31</v>
      </c>
      <c r="Q181" s="3" t="s">
        <v>762</v>
      </c>
    </row>
    <row r="182" spans="1:17" ht="15.6" hidden="1" x14ac:dyDescent="0.3">
      <c r="A182" s="2">
        <v>46168</v>
      </c>
      <c r="B182">
        <v>130</v>
      </c>
      <c r="C182" t="s">
        <v>763</v>
      </c>
      <c r="D182" s="2">
        <v>46168</v>
      </c>
      <c r="E182" s="2">
        <v>46174</v>
      </c>
      <c r="F182" t="s">
        <v>162</v>
      </c>
      <c r="G182" t="s">
        <v>24</v>
      </c>
      <c r="H182" t="s">
        <v>764</v>
      </c>
      <c r="I182" t="s">
        <v>26</v>
      </c>
      <c r="J182" t="s">
        <v>716</v>
      </c>
      <c r="K182" t="s">
        <v>43</v>
      </c>
      <c r="L182" t="s">
        <v>29</v>
      </c>
      <c r="M182" t="s">
        <v>109</v>
      </c>
      <c r="N182" t="s">
        <v>29</v>
      </c>
      <c r="O182" t="s">
        <v>29</v>
      </c>
      <c r="P182" t="s">
        <v>31</v>
      </c>
      <c r="Q182" s="3" t="s">
        <v>765</v>
      </c>
    </row>
    <row r="183" spans="1:17" ht="15.6" hidden="1" x14ac:dyDescent="0.3">
      <c r="A183" s="2">
        <v>46168</v>
      </c>
      <c r="B183">
        <v>129</v>
      </c>
      <c r="C183" t="s">
        <v>766</v>
      </c>
      <c r="D183" s="2">
        <v>46168</v>
      </c>
      <c r="E183" s="2">
        <v>46182</v>
      </c>
      <c r="F183" t="s">
        <v>23</v>
      </c>
      <c r="G183" t="s">
        <v>34</v>
      </c>
      <c r="H183" t="s">
        <v>767</v>
      </c>
      <c r="I183" t="s">
        <v>26</v>
      </c>
      <c r="J183" t="s">
        <v>27</v>
      </c>
      <c r="K183" t="s">
        <v>62</v>
      </c>
      <c r="L183" t="s">
        <v>29</v>
      </c>
      <c r="M183" t="s">
        <v>199</v>
      </c>
      <c r="N183" t="s">
        <v>38</v>
      </c>
      <c r="O183" t="s">
        <v>29</v>
      </c>
      <c r="P183" t="s">
        <v>768</v>
      </c>
      <c r="Q183" s="3" t="s">
        <v>769</v>
      </c>
    </row>
    <row r="184" spans="1:17" ht="15.6" hidden="1" x14ac:dyDescent="0.3">
      <c r="A184" s="2">
        <v>46168</v>
      </c>
      <c r="B184">
        <v>128</v>
      </c>
      <c r="C184" t="s">
        <v>770</v>
      </c>
      <c r="D184" s="2">
        <v>46168</v>
      </c>
      <c r="E184" s="2">
        <v>46177</v>
      </c>
      <c r="F184" t="s">
        <v>747</v>
      </c>
      <c r="G184" t="s">
        <v>24</v>
      </c>
      <c r="H184" t="s">
        <v>771</v>
      </c>
      <c r="I184" t="s">
        <v>26</v>
      </c>
      <c r="J184" t="s">
        <v>749</v>
      </c>
      <c r="K184" t="s">
        <v>43</v>
      </c>
      <c r="L184" t="s">
        <v>29</v>
      </c>
      <c r="M184" t="s">
        <v>109</v>
      </c>
      <c r="N184" t="s">
        <v>29</v>
      </c>
      <c r="O184" t="s">
        <v>29</v>
      </c>
      <c r="P184" t="s">
        <v>31</v>
      </c>
      <c r="Q184" s="3" t="s">
        <v>772</v>
      </c>
    </row>
    <row r="185" spans="1:17" ht="15.6" hidden="1" x14ac:dyDescent="0.3">
      <c r="A185" s="2">
        <v>46168</v>
      </c>
      <c r="B185">
        <v>127</v>
      </c>
      <c r="C185" t="s">
        <v>773</v>
      </c>
      <c r="D185" s="2">
        <v>46168</v>
      </c>
      <c r="E185" s="2">
        <v>46183</v>
      </c>
      <c r="F185" t="s">
        <v>71</v>
      </c>
      <c r="G185" t="s">
        <v>24</v>
      </c>
      <c r="H185" t="s">
        <v>774</v>
      </c>
      <c r="I185" t="s">
        <v>26</v>
      </c>
      <c r="J185" t="s">
        <v>775</v>
      </c>
      <c r="K185" t="s">
        <v>28</v>
      </c>
      <c r="L185" t="s">
        <v>29</v>
      </c>
      <c r="M185" t="s">
        <v>103</v>
      </c>
      <c r="N185" t="s">
        <v>38</v>
      </c>
      <c r="O185" t="s">
        <v>38</v>
      </c>
      <c r="P185" t="s">
        <v>776</v>
      </c>
      <c r="Q185" s="3" t="s">
        <v>777</v>
      </c>
    </row>
    <row r="186" spans="1:17" ht="15.6" hidden="1" x14ac:dyDescent="0.3">
      <c r="A186" s="2">
        <v>46168</v>
      </c>
      <c r="B186">
        <v>126</v>
      </c>
      <c r="C186" t="s">
        <v>778</v>
      </c>
      <c r="D186" s="2">
        <v>46168</v>
      </c>
      <c r="E186" s="2">
        <v>46174</v>
      </c>
      <c r="F186" t="s">
        <v>71</v>
      </c>
      <c r="G186" t="s">
        <v>24</v>
      </c>
      <c r="H186" t="s">
        <v>779</v>
      </c>
      <c r="I186" t="s">
        <v>26</v>
      </c>
      <c r="J186" t="s">
        <v>775</v>
      </c>
      <c r="K186" t="s">
        <v>43</v>
      </c>
      <c r="L186" t="s">
        <v>29</v>
      </c>
      <c r="M186" t="s">
        <v>109</v>
      </c>
      <c r="N186" t="s">
        <v>29</v>
      </c>
      <c r="O186" t="s">
        <v>29</v>
      </c>
      <c r="P186" t="s">
        <v>31</v>
      </c>
      <c r="Q186" s="3" t="s">
        <v>780</v>
      </c>
    </row>
    <row r="187" spans="1:17" ht="15.6" hidden="1" x14ac:dyDescent="0.3">
      <c r="A187" s="2">
        <v>46168</v>
      </c>
      <c r="B187">
        <v>125</v>
      </c>
      <c r="C187" t="s">
        <v>781</v>
      </c>
      <c r="D187" s="2">
        <v>46168</v>
      </c>
      <c r="E187" s="2">
        <v>46192</v>
      </c>
      <c r="F187" t="s">
        <v>48</v>
      </c>
      <c r="G187" t="s">
        <v>34</v>
      </c>
      <c r="H187" t="s">
        <v>782</v>
      </c>
      <c r="I187" t="s">
        <v>26</v>
      </c>
      <c r="J187" t="s">
        <v>756</v>
      </c>
      <c r="K187" t="s">
        <v>51</v>
      </c>
      <c r="L187" t="s">
        <v>29</v>
      </c>
      <c r="M187" t="s">
        <v>199</v>
      </c>
      <c r="N187" t="s">
        <v>29</v>
      </c>
      <c r="O187" t="s">
        <v>29</v>
      </c>
      <c r="P187" t="s">
        <v>31</v>
      </c>
      <c r="Q187" s="3" t="s">
        <v>783</v>
      </c>
    </row>
    <row r="188" spans="1:17" ht="15.6" hidden="1" x14ac:dyDescent="0.3">
      <c r="A188" s="2">
        <v>46168</v>
      </c>
      <c r="B188">
        <v>124</v>
      </c>
      <c r="C188" t="s">
        <v>784</v>
      </c>
      <c r="D188" s="2">
        <v>46168</v>
      </c>
      <c r="E188" s="2">
        <v>46206</v>
      </c>
      <c r="F188" t="s">
        <v>48</v>
      </c>
      <c r="G188" t="s">
        <v>34</v>
      </c>
      <c r="H188" t="s">
        <v>785</v>
      </c>
      <c r="I188" t="s">
        <v>26</v>
      </c>
      <c r="J188" t="s">
        <v>756</v>
      </c>
      <c r="K188" t="s">
        <v>51</v>
      </c>
      <c r="L188" t="s">
        <v>29</v>
      </c>
      <c r="M188" t="s">
        <v>68</v>
      </c>
      <c r="N188" t="s">
        <v>29</v>
      </c>
      <c r="O188" t="s">
        <v>29</v>
      </c>
      <c r="P188" t="s">
        <v>31</v>
      </c>
      <c r="Q188" s="3" t="s">
        <v>786</v>
      </c>
    </row>
    <row r="189" spans="1:17" ht="15.6" hidden="1" x14ac:dyDescent="0.3">
      <c r="A189" s="2">
        <v>46168</v>
      </c>
      <c r="B189">
        <v>123</v>
      </c>
      <c r="C189" t="s">
        <v>787</v>
      </c>
      <c r="D189" s="2">
        <v>46168</v>
      </c>
      <c r="E189" s="2">
        <v>46184</v>
      </c>
      <c r="F189" t="s">
        <v>48</v>
      </c>
      <c r="G189" t="s">
        <v>24</v>
      </c>
      <c r="H189" t="s">
        <v>788</v>
      </c>
      <c r="I189" t="s">
        <v>26</v>
      </c>
      <c r="J189" t="s">
        <v>789</v>
      </c>
      <c r="K189" t="s">
        <v>86</v>
      </c>
      <c r="L189" t="s">
        <v>29</v>
      </c>
      <c r="M189" t="s">
        <v>231</v>
      </c>
      <c r="N189" t="s">
        <v>38</v>
      </c>
      <c r="O189" t="s">
        <v>38</v>
      </c>
      <c r="P189" t="s">
        <v>790</v>
      </c>
      <c r="Q189" s="3" t="s">
        <v>791</v>
      </c>
    </row>
    <row r="190" spans="1:17" ht="15.6" hidden="1" x14ac:dyDescent="0.3">
      <c r="A190" s="2">
        <v>46169</v>
      </c>
      <c r="B190">
        <v>122</v>
      </c>
      <c r="C190" t="s">
        <v>792</v>
      </c>
      <c r="D190" s="2">
        <v>46169</v>
      </c>
      <c r="E190" s="2">
        <v>46199</v>
      </c>
      <c r="F190" t="s">
        <v>71</v>
      </c>
      <c r="G190" t="s">
        <v>34</v>
      </c>
      <c r="H190" t="s">
        <v>793</v>
      </c>
      <c r="I190" t="s">
        <v>26</v>
      </c>
      <c r="J190" t="s">
        <v>564</v>
      </c>
      <c r="K190" t="s">
        <v>28</v>
      </c>
      <c r="L190" t="s">
        <v>29</v>
      </c>
      <c r="M190" t="s">
        <v>52</v>
      </c>
      <c r="N190" t="s">
        <v>29</v>
      </c>
      <c r="O190" t="s">
        <v>29</v>
      </c>
      <c r="P190" t="s">
        <v>31</v>
      </c>
      <c r="Q190" s="3" t="s">
        <v>794</v>
      </c>
    </row>
    <row r="191" spans="1:17" ht="15.6" hidden="1" x14ac:dyDescent="0.3">
      <c r="A191" s="2">
        <v>46169</v>
      </c>
      <c r="B191">
        <v>121</v>
      </c>
      <c r="C191" t="s">
        <v>795</v>
      </c>
      <c r="D191" s="2">
        <v>46169</v>
      </c>
      <c r="E191" s="2">
        <v>46184</v>
      </c>
      <c r="F191" t="s">
        <v>71</v>
      </c>
      <c r="G191" t="s">
        <v>24</v>
      </c>
      <c r="H191" t="s">
        <v>796</v>
      </c>
      <c r="I191" t="s">
        <v>26</v>
      </c>
      <c r="J191" t="s">
        <v>179</v>
      </c>
      <c r="K191" t="s">
        <v>51</v>
      </c>
      <c r="L191" t="s">
        <v>29</v>
      </c>
      <c r="M191" t="s">
        <v>199</v>
      </c>
      <c r="N191" t="s">
        <v>29</v>
      </c>
      <c r="O191" t="s">
        <v>29</v>
      </c>
      <c r="P191" t="s">
        <v>31</v>
      </c>
      <c r="Q191" s="3" t="s">
        <v>797</v>
      </c>
    </row>
    <row r="192" spans="1:17" ht="15.6" hidden="1" x14ac:dyDescent="0.3">
      <c r="A192" s="2">
        <v>46169</v>
      </c>
      <c r="B192">
        <v>120</v>
      </c>
      <c r="C192" t="s">
        <v>798</v>
      </c>
      <c r="D192" s="2">
        <v>46169</v>
      </c>
      <c r="E192" s="2">
        <v>46177</v>
      </c>
      <c r="F192" t="s">
        <v>71</v>
      </c>
      <c r="G192" t="s">
        <v>24</v>
      </c>
      <c r="H192" t="s">
        <v>799</v>
      </c>
      <c r="I192" t="s">
        <v>26</v>
      </c>
      <c r="J192" t="s">
        <v>204</v>
      </c>
      <c r="K192" t="s">
        <v>51</v>
      </c>
      <c r="L192" t="s">
        <v>29</v>
      </c>
      <c r="M192" t="s">
        <v>499</v>
      </c>
      <c r="N192" t="s">
        <v>29</v>
      </c>
      <c r="O192" t="s">
        <v>29</v>
      </c>
      <c r="P192" t="s">
        <v>31</v>
      </c>
      <c r="Q192" s="3" t="s">
        <v>800</v>
      </c>
    </row>
    <row r="193" spans="1:17" ht="15.6" hidden="1" x14ac:dyDescent="0.3">
      <c r="A193" s="2">
        <v>46169</v>
      </c>
      <c r="B193">
        <v>119</v>
      </c>
      <c r="C193" t="s">
        <v>801</v>
      </c>
      <c r="D193" s="2">
        <v>46169</v>
      </c>
      <c r="E193" s="2">
        <v>46171</v>
      </c>
      <c r="F193" t="s">
        <v>48</v>
      </c>
      <c r="G193" t="s">
        <v>24</v>
      </c>
      <c r="H193" t="s">
        <v>802</v>
      </c>
      <c r="I193" t="s">
        <v>26</v>
      </c>
      <c r="J193" t="s">
        <v>803</v>
      </c>
      <c r="K193" t="s">
        <v>51</v>
      </c>
      <c r="L193" t="s">
        <v>29</v>
      </c>
      <c r="M193" t="s">
        <v>68</v>
      </c>
      <c r="N193" t="s">
        <v>29</v>
      </c>
      <c r="O193" t="s">
        <v>29</v>
      </c>
      <c r="P193" t="s">
        <v>31</v>
      </c>
      <c r="Q193" s="3" t="s">
        <v>804</v>
      </c>
    </row>
    <row r="194" spans="1:17" ht="15.6" hidden="1" x14ac:dyDescent="0.3">
      <c r="A194" s="2">
        <v>46169</v>
      </c>
      <c r="B194">
        <v>118</v>
      </c>
      <c r="C194" t="s">
        <v>805</v>
      </c>
      <c r="D194" s="2">
        <v>46169</v>
      </c>
      <c r="E194" s="2">
        <v>46178</v>
      </c>
      <c r="F194" t="s">
        <v>48</v>
      </c>
      <c r="G194" t="s">
        <v>24</v>
      </c>
      <c r="H194" t="s">
        <v>806</v>
      </c>
      <c r="I194" t="s">
        <v>26</v>
      </c>
      <c r="J194" t="s">
        <v>803</v>
      </c>
      <c r="K194" t="s">
        <v>51</v>
      </c>
      <c r="L194" t="s">
        <v>29</v>
      </c>
      <c r="M194" t="s">
        <v>103</v>
      </c>
      <c r="N194" t="s">
        <v>29</v>
      </c>
      <c r="O194" t="s">
        <v>29</v>
      </c>
      <c r="P194" t="s">
        <v>31</v>
      </c>
      <c r="Q194" s="3" t="s">
        <v>807</v>
      </c>
    </row>
    <row r="195" spans="1:17" ht="15.6" hidden="1" x14ac:dyDescent="0.3">
      <c r="A195" s="2">
        <v>46169</v>
      </c>
      <c r="B195">
        <v>117</v>
      </c>
      <c r="C195" t="s">
        <v>808</v>
      </c>
      <c r="D195" s="2">
        <v>46169</v>
      </c>
      <c r="E195" s="2">
        <v>46176</v>
      </c>
      <c r="F195" t="s">
        <v>162</v>
      </c>
      <c r="G195" t="s">
        <v>24</v>
      </c>
      <c r="H195" t="s">
        <v>809</v>
      </c>
      <c r="I195" t="s">
        <v>26</v>
      </c>
      <c r="J195" t="s">
        <v>324</v>
      </c>
      <c r="K195" t="s">
        <v>51</v>
      </c>
      <c r="L195" t="s">
        <v>29</v>
      </c>
      <c r="M195" t="s">
        <v>68</v>
      </c>
      <c r="N195" t="s">
        <v>29</v>
      </c>
      <c r="O195" t="s">
        <v>29</v>
      </c>
      <c r="P195" t="s">
        <v>31</v>
      </c>
      <c r="Q195" s="3" t="s">
        <v>810</v>
      </c>
    </row>
    <row r="196" spans="1:17" hidden="1" x14ac:dyDescent="0.3">
      <c r="A196" s="2">
        <v>46169</v>
      </c>
      <c r="B196">
        <v>116</v>
      </c>
      <c r="C196" t="s">
        <v>811</v>
      </c>
      <c r="D196" s="2">
        <v>46169</v>
      </c>
      <c r="E196" s="2">
        <v>46182</v>
      </c>
      <c r="F196" t="s">
        <v>48</v>
      </c>
      <c r="G196" t="s">
        <v>34</v>
      </c>
      <c r="H196" t="s">
        <v>812</v>
      </c>
      <c r="I196" t="s">
        <v>26</v>
      </c>
      <c r="J196" t="s">
        <v>803</v>
      </c>
      <c r="K196" t="s">
        <v>51</v>
      </c>
      <c r="L196" t="s">
        <v>29</v>
      </c>
      <c r="M196" t="s">
        <v>170</v>
      </c>
      <c r="N196" t="s">
        <v>38</v>
      </c>
      <c r="O196" t="s">
        <v>38</v>
      </c>
      <c r="P196" t="s">
        <v>813</v>
      </c>
    </row>
    <row r="197" spans="1:17" ht="15.6" hidden="1" x14ac:dyDescent="0.3">
      <c r="A197" s="2">
        <v>46169</v>
      </c>
      <c r="B197">
        <v>115</v>
      </c>
      <c r="C197" t="s">
        <v>814</v>
      </c>
      <c r="D197" s="2">
        <v>46169</v>
      </c>
      <c r="E197" s="2">
        <v>46178</v>
      </c>
      <c r="F197" t="s">
        <v>48</v>
      </c>
      <c r="G197" t="s">
        <v>24</v>
      </c>
      <c r="H197" t="s">
        <v>815</v>
      </c>
      <c r="I197" t="s">
        <v>26</v>
      </c>
      <c r="J197" t="s">
        <v>204</v>
      </c>
      <c r="K197" t="s">
        <v>51</v>
      </c>
      <c r="L197" t="s">
        <v>29</v>
      </c>
      <c r="M197" t="s">
        <v>103</v>
      </c>
      <c r="N197" t="s">
        <v>29</v>
      </c>
      <c r="O197" t="s">
        <v>29</v>
      </c>
      <c r="P197" t="s">
        <v>31</v>
      </c>
      <c r="Q197" s="3" t="s">
        <v>816</v>
      </c>
    </row>
    <row r="198" spans="1:17" ht="15.6" hidden="1" x14ac:dyDescent="0.3">
      <c r="A198" s="2">
        <v>46169</v>
      </c>
      <c r="B198">
        <v>114</v>
      </c>
      <c r="C198" t="s">
        <v>817</v>
      </c>
      <c r="D198" s="2">
        <v>46169</v>
      </c>
      <c r="E198" s="2">
        <v>46176</v>
      </c>
      <c r="F198" t="s">
        <v>71</v>
      </c>
      <c r="G198" t="s">
        <v>24</v>
      </c>
      <c r="H198" t="s">
        <v>818</v>
      </c>
      <c r="I198" t="s">
        <v>26</v>
      </c>
      <c r="J198" t="s">
        <v>680</v>
      </c>
      <c r="K198" t="s">
        <v>86</v>
      </c>
      <c r="L198" t="s">
        <v>29</v>
      </c>
      <c r="M198" t="s">
        <v>94</v>
      </c>
      <c r="N198" t="s">
        <v>29</v>
      </c>
      <c r="O198" t="s">
        <v>29</v>
      </c>
      <c r="P198" t="s">
        <v>31</v>
      </c>
      <c r="Q198" s="3" t="s">
        <v>819</v>
      </c>
    </row>
    <row r="199" spans="1:17" ht="15.6" hidden="1" x14ac:dyDescent="0.3">
      <c r="A199" s="2">
        <v>46169</v>
      </c>
      <c r="B199">
        <v>113</v>
      </c>
      <c r="C199" t="s">
        <v>820</v>
      </c>
      <c r="D199" s="2">
        <v>46169</v>
      </c>
      <c r="E199" s="2">
        <v>46195</v>
      </c>
      <c r="F199" t="s">
        <v>71</v>
      </c>
      <c r="G199" t="s">
        <v>34</v>
      </c>
      <c r="H199" t="s">
        <v>821</v>
      </c>
      <c r="I199" t="s">
        <v>26</v>
      </c>
      <c r="J199" t="s">
        <v>822</v>
      </c>
      <c r="K199" t="s">
        <v>36</v>
      </c>
      <c r="L199" t="s">
        <v>29</v>
      </c>
      <c r="M199" t="s">
        <v>823</v>
      </c>
      <c r="N199" t="s">
        <v>38</v>
      </c>
      <c r="O199" t="s">
        <v>29</v>
      </c>
      <c r="P199" t="s">
        <v>824</v>
      </c>
      <c r="Q199" s="3" t="s">
        <v>825</v>
      </c>
    </row>
    <row r="200" spans="1:17" ht="15.6" hidden="1" x14ac:dyDescent="0.3">
      <c r="A200" s="2">
        <v>46169</v>
      </c>
      <c r="B200">
        <v>112</v>
      </c>
      <c r="C200" t="s">
        <v>826</v>
      </c>
      <c r="D200" s="2">
        <v>46169</v>
      </c>
      <c r="E200" s="2">
        <v>46192</v>
      </c>
      <c r="F200" t="s">
        <v>71</v>
      </c>
      <c r="G200" t="s">
        <v>34</v>
      </c>
      <c r="H200" t="s">
        <v>827</v>
      </c>
      <c r="I200" t="s">
        <v>26</v>
      </c>
      <c r="J200" t="s">
        <v>680</v>
      </c>
      <c r="K200" t="s">
        <v>43</v>
      </c>
      <c r="L200" t="s">
        <v>29</v>
      </c>
      <c r="M200" t="s">
        <v>94</v>
      </c>
      <c r="N200" t="s">
        <v>29</v>
      </c>
      <c r="O200" t="s">
        <v>29</v>
      </c>
      <c r="P200" t="s">
        <v>31</v>
      </c>
      <c r="Q200" s="3" t="s">
        <v>828</v>
      </c>
    </row>
    <row r="201" spans="1:17" ht="15.6" hidden="1" x14ac:dyDescent="0.3">
      <c r="A201" s="2">
        <v>46169</v>
      </c>
      <c r="B201">
        <v>111</v>
      </c>
      <c r="C201" t="s">
        <v>829</v>
      </c>
      <c r="D201" s="2">
        <v>46169</v>
      </c>
      <c r="E201" s="2">
        <v>46177</v>
      </c>
      <c r="F201" t="s">
        <v>71</v>
      </c>
      <c r="G201" t="s">
        <v>24</v>
      </c>
      <c r="H201" t="s">
        <v>830</v>
      </c>
      <c r="I201" t="s">
        <v>26</v>
      </c>
      <c r="J201" t="s">
        <v>822</v>
      </c>
      <c r="K201" t="s">
        <v>43</v>
      </c>
      <c r="L201" t="s">
        <v>29</v>
      </c>
      <c r="M201" t="s">
        <v>831</v>
      </c>
      <c r="N201" t="s">
        <v>29</v>
      </c>
      <c r="O201" t="s">
        <v>29</v>
      </c>
      <c r="P201" t="s">
        <v>31</v>
      </c>
      <c r="Q201" s="3" t="s">
        <v>832</v>
      </c>
    </row>
    <row r="202" spans="1:17" ht="15.6" hidden="1" x14ac:dyDescent="0.3">
      <c r="A202" s="2">
        <v>46169</v>
      </c>
      <c r="B202">
        <v>110</v>
      </c>
      <c r="C202" t="s">
        <v>833</v>
      </c>
      <c r="D202" s="2">
        <v>46169</v>
      </c>
      <c r="E202" s="2">
        <v>46192</v>
      </c>
      <c r="F202" t="s">
        <v>71</v>
      </c>
      <c r="G202" t="s">
        <v>34</v>
      </c>
      <c r="H202" t="s">
        <v>834</v>
      </c>
      <c r="I202" t="s">
        <v>26</v>
      </c>
      <c r="J202" t="s">
        <v>835</v>
      </c>
      <c r="K202" t="s">
        <v>28</v>
      </c>
      <c r="L202" t="s">
        <v>29</v>
      </c>
      <c r="M202" t="s">
        <v>109</v>
      </c>
      <c r="N202" t="s">
        <v>38</v>
      </c>
      <c r="O202" t="s">
        <v>38</v>
      </c>
      <c r="P202" t="s">
        <v>836</v>
      </c>
      <c r="Q202" s="3" t="s">
        <v>837</v>
      </c>
    </row>
    <row r="203" spans="1:17" ht="15.6" hidden="1" x14ac:dyDescent="0.3">
      <c r="A203" s="2">
        <v>46169</v>
      </c>
      <c r="B203">
        <v>109</v>
      </c>
      <c r="C203" t="s">
        <v>838</v>
      </c>
      <c r="D203" s="2">
        <v>46169</v>
      </c>
      <c r="E203" s="2">
        <v>46178</v>
      </c>
      <c r="F203" t="s">
        <v>71</v>
      </c>
      <c r="G203" t="s">
        <v>24</v>
      </c>
      <c r="H203" t="s">
        <v>839</v>
      </c>
      <c r="I203" t="s">
        <v>26</v>
      </c>
      <c r="J203" t="s">
        <v>835</v>
      </c>
      <c r="K203" t="s">
        <v>28</v>
      </c>
      <c r="L203" t="s">
        <v>29</v>
      </c>
      <c r="M203" t="s">
        <v>283</v>
      </c>
      <c r="N203" t="s">
        <v>29</v>
      </c>
      <c r="O203" t="s">
        <v>29</v>
      </c>
      <c r="P203" t="s">
        <v>31</v>
      </c>
      <c r="Q203" s="3" t="s">
        <v>840</v>
      </c>
    </row>
    <row r="204" spans="1:17" ht="15.6" hidden="1" x14ac:dyDescent="0.3">
      <c r="A204" s="2">
        <v>46169</v>
      </c>
      <c r="B204">
        <v>108</v>
      </c>
      <c r="C204" t="s">
        <v>841</v>
      </c>
      <c r="D204" s="2">
        <v>46169</v>
      </c>
      <c r="E204" s="2">
        <v>46178</v>
      </c>
      <c r="F204" t="s">
        <v>71</v>
      </c>
      <c r="G204" t="s">
        <v>24</v>
      </c>
      <c r="H204" t="s">
        <v>842</v>
      </c>
      <c r="I204" t="s">
        <v>26</v>
      </c>
      <c r="J204" t="s">
        <v>835</v>
      </c>
      <c r="K204" t="s">
        <v>28</v>
      </c>
      <c r="L204" t="s">
        <v>29</v>
      </c>
      <c r="M204" t="s">
        <v>205</v>
      </c>
      <c r="N204" t="s">
        <v>29</v>
      </c>
      <c r="O204" t="s">
        <v>29</v>
      </c>
      <c r="P204" t="s">
        <v>31</v>
      </c>
      <c r="Q204" s="3" t="s">
        <v>843</v>
      </c>
    </row>
    <row r="205" spans="1:17" ht="15.6" hidden="1" x14ac:dyDescent="0.3">
      <c r="A205" s="2">
        <v>46169</v>
      </c>
      <c r="B205">
        <v>107</v>
      </c>
      <c r="C205" t="s">
        <v>844</v>
      </c>
      <c r="D205" s="2">
        <v>46169</v>
      </c>
      <c r="E205" s="2">
        <v>46183</v>
      </c>
      <c r="F205" t="s">
        <v>71</v>
      </c>
      <c r="G205" t="s">
        <v>24</v>
      </c>
      <c r="H205" t="s">
        <v>845</v>
      </c>
      <c r="I205" t="s">
        <v>26</v>
      </c>
      <c r="J205" t="s">
        <v>835</v>
      </c>
      <c r="K205" t="s">
        <v>28</v>
      </c>
      <c r="L205" t="s">
        <v>29</v>
      </c>
      <c r="M205" t="s">
        <v>846</v>
      </c>
      <c r="N205" t="s">
        <v>38</v>
      </c>
      <c r="O205" t="s">
        <v>29</v>
      </c>
      <c r="P205" t="s">
        <v>847</v>
      </c>
      <c r="Q205" s="3" t="s">
        <v>848</v>
      </c>
    </row>
    <row r="206" spans="1:17" ht="15.6" hidden="1" x14ac:dyDescent="0.3">
      <c r="A206" s="2">
        <v>46169</v>
      </c>
      <c r="B206">
        <v>106</v>
      </c>
      <c r="C206" t="s">
        <v>849</v>
      </c>
      <c r="D206" s="2">
        <v>46169</v>
      </c>
      <c r="E206" s="2">
        <v>46196</v>
      </c>
      <c r="F206" t="s">
        <v>23</v>
      </c>
      <c r="G206" t="s">
        <v>34</v>
      </c>
      <c r="H206" t="s">
        <v>850</v>
      </c>
      <c r="I206" t="s">
        <v>26</v>
      </c>
      <c r="J206" t="s">
        <v>27</v>
      </c>
      <c r="K206" t="s">
        <v>36</v>
      </c>
      <c r="L206" t="s">
        <v>29</v>
      </c>
      <c r="M206" t="s">
        <v>109</v>
      </c>
      <c r="N206" t="s">
        <v>38</v>
      </c>
      <c r="O206" t="s">
        <v>29</v>
      </c>
      <c r="P206" t="s">
        <v>851</v>
      </c>
      <c r="Q206" s="3" t="s">
        <v>852</v>
      </c>
    </row>
    <row r="207" spans="1:17" ht="15.6" hidden="1" x14ac:dyDescent="0.3">
      <c r="A207" s="2">
        <v>46169</v>
      </c>
      <c r="B207">
        <v>105</v>
      </c>
      <c r="C207" t="s">
        <v>853</v>
      </c>
      <c r="D207" s="2">
        <v>46169</v>
      </c>
      <c r="E207" s="2">
        <v>46199</v>
      </c>
      <c r="F207" t="s">
        <v>48</v>
      </c>
      <c r="G207" t="s">
        <v>34</v>
      </c>
      <c r="H207" t="s">
        <v>854</v>
      </c>
      <c r="I207" t="s">
        <v>26</v>
      </c>
      <c r="J207" t="s">
        <v>855</v>
      </c>
      <c r="K207" t="s">
        <v>62</v>
      </c>
      <c r="L207" t="s">
        <v>29</v>
      </c>
      <c r="M207" t="s">
        <v>109</v>
      </c>
      <c r="N207" t="s">
        <v>38</v>
      </c>
      <c r="O207" t="s">
        <v>38</v>
      </c>
      <c r="P207" t="s">
        <v>856</v>
      </c>
      <c r="Q207" s="3" t="s">
        <v>857</v>
      </c>
    </row>
    <row r="208" spans="1:17" ht="15.6" hidden="1" x14ac:dyDescent="0.3">
      <c r="A208" s="2">
        <v>46169</v>
      </c>
      <c r="B208">
        <v>104</v>
      </c>
      <c r="C208" t="s">
        <v>858</v>
      </c>
      <c r="D208" s="2">
        <v>46169</v>
      </c>
      <c r="E208" s="2">
        <v>46184</v>
      </c>
      <c r="F208" t="s">
        <v>23</v>
      </c>
      <c r="G208" t="s">
        <v>24</v>
      </c>
      <c r="H208" t="s">
        <v>859</v>
      </c>
      <c r="I208" t="s">
        <v>26</v>
      </c>
      <c r="J208" t="s">
        <v>860</v>
      </c>
      <c r="K208" t="s">
        <v>51</v>
      </c>
      <c r="L208" t="s">
        <v>29</v>
      </c>
      <c r="M208" t="s">
        <v>68</v>
      </c>
      <c r="N208" t="s">
        <v>29</v>
      </c>
      <c r="O208" t="s">
        <v>29</v>
      </c>
      <c r="P208" t="s">
        <v>31</v>
      </c>
      <c r="Q208" s="3" t="s">
        <v>861</v>
      </c>
    </row>
    <row r="209" spans="1:17" ht="15.6" hidden="1" x14ac:dyDescent="0.3">
      <c r="A209" s="2">
        <v>46169</v>
      </c>
      <c r="B209">
        <v>103</v>
      </c>
      <c r="C209" t="s">
        <v>862</v>
      </c>
      <c r="D209" s="2">
        <v>46169</v>
      </c>
      <c r="E209" s="2">
        <v>46177</v>
      </c>
      <c r="F209" t="s">
        <v>48</v>
      </c>
      <c r="G209" t="s">
        <v>24</v>
      </c>
      <c r="H209" t="s">
        <v>863</v>
      </c>
      <c r="I209" t="s">
        <v>26</v>
      </c>
      <c r="J209" t="s">
        <v>230</v>
      </c>
      <c r="K209" t="s">
        <v>62</v>
      </c>
      <c r="L209" t="s">
        <v>29</v>
      </c>
      <c r="M209" t="s">
        <v>256</v>
      </c>
      <c r="N209" t="s">
        <v>29</v>
      </c>
      <c r="O209" t="s">
        <v>29</v>
      </c>
      <c r="P209" t="s">
        <v>31</v>
      </c>
      <c r="Q209" s="3" t="s">
        <v>864</v>
      </c>
    </row>
    <row r="210" spans="1:17" ht="15.6" x14ac:dyDescent="0.3">
      <c r="A210" s="2">
        <v>46169</v>
      </c>
      <c r="B210">
        <v>102</v>
      </c>
      <c r="C210" t="s">
        <v>865</v>
      </c>
      <c r="D210" s="2">
        <v>46169</v>
      </c>
      <c r="E210" s="2">
        <v>46191</v>
      </c>
      <c r="F210" t="s">
        <v>71</v>
      </c>
      <c r="G210" t="s">
        <v>34</v>
      </c>
      <c r="H210" t="s">
        <v>866</v>
      </c>
      <c r="I210" t="s">
        <v>26</v>
      </c>
      <c r="J210" t="s">
        <v>716</v>
      </c>
      <c r="K210" t="s">
        <v>36</v>
      </c>
      <c r="L210" t="s">
        <v>29</v>
      </c>
      <c r="M210" t="s">
        <v>154</v>
      </c>
      <c r="N210" t="s">
        <v>38</v>
      </c>
      <c r="O210" t="s">
        <v>29</v>
      </c>
      <c r="P210" t="s">
        <v>867</v>
      </c>
      <c r="Q210" s="3" t="s">
        <v>868</v>
      </c>
    </row>
    <row r="211" spans="1:17" ht="15.6" hidden="1" x14ac:dyDescent="0.3">
      <c r="A211" s="2">
        <v>46169</v>
      </c>
      <c r="B211">
        <v>101</v>
      </c>
      <c r="C211" t="s">
        <v>869</v>
      </c>
      <c r="D211" s="2">
        <v>46169</v>
      </c>
      <c r="E211" s="2">
        <v>46202</v>
      </c>
      <c r="F211" t="s">
        <v>48</v>
      </c>
      <c r="G211" t="s">
        <v>34</v>
      </c>
      <c r="H211" t="s">
        <v>870</v>
      </c>
      <c r="I211" t="s">
        <v>26</v>
      </c>
      <c r="J211" t="s">
        <v>230</v>
      </c>
      <c r="K211" t="s">
        <v>62</v>
      </c>
      <c r="L211" t="s">
        <v>29</v>
      </c>
      <c r="M211" t="s">
        <v>52</v>
      </c>
      <c r="N211" t="s">
        <v>38</v>
      </c>
      <c r="O211" t="s">
        <v>29</v>
      </c>
      <c r="P211" t="s">
        <v>871</v>
      </c>
      <c r="Q211" s="3" t="s">
        <v>872</v>
      </c>
    </row>
    <row r="212" spans="1:17" ht="15.6" hidden="1" x14ac:dyDescent="0.3">
      <c r="A212" s="2">
        <v>46169</v>
      </c>
      <c r="B212">
        <v>100</v>
      </c>
      <c r="C212" t="s">
        <v>873</v>
      </c>
      <c r="D212" s="2">
        <v>46169</v>
      </c>
      <c r="E212" s="2">
        <v>46181</v>
      </c>
      <c r="F212" t="s">
        <v>71</v>
      </c>
      <c r="G212" t="s">
        <v>874</v>
      </c>
      <c r="H212" t="s">
        <v>875</v>
      </c>
      <c r="I212" t="s">
        <v>26</v>
      </c>
      <c r="J212" t="s">
        <v>876</v>
      </c>
      <c r="K212" t="s">
        <v>86</v>
      </c>
      <c r="L212" t="s">
        <v>29</v>
      </c>
      <c r="M212" t="s">
        <v>239</v>
      </c>
      <c r="N212" t="s">
        <v>38</v>
      </c>
      <c r="O212" t="s">
        <v>38</v>
      </c>
      <c r="P212" t="s">
        <v>877</v>
      </c>
      <c r="Q212" s="3" t="s">
        <v>878</v>
      </c>
    </row>
    <row r="213" spans="1:17" ht="15.6" hidden="1" x14ac:dyDescent="0.3">
      <c r="A213" s="2">
        <v>46169</v>
      </c>
      <c r="B213">
        <v>99</v>
      </c>
      <c r="C213" t="s">
        <v>879</v>
      </c>
      <c r="D213" s="2">
        <v>46169</v>
      </c>
      <c r="E213" s="2">
        <v>46202</v>
      </c>
      <c r="F213" t="s">
        <v>48</v>
      </c>
      <c r="G213" t="s">
        <v>34</v>
      </c>
      <c r="H213" t="s">
        <v>880</v>
      </c>
      <c r="I213" t="s">
        <v>26</v>
      </c>
      <c r="J213" t="s">
        <v>881</v>
      </c>
      <c r="K213" t="s">
        <v>51</v>
      </c>
      <c r="L213" t="s">
        <v>29</v>
      </c>
      <c r="M213" t="s">
        <v>103</v>
      </c>
      <c r="N213" t="s">
        <v>38</v>
      </c>
      <c r="O213" t="s">
        <v>38</v>
      </c>
      <c r="P213" t="s">
        <v>882</v>
      </c>
      <c r="Q213" s="3" t="s">
        <v>883</v>
      </c>
    </row>
    <row r="214" spans="1:17" ht="15.6" hidden="1" x14ac:dyDescent="0.3">
      <c r="A214" s="2">
        <v>46169</v>
      </c>
      <c r="B214">
        <v>98</v>
      </c>
      <c r="C214" t="s">
        <v>884</v>
      </c>
      <c r="D214" s="2">
        <v>46169</v>
      </c>
      <c r="E214" s="2">
        <v>46190</v>
      </c>
      <c r="F214" t="s">
        <v>48</v>
      </c>
      <c r="G214" t="s">
        <v>34</v>
      </c>
      <c r="H214" t="s">
        <v>885</v>
      </c>
      <c r="I214" t="s">
        <v>26</v>
      </c>
      <c r="J214" t="s">
        <v>886</v>
      </c>
      <c r="K214" t="s">
        <v>86</v>
      </c>
      <c r="L214" t="s">
        <v>29</v>
      </c>
      <c r="M214" t="s">
        <v>887</v>
      </c>
      <c r="N214" t="s">
        <v>38</v>
      </c>
      <c r="O214" t="s">
        <v>38</v>
      </c>
      <c r="P214" t="s">
        <v>888</v>
      </c>
      <c r="Q214" s="3" t="s">
        <v>889</v>
      </c>
    </row>
    <row r="215" spans="1:17" ht="15.6" hidden="1" x14ac:dyDescent="0.3">
      <c r="A215" s="2">
        <v>46169</v>
      </c>
      <c r="B215">
        <v>97</v>
      </c>
      <c r="C215" t="s">
        <v>890</v>
      </c>
      <c r="D215" s="2">
        <v>46169</v>
      </c>
      <c r="E215" s="2">
        <v>46198</v>
      </c>
      <c r="F215" t="s">
        <v>71</v>
      </c>
      <c r="G215" t="s">
        <v>34</v>
      </c>
      <c r="H215" t="s">
        <v>891</v>
      </c>
      <c r="I215" t="s">
        <v>26</v>
      </c>
      <c r="J215" t="s">
        <v>892</v>
      </c>
      <c r="K215" t="s">
        <v>43</v>
      </c>
      <c r="L215" t="s">
        <v>29</v>
      </c>
      <c r="M215" t="s">
        <v>44</v>
      </c>
      <c r="N215" t="s">
        <v>29</v>
      </c>
      <c r="O215" t="s">
        <v>29</v>
      </c>
      <c r="P215" t="s">
        <v>31</v>
      </c>
      <c r="Q215" s="3" t="s">
        <v>893</v>
      </c>
    </row>
    <row r="216" spans="1:17" ht="15.6" hidden="1" x14ac:dyDescent="0.3">
      <c r="A216" s="2">
        <v>46169</v>
      </c>
      <c r="B216">
        <v>96</v>
      </c>
      <c r="C216" t="s">
        <v>894</v>
      </c>
      <c r="D216" s="2">
        <v>46169</v>
      </c>
      <c r="E216" s="2">
        <v>46205</v>
      </c>
      <c r="F216" t="s">
        <v>71</v>
      </c>
      <c r="G216" t="s">
        <v>34</v>
      </c>
      <c r="H216" t="s">
        <v>895</v>
      </c>
      <c r="I216" t="s">
        <v>26</v>
      </c>
      <c r="J216" t="s">
        <v>892</v>
      </c>
      <c r="K216" t="s">
        <v>43</v>
      </c>
      <c r="L216" t="s">
        <v>29</v>
      </c>
      <c r="M216" t="s">
        <v>44</v>
      </c>
      <c r="N216" t="s">
        <v>38</v>
      </c>
      <c r="O216" t="s">
        <v>29</v>
      </c>
      <c r="P216" t="s">
        <v>896</v>
      </c>
      <c r="Q216" s="3" t="s">
        <v>897</v>
      </c>
    </row>
    <row r="217" spans="1:17" ht="15.6" hidden="1" x14ac:dyDescent="0.3">
      <c r="A217" s="2">
        <v>46169</v>
      </c>
      <c r="B217">
        <v>95</v>
      </c>
      <c r="C217" t="s">
        <v>898</v>
      </c>
      <c r="D217" s="2">
        <v>46169</v>
      </c>
      <c r="E217" s="2">
        <v>46199</v>
      </c>
      <c r="F217" t="s">
        <v>71</v>
      </c>
      <c r="G217" t="s">
        <v>34</v>
      </c>
      <c r="H217" t="s">
        <v>899</v>
      </c>
      <c r="I217" t="s">
        <v>26</v>
      </c>
      <c r="J217" t="s">
        <v>900</v>
      </c>
      <c r="K217" t="s">
        <v>86</v>
      </c>
      <c r="L217" t="s">
        <v>29</v>
      </c>
      <c r="M217" t="s">
        <v>103</v>
      </c>
      <c r="N217" t="s">
        <v>38</v>
      </c>
      <c r="O217" t="s">
        <v>38</v>
      </c>
      <c r="P217" t="s">
        <v>901</v>
      </c>
      <c r="Q217" s="3" t="s">
        <v>902</v>
      </c>
    </row>
    <row r="218" spans="1:17" ht="15.6" hidden="1" x14ac:dyDescent="0.3">
      <c r="A218" s="2">
        <v>46169</v>
      </c>
      <c r="B218">
        <v>94</v>
      </c>
      <c r="C218" t="s">
        <v>903</v>
      </c>
      <c r="D218" s="2">
        <v>46169</v>
      </c>
      <c r="E218" s="2">
        <v>46199</v>
      </c>
      <c r="F218" t="s">
        <v>71</v>
      </c>
      <c r="G218" t="s">
        <v>34</v>
      </c>
      <c r="H218" t="s">
        <v>904</v>
      </c>
      <c r="I218" t="s">
        <v>26</v>
      </c>
      <c r="J218" t="s">
        <v>900</v>
      </c>
      <c r="K218" t="s">
        <v>86</v>
      </c>
      <c r="L218" t="s">
        <v>29</v>
      </c>
      <c r="M218" t="s">
        <v>103</v>
      </c>
      <c r="N218" t="s">
        <v>38</v>
      </c>
      <c r="O218" t="s">
        <v>38</v>
      </c>
      <c r="P218" t="s">
        <v>905</v>
      </c>
      <c r="Q218" s="3" t="s">
        <v>906</v>
      </c>
    </row>
    <row r="219" spans="1:17" ht="15.6" hidden="1" x14ac:dyDescent="0.3">
      <c r="A219" s="2">
        <v>46169</v>
      </c>
      <c r="B219">
        <v>93</v>
      </c>
      <c r="C219" t="s">
        <v>907</v>
      </c>
      <c r="D219" s="2">
        <v>46169</v>
      </c>
      <c r="E219" s="2">
        <v>46199</v>
      </c>
      <c r="F219" t="s">
        <v>71</v>
      </c>
      <c r="G219" t="s">
        <v>34</v>
      </c>
      <c r="H219" t="s">
        <v>908</v>
      </c>
      <c r="I219" t="s">
        <v>26</v>
      </c>
      <c r="J219" t="s">
        <v>900</v>
      </c>
      <c r="K219" t="s">
        <v>86</v>
      </c>
      <c r="L219" t="s">
        <v>29</v>
      </c>
      <c r="M219" t="s">
        <v>103</v>
      </c>
      <c r="N219" t="s">
        <v>38</v>
      </c>
      <c r="O219" t="s">
        <v>38</v>
      </c>
      <c r="P219" t="s">
        <v>901</v>
      </c>
      <c r="Q219" s="3" t="s">
        <v>909</v>
      </c>
    </row>
    <row r="220" spans="1:17" ht="15.6" hidden="1" x14ac:dyDescent="0.3">
      <c r="A220" s="2">
        <v>46169</v>
      </c>
      <c r="B220">
        <v>92</v>
      </c>
      <c r="C220" t="s">
        <v>910</v>
      </c>
      <c r="D220" s="2">
        <v>46169</v>
      </c>
      <c r="E220" s="2">
        <v>46176</v>
      </c>
      <c r="F220" t="s">
        <v>217</v>
      </c>
      <c r="G220" t="s">
        <v>24</v>
      </c>
      <c r="H220" t="s">
        <v>911</v>
      </c>
      <c r="I220" t="s">
        <v>26</v>
      </c>
      <c r="J220" t="s">
        <v>912</v>
      </c>
      <c r="K220" t="s">
        <v>43</v>
      </c>
      <c r="L220" t="s">
        <v>29</v>
      </c>
      <c r="M220" t="s">
        <v>499</v>
      </c>
      <c r="N220" t="s">
        <v>29</v>
      </c>
      <c r="O220" t="s">
        <v>29</v>
      </c>
      <c r="P220" t="s">
        <v>31</v>
      </c>
      <c r="Q220" s="3" t="s">
        <v>913</v>
      </c>
    </row>
    <row r="221" spans="1:17" ht="15.6" hidden="1" x14ac:dyDescent="0.3">
      <c r="A221" s="2">
        <v>46169</v>
      </c>
      <c r="B221">
        <v>91</v>
      </c>
      <c r="C221" t="s">
        <v>914</v>
      </c>
      <c r="D221" s="2">
        <v>46169</v>
      </c>
      <c r="E221" s="2">
        <v>46176</v>
      </c>
      <c r="F221" t="s">
        <v>217</v>
      </c>
      <c r="G221" t="s">
        <v>24</v>
      </c>
      <c r="H221" t="s">
        <v>915</v>
      </c>
      <c r="I221" t="s">
        <v>26</v>
      </c>
      <c r="J221" t="s">
        <v>912</v>
      </c>
      <c r="K221" t="s">
        <v>43</v>
      </c>
      <c r="L221" t="s">
        <v>29</v>
      </c>
      <c r="M221" t="s">
        <v>103</v>
      </c>
      <c r="N221" t="s">
        <v>29</v>
      </c>
      <c r="O221" t="s">
        <v>29</v>
      </c>
      <c r="P221" t="s">
        <v>31</v>
      </c>
      <c r="Q221" s="3" t="s">
        <v>916</v>
      </c>
    </row>
    <row r="222" spans="1:17" ht="15.6" hidden="1" x14ac:dyDescent="0.3">
      <c r="A222" s="2">
        <v>46169</v>
      </c>
      <c r="B222">
        <v>90</v>
      </c>
      <c r="C222" t="s">
        <v>917</v>
      </c>
      <c r="D222" s="2">
        <v>46169</v>
      </c>
      <c r="E222" s="2">
        <v>46177</v>
      </c>
      <c r="F222" t="s">
        <v>23</v>
      </c>
      <c r="G222" t="s">
        <v>24</v>
      </c>
      <c r="H222" t="s">
        <v>918</v>
      </c>
      <c r="I222" t="s">
        <v>26</v>
      </c>
      <c r="J222" t="s">
        <v>912</v>
      </c>
      <c r="K222" t="s">
        <v>43</v>
      </c>
      <c r="L222" t="s">
        <v>29</v>
      </c>
      <c r="M222" t="s">
        <v>919</v>
      </c>
      <c r="N222" t="s">
        <v>29</v>
      </c>
      <c r="O222" t="s">
        <v>29</v>
      </c>
      <c r="P222" t="s">
        <v>31</v>
      </c>
      <c r="Q222" s="3" t="s">
        <v>920</v>
      </c>
    </row>
    <row r="223" spans="1:17" ht="15.6" hidden="1" x14ac:dyDescent="0.3">
      <c r="A223" s="2">
        <v>46169</v>
      </c>
      <c r="B223">
        <v>89</v>
      </c>
      <c r="C223" t="s">
        <v>921</v>
      </c>
      <c r="D223" s="2">
        <v>46169</v>
      </c>
      <c r="E223" s="2">
        <v>46199</v>
      </c>
      <c r="F223" t="s">
        <v>71</v>
      </c>
      <c r="G223" t="s">
        <v>34</v>
      </c>
      <c r="H223" t="s">
        <v>922</v>
      </c>
      <c r="I223" t="s">
        <v>26</v>
      </c>
      <c r="J223" t="s">
        <v>900</v>
      </c>
      <c r="K223" t="s">
        <v>86</v>
      </c>
      <c r="L223" t="s">
        <v>29</v>
      </c>
      <c r="M223" t="s">
        <v>103</v>
      </c>
      <c r="N223" t="s">
        <v>38</v>
      </c>
      <c r="O223" t="s">
        <v>38</v>
      </c>
      <c r="P223" t="s">
        <v>901</v>
      </c>
      <c r="Q223" s="3" t="s">
        <v>923</v>
      </c>
    </row>
    <row r="224" spans="1:17" ht="15.6" hidden="1" x14ac:dyDescent="0.3">
      <c r="A224" s="2">
        <v>46169</v>
      </c>
      <c r="B224">
        <v>88</v>
      </c>
      <c r="C224" t="s">
        <v>924</v>
      </c>
      <c r="D224" s="2">
        <v>46169</v>
      </c>
      <c r="E224" s="2">
        <v>46185</v>
      </c>
      <c r="F224" t="s">
        <v>71</v>
      </c>
      <c r="G224" t="s">
        <v>34</v>
      </c>
      <c r="H224" t="s">
        <v>925</v>
      </c>
      <c r="I224" t="s">
        <v>26</v>
      </c>
      <c r="J224" t="s">
        <v>900</v>
      </c>
      <c r="K224" t="s">
        <v>86</v>
      </c>
      <c r="L224" t="s">
        <v>29</v>
      </c>
      <c r="M224" t="s">
        <v>103</v>
      </c>
      <c r="N224" t="s">
        <v>38</v>
      </c>
      <c r="O224" t="s">
        <v>38</v>
      </c>
      <c r="P224" t="s">
        <v>926</v>
      </c>
      <c r="Q224" s="3" t="s">
        <v>927</v>
      </c>
    </row>
    <row r="225" spans="1:17" ht="15.6" hidden="1" x14ac:dyDescent="0.3">
      <c r="A225" s="2">
        <v>46169</v>
      </c>
      <c r="B225">
        <v>87</v>
      </c>
      <c r="C225" t="s">
        <v>928</v>
      </c>
      <c r="D225" s="2">
        <v>46169</v>
      </c>
      <c r="E225" s="2">
        <v>46185</v>
      </c>
      <c r="F225" t="s">
        <v>71</v>
      </c>
      <c r="G225" t="s">
        <v>34</v>
      </c>
      <c r="H225" t="s">
        <v>929</v>
      </c>
      <c r="I225" t="s">
        <v>26</v>
      </c>
      <c r="J225" t="s">
        <v>900</v>
      </c>
      <c r="K225" t="s">
        <v>86</v>
      </c>
      <c r="L225" t="s">
        <v>29</v>
      </c>
      <c r="M225" t="s">
        <v>103</v>
      </c>
      <c r="N225" t="s">
        <v>38</v>
      </c>
      <c r="O225" t="s">
        <v>38</v>
      </c>
      <c r="P225" t="s">
        <v>930</v>
      </c>
      <c r="Q225" s="3" t="s">
        <v>931</v>
      </c>
    </row>
    <row r="226" spans="1:17" ht="15.6" hidden="1" x14ac:dyDescent="0.3">
      <c r="A226" s="2">
        <v>46169</v>
      </c>
      <c r="B226">
        <v>86</v>
      </c>
      <c r="C226" t="s">
        <v>932</v>
      </c>
      <c r="D226" s="2">
        <v>46169</v>
      </c>
      <c r="E226" s="2">
        <v>46184</v>
      </c>
      <c r="F226" t="s">
        <v>48</v>
      </c>
      <c r="G226" t="s">
        <v>34</v>
      </c>
      <c r="H226" t="s">
        <v>933</v>
      </c>
      <c r="I226" t="s">
        <v>26</v>
      </c>
      <c r="J226" t="s">
        <v>881</v>
      </c>
      <c r="K226" t="s">
        <v>51</v>
      </c>
      <c r="L226" t="s">
        <v>29</v>
      </c>
      <c r="M226" t="s">
        <v>103</v>
      </c>
      <c r="N226" t="s">
        <v>29</v>
      </c>
      <c r="O226" t="s">
        <v>29</v>
      </c>
      <c r="P226" t="s">
        <v>31</v>
      </c>
      <c r="Q226" s="3" t="s">
        <v>934</v>
      </c>
    </row>
    <row r="227" spans="1:17" ht="15.6" hidden="1" x14ac:dyDescent="0.3">
      <c r="A227" s="2">
        <v>46169</v>
      </c>
      <c r="B227">
        <v>85</v>
      </c>
      <c r="C227" t="s">
        <v>935</v>
      </c>
      <c r="D227" s="2">
        <v>46169</v>
      </c>
      <c r="E227" s="2">
        <v>46199</v>
      </c>
      <c r="F227" t="s">
        <v>71</v>
      </c>
      <c r="G227" t="s">
        <v>34</v>
      </c>
      <c r="H227" t="s">
        <v>936</v>
      </c>
      <c r="I227" t="s">
        <v>26</v>
      </c>
      <c r="J227" t="s">
        <v>900</v>
      </c>
      <c r="K227" t="s">
        <v>86</v>
      </c>
      <c r="L227" t="s">
        <v>29</v>
      </c>
      <c r="M227" t="s">
        <v>103</v>
      </c>
      <c r="N227" t="s">
        <v>29</v>
      </c>
      <c r="O227" t="s">
        <v>29</v>
      </c>
      <c r="P227" t="s">
        <v>31</v>
      </c>
      <c r="Q227" s="3" t="s">
        <v>937</v>
      </c>
    </row>
    <row r="228" spans="1:17" ht="15.6" hidden="1" x14ac:dyDescent="0.3">
      <c r="A228" s="2">
        <v>46169</v>
      </c>
      <c r="B228">
        <v>84</v>
      </c>
      <c r="C228" t="s">
        <v>938</v>
      </c>
      <c r="D228" s="2">
        <v>46169</v>
      </c>
      <c r="E228" s="2">
        <v>46199</v>
      </c>
      <c r="F228" t="s">
        <v>71</v>
      </c>
      <c r="G228" t="s">
        <v>34</v>
      </c>
      <c r="H228" t="s">
        <v>939</v>
      </c>
      <c r="I228" t="s">
        <v>26</v>
      </c>
      <c r="J228" t="s">
        <v>900</v>
      </c>
      <c r="K228" t="s">
        <v>86</v>
      </c>
      <c r="L228" t="s">
        <v>29</v>
      </c>
      <c r="M228" t="s">
        <v>103</v>
      </c>
      <c r="N228" t="s">
        <v>29</v>
      </c>
      <c r="O228" t="s">
        <v>29</v>
      </c>
      <c r="P228" t="s">
        <v>31</v>
      </c>
      <c r="Q228" s="3" t="s">
        <v>940</v>
      </c>
    </row>
    <row r="229" spans="1:17" ht="15.6" hidden="1" x14ac:dyDescent="0.3">
      <c r="A229" s="2">
        <v>46169</v>
      </c>
      <c r="B229">
        <v>83</v>
      </c>
      <c r="C229" t="s">
        <v>941</v>
      </c>
      <c r="D229" s="2">
        <v>46169</v>
      </c>
      <c r="E229" s="2">
        <v>46203</v>
      </c>
      <c r="F229" t="s">
        <v>48</v>
      </c>
      <c r="G229" t="s">
        <v>34</v>
      </c>
      <c r="H229" t="s">
        <v>942</v>
      </c>
      <c r="I229" t="s">
        <v>26</v>
      </c>
      <c r="J229" t="s">
        <v>490</v>
      </c>
      <c r="K229" t="s">
        <v>62</v>
      </c>
      <c r="L229" t="s">
        <v>29</v>
      </c>
      <c r="M229" t="s">
        <v>220</v>
      </c>
      <c r="N229" t="s">
        <v>38</v>
      </c>
      <c r="O229" t="s">
        <v>38</v>
      </c>
      <c r="P229" t="s">
        <v>943</v>
      </c>
      <c r="Q229" s="3" t="s">
        <v>944</v>
      </c>
    </row>
    <row r="230" spans="1:17" ht="15.6" hidden="1" x14ac:dyDescent="0.3">
      <c r="A230" s="2">
        <v>46169</v>
      </c>
      <c r="B230">
        <v>82</v>
      </c>
      <c r="C230" t="s">
        <v>945</v>
      </c>
      <c r="D230" s="2">
        <v>46169</v>
      </c>
      <c r="E230" s="2">
        <v>46199</v>
      </c>
      <c r="F230" t="s">
        <v>71</v>
      </c>
      <c r="G230" t="s">
        <v>34</v>
      </c>
      <c r="H230" t="s">
        <v>946</v>
      </c>
      <c r="I230" t="s">
        <v>26</v>
      </c>
      <c r="J230" t="s">
        <v>947</v>
      </c>
      <c r="K230" t="s">
        <v>214</v>
      </c>
      <c r="L230" t="s">
        <v>29</v>
      </c>
      <c r="M230" t="s">
        <v>948</v>
      </c>
      <c r="N230" t="s">
        <v>29</v>
      </c>
      <c r="O230" t="s">
        <v>29</v>
      </c>
      <c r="P230" t="s">
        <v>31</v>
      </c>
      <c r="Q230" s="3" t="s">
        <v>949</v>
      </c>
    </row>
    <row r="231" spans="1:17" ht="15.6" hidden="1" x14ac:dyDescent="0.3">
      <c r="A231" s="2">
        <v>46169</v>
      </c>
      <c r="B231">
        <v>81</v>
      </c>
      <c r="C231" t="s">
        <v>950</v>
      </c>
      <c r="D231" s="2">
        <v>46169</v>
      </c>
      <c r="E231" s="2">
        <v>46199</v>
      </c>
      <c r="F231" t="s">
        <v>71</v>
      </c>
      <c r="G231" t="s">
        <v>34</v>
      </c>
      <c r="H231" t="s">
        <v>951</v>
      </c>
      <c r="I231" t="s">
        <v>26</v>
      </c>
      <c r="J231" t="s">
        <v>947</v>
      </c>
      <c r="K231" t="s">
        <v>214</v>
      </c>
      <c r="L231" t="s">
        <v>29</v>
      </c>
      <c r="M231" t="s">
        <v>948</v>
      </c>
      <c r="N231" t="s">
        <v>29</v>
      </c>
      <c r="O231" t="s">
        <v>29</v>
      </c>
      <c r="P231" t="s">
        <v>31</v>
      </c>
      <c r="Q231" s="3" t="s">
        <v>952</v>
      </c>
    </row>
    <row r="232" spans="1:17" ht="15.6" hidden="1" x14ac:dyDescent="0.3">
      <c r="A232" s="2">
        <v>46169</v>
      </c>
      <c r="B232">
        <v>80</v>
      </c>
      <c r="C232" t="s">
        <v>953</v>
      </c>
      <c r="D232" s="2">
        <v>46169</v>
      </c>
      <c r="E232" s="2">
        <v>46185</v>
      </c>
      <c r="F232" t="s">
        <v>954</v>
      </c>
      <c r="G232" t="s">
        <v>24</v>
      </c>
      <c r="H232" t="s">
        <v>955</v>
      </c>
      <c r="I232" t="s">
        <v>26</v>
      </c>
      <c r="J232" t="s">
        <v>956</v>
      </c>
      <c r="K232" t="s">
        <v>117</v>
      </c>
      <c r="L232" t="s">
        <v>29</v>
      </c>
      <c r="M232" t="s">
        <v>165</v>
      </c>
      <c r="N232" t="s">
        <v>29</v>
      </c>
      <c r="O232" t="s">
        <v>29</v>
      </c>
      <c r="P232" t="s">
        <v>31</v>
      </c>
      <c r="Q232" s="3" t="s">
        <v>957</v>
      </c>
    </row>
    <row r="233" spans="1:17" ht="15.6" hidden="1" x14ac:dyDescent="0.3">
      <c r="A233" s="2">
        <v>46169</v>
      </c>
      <c r="B233">
        <v>79</v>
      </c>
      <c r="C233" t="s">
        <v>958</v>
      </c>
      <c r="D233" s="2">
        <v>46169</v>
      </c>
      <c r="E233" s="2">
        <v>46197</v>
      </c>
      <c r="F233" t="s">
        <v>71</v>
      </c>
      <c r="G233" t="s">
        <v>34</v>
      </c>
      <c r="H233" t="s">
        <v>959</v>
      </c>
      <c r="I233" t="s">
        <v>26</v>
      </c>
      <c r="J233" t="s">
        <v>960</v>
      </c>
      <c r="K233" t="s">
        <v>36</v>
      </c>
      <c r="L233" t="s">
        <v>29</v>
      </c>
      <c r="M233" t="s">
        <v>109</v>
      </c>
      <c r="N233" t="s">
        <v>38</v>
      </c>
      <c r="O233" t="s">
        <v>38</v>
      </c>
      <c r="P233" t="s">
        <v>961</v>
      </c>
      <c r="Q233" s="3" t="s">
        <v>962</v>
      </c>
    </row>
    <row r="234" spans="1:17" ht="15.6" hidden="1" x14ac:dyDescent="0.3">
      <c r="A234" s="2">
        <v>46169</v>
      </c>
      <c r="B234">
        <v>78</v>
      </c>
      <c r="C234" t="s">
        <v>963</v>
      </c>
      <c r="D234" s="2">
        <v>46169</v>
      </c>
      <c r="E234" s="2">
        <v>46199</v>
      </c>
      <c r="F234" t="s">
        <v>71</v>
      </c>
      <c r="G234" t="s">
        <v>34</v>
      </c>
      <c r="H234" t="s">
        <v>964</v>
      </c>
      <c r="I234" t="s">
        <v>26</v>
      </c>
      <c r="J234" t="s">
        <v>965</v>
      </c>
      <c r="K234" t="s">
        <v>51</v>
      </c>
      <c r="L234" t="s">
        <v>29</v>
      </c>
      <c r="M234" t="s">
        <v>966</v>
      </c>
      <c r="N234" t="s">
        <v>29</v>
      </c>
      <c r="O234" t="s">
        <v>29</v>
      </c>
      <c r="P234" t="s">
        <v>31</v>
      </c>
      <c r="Q234" s="3" t="s">
        <v>967</v>
      </c>
    </row>
    <row r="235" spans="1:17" ht="15.6" hidden="1" x14ac:dyDescent="0.3">
      <c r="A235" s="2">
        <v>46169</v>
      </c>
      <c r="B235">
        <v>77</v>
      </c>
      <c r="C235" t="s">
        <v>968</v>
      </c>
      <c r="D235" s="2">
        <v>46169</v>
      </c>
      <c r="E235" s="2">
        <v>46177</v>
      </c>
      <c r="F235" t="s">
        <v>71</v>
      </c>
      <c r="G235" t="s">
        <v>24</v>
      </c>
      <c r="H235" t="s">
        <v>969</v>
      </c>
      <c r="I235" t="s">
        <v>26</v>
      </c>
      <c r="J235" t="s">
        <v>478</v>
      </c>
      <c r="K235" t="s">
        <v>43</v>
      </c>
      <c r="L235" t="s">
        <v>29</v>
      </c>
      <c r="M235" t="s">
        <v>154</v>
      </c>
      <c r="N235" t="s">
        <v>29</v>
      </c>
      <c r="O235" t="s">
        <v>29</v>
      </c>
      <c r="P235" t="s">
        <v>31</v>
      </c>
      <c r="Q235" s="3" t="s">
        <v>970</v>
      </c>
    </row>
    <row r="236" spans="1:17" ht="15.6" hidden="1" x14ac:dyDescent="0.3">
      <c r="A236" s="2">
        <v>46169</v>
      </c>
      <c r="B236">
        <v>76</v>
      </c>
      <c r="C236" t="s">
        <v>971</v>
      </c>
      <c r="D236" s="2">
        <v>46169</v>
      </c>
      <c r="E236" s="2">
        <v>46199</v>
      </c>
      <c r="F236" t="s">
        <v>48</v>
      </c>
      <c r="G236" t="s">
        <v>34</v>
      </c>
      <c r="H236" t="s">
        <v>972</v>
      </c>
      <c r="I236" t="s">
        <v>26</v>
      </c>
      <c r="J236" t="s">
        <v>973</v>
      </c>
      <c r="K236" t="s">
        <v>43</v>
      </c>
      <c r="L236" t="s">
        <v>29</v>
      </c>
      <c r="M236" t="s">
        <v>44</v>
      </c>
      <c r="N236" t="s">
        <v>29</v>
      </c>
      <c r="O236" t="s">
        <v>29</v>
      </c>
      <c r="P236" t="s">
        <v>31</v>
      </c>
      <c r="Q236" s="3" t="s">
        <v>974</v>
      </c>
    </row>
    <row r="237" spans="1:17" ht="15.6" hidden="1" x14ac:dyDescent="0.3">
      <c r="A237" s="2">
        <v>46169</v>
      </c>
      <c r="B237">
        <v>75</v>
      </c>
      <c r="C237" t="s">
        <v>975</v>
      </c>
      <c r="D237" s="2">
        <v>46169</v>
      </c>
      <c r="E237" s="2">
        <v>46174</v>
      </c>
      <c r="F237" t="s">
        <v>162</v>
      </c>
      <c r="G237" t="s">
        <v>24</v>
      </c>
      <c r="H237" t="s">
        <v>976</v>
      </c>
      <c r="I237" t="s">
        <v>26</v>
      </c>
      <c r="J237" t="s">
        <v>251</v>
      </c>
      <c r="K237" t="s">
        <v>43</v>
      </c>
      <c r="L237" t="s">
        <v>29</v>
      </c>
      <c r="M237" t="s">
        <v>205</v>
      </c>
      <c r="N237" t="s">
        <v>29</v>
      </c>
      <c r="O237" t="s">
        <v>29</v>
      </c>
      <c r="P237" t="s">
        <v>31</v>
      </c>
      <c r="Q237" s="3" t="s">
        <v>977</v>
      </c>
    </row>
    <row r="238" spans="1:17" ht="15.6" hidden="1" x14ac:dyDescent="0.3">
      <c r="A238" s="2">
        <v>46169</v>
      </c>
      <c r="B238">
        <v>74</v>
      </c>
      <c r="C238" t="s">
        <v>978</v>
      </c>
      <c r="D238" s="2">
        <v>46169</v>
      </c>
      <c r="E238" s="2">
        <v>46175</v>
      </c>
      <c r="F238" t="s">
        <v>162</v>
      </c>
      <c r="G238" t="s">
        <v>24</v>
      </c>
      <c r="H238" t="s">
        <v>979</v>
      </c>
      <c r="I238" t="s">
        <v>26</v>
      </c>
      <c r="J238" t="s">
        <v>251</v>
      </c>
      <c r="K238" t="s">
        <v>43</v>
      </c>
      <c r="L238" t="s">
        <v>29</v>
      </c>
      <c r="M238" t="s">
        <v>205</v>
      </c>
      <c r="N238" t="s">
        <v>29</v>
      </c>
      <c r="O238" t="s">
        <v>29</v>
      </c>
      <c r="P238" t="s">
        <v>31</v>
      </c>
      <c r="Q238" s="3" t="s">
        <v>980</v>
      </c>
    </row>
    <row r="239" spans="1:17" ht="15.6" hidden="1" x14ac:dyDescent="0.3">
      <c r="A239" s="2">
        <v>46169</v>
      </c>
      <c r="B239">
        <v>73</v>
      </c>
      <c r="C239" t="s">
        <v>981</v>
      </c>
      <c r="D239" s="2">
        <v>46169</v>
      </c>
      <c r="E239" s="2">
        <v>46199</v>
      </c>
      <c r="F239" t="s">
        <v>71</v>
      </c>
      <c r="G239" t="s">
        <v>34</v>
      </c>
      <c r="H239" t="s">
        <v>982</v>
      </c>
      <c r="I239" t="s">
        <v>26</v>
      </c>
      <c r="J239" t="s">
        <v>947</v>
      </c>
      <c r="K239" t="s">
        <v>214</v>
      </c>
      <c r="L239" t="s">
        <v>29</v>
      </c>
      <c r="M239" t="s">
        <v>919</v>
      </c>
      <c r="N239" t="s">
        <v>29</v>
      </c>
      <c r="O239" t="s">
        <v>29</v>
      </c>
      <c r="P239" t="s">
        <v>31</v>
      </c>
      <c r="Q239" s="3" t="s">
        <v>983</v>
      </c>
    </row>
    <row r="240" spans="1:17" ht="15.6" hidden="1" x14ac:dyDescent="0.3">
      <c r="A240" s="2">
        <v>46169</v>
      </c>
      <c r="B240">
        <v>72</v>
      </c>
      <c r="C240" t="s">
        <v>984</v>
      </c>
      <c r="D240" s="2">
        <v>46169</v>
      </c>
      <c r="E240" s="2">
        <v>46199</v>
      </c>
      <c r="F240" t="s">
        <v>71</v>
      </c>
      <c r="G240" t="s">
        <v>34</v>
      </c>
      <c r="H240" t="s">
        <v>985</v>
      </c>
      <c r="I240" t="s">
        <v>26</v>
      </c>
      <c r="J240" t="s">
        <v>947</v>
      </c>
      <c r="K240" t="s">
        <v>214</v>
      </c>
      <c r="L240" t="s">
        <v>29</v>
      </c>
      <c r="M240" t="s">
        <v>831</v>
      </c>
      <c r="N240" t="s">
        <v>29</v>
      </c>
      <c r="O240" t="s">
        <v>29</v>
      </c>
      <c r="P240" t="s">
        <v>31</v>
      </c>
      <c r="Q240" s="3" t="s">
        <v>986</v>
      </c>
    </row>
    <row r="241" spans="1:17" ht="15.6" hidden="1" x14ac:dyDescent="0.3">
      <c r="A241" s="2">
        <v>46169</v>
      </c>
      <c r="B241">
        <v>71</v>
      </c>
      <c r="C241" t="s">
        <v>987</v>
      </c>
      <c r="D241" s="2">
        <v>46169</v>
      </c>
      <c r="E241" s="2">
        <v>46199</v>
      </c>
      <c r="F241" t="s">
        <v>71</v>
      </c>
      <c r="G241" t="s">
        <v>34</v>
      </c>
      <c r="H241" t="s">
        <v>988</v>
      </c>
      <c r="I241" t="s">
        <v>26</v>
      </c>
      <c r="J241" t="s">
        <v>947</v>
      </c>
      <c r="K241" t="s">
        <v>214</v>
      </c>
      <c r="L241" t="s">
        <v>29</v>
      </c>
      <c r="M241" t="s">
        <v>989</v>
      </c>
      <c r="N241" t="s">
        <v>29</v>
      </c>
      <c r="O241" t="s">
        <v>29</v>
      </c>
      <c r="P241" t="s">
        <v>31</v>
      </c>
      <c r="Q241" s="3" t="s">
        <v>990</v>
      </c>
    </row>
    <row r="242" spans="1:17" ht="15.6" hidden="1" x14ac:dyDescent="0.3">
      <c r="A242" s="2">
        <v>46169</v>
      </c>
      <c r="B242">
        <v>70</v>
      </c>
      <c r="C242" t="s">
        <v>991</v>
      </c>
      <c r="D242" s="2">
        <v>46169</v>
      </c>
      <c r="E242" s="2">
        <v>46199</v>
      </c>
      <c r="F242" t="s">
        <v>71</v>
      </c>
      <c r="G242" t="s">
        <v>34</v>
      </c>
      <c r="H242" t="s">
        <v>992</v>
      </c>
      <c r="I242" t="s">
        <v>26</v>
      </c>
      <c r="J242" t="s">
        <v>947</v>
      </c>
      <c r="K242" t="s">
        <v>214</v>
      </c>
      <c r="L242" t="s">
        <v>29</v>
      </c>
      <c r="M242" t="s">
        <v>966</v>
      </c>
      <c r="N242" t="s">
        <v>29</v>
      </c>
      <c r="O242" t="s">
        <v>29</v>
      </c>
      <c r="P242" t="s">
        <v>31</v>
      </c>
      <c r="Q242" s="3" t="s">
        <v>993</v>
      </c>
    </row>
    <row r="243" spans="1:17" ht="15.6" hidden="1" x14ac:dyDescent="0.3">
      <c r="A243" s="2">
        <v>46169</v>
      </c>
      <c r="B243">
        <v>69</v>
      </c>
      <c r="C243" t="s">
        <v>994</v>
      </c>
      <c r="D243" s="2">
        <v>46169</v>
      </c>
      <c r="E243" s="2">
        <v>46199</v>
      </c>
      <c r="F243" t="s">
        <v>71</v>
      </c>
      <c r="G243" t="s">
        <v>34</v>
      </c>
      <c r="H243" t="s">
        <v>995</v>
      </c>
      <c r="I243" t="s">
        <v>26</v>
      </c>
      <c r="J243" t="s">
        <v>947</v>
      </c>
      <c r="K243" t="s">
        <v>214</v>
      </c>
      <c r="L243" t="s">
        <v>29</v>
      </c>
      <c r="M243" t="s">
        <v>239</v>
      </c>
      <c r="N243" t="s">
        <v>29</v>
      </c>
      <c r="O243" t="s">
        <v>29</v>
      </c>
      <c r="P243" t="s">
        <v>31</v>
      </c>
      <c r="Q243" s="3" t="s">
        <v>996</v>
      </c>
    </row>
    <row r="244" spans="1:17" ht="15.6" hidden="1" x14ac:dyDescent="0.3">
      <c r="A244" s="2">
        <v>46169</v>
      </c>
      <c r="B244">
        <v>68</v>
      </c>
      <c r="C244" t="s">
        <v>997</v>
      </c>
      <c r="D244" s="2">
        <v>46169</v>
      </c>
      <c r="E244" s="2">
        <v>46183</v>
      </c>
      <c r="F244" t="s">
        <v>71</v>
      </c>
      <c r="G244" t="s">
        <v>24</v>
      </c>
      <c r="H244" t="s">
        <v>998</v>
      </c>
      <c r="I244" t="s">
        <v>26</v>
      </c>
      <c r="J244" t="s">
        <v>999</v>
      </c>
      <c r="K244" t="s">
        <v>43</v>
      </c>
      <c r="L244" t="s">
        <v>29</v>
      </c>
      <c r="M244" t="s">
        <v>340</v>
      </c>
      <c r="N244" t="s">
        <v>38</v>
      </c>
      <c r="O244" t="s">
        <v>38</v>
      </c>
      <c r="P244" t="s">
        <v>1000</v>
      </c>
      <c r="Q244" s="3" t="s">
        <v>1001</v>
      </c>
    </row>
    <row r="245" spans="1:17" ht="15.6" hidden="1" x14ac:dyDescent="0.3">
      <c r="A245" s="2">
        <v>46169</v>
      </c>
      <c r="B245">
        <v>67</v>
      </c>
      <c r="C245" t="s">
        <v>1002</v>
      </c>
      <c r="D245" s="2">
        <v>46169</v>
      </c>
      <c r="E245" s="2">
        <v>46181</v>
      </c>
      <c r="F245" t="s">
        <v>71</v>
      </c>
      <c r="G245" t="s">
        <v>24</v>
      </c>
      <c r="H245" t="s">
        <v>1003</v>
      </c>
      <c r="I245" t="s">
        <v>26</v>
      </c>
      <c r="J245" t="s">
        <v>999</v>
      </c>
      <c r="K245" t="s">
        <v>43</v>
      </c>
      <c r="L245" t="s">
        <v>29</v>
      </c>
      <c r="M245" t="s">
        <v>265</v>
      </c>
      <c r="N245" t="s">
        <v>29</v>
      </c>
      <c r="O245" t="s">
        <v>29</v>
      </c>
      <c r="P245" t="s">
        <v>31</v>
      </c>
      <c r="Q245" s="3" t="s">
        <v>1004</v>
      </c>
    </row>
    <row r="246" spans="1:17" ht="15.6" hidden="1" x14ac:dyDescent="0.3">
      <c r="A246" s="2">
        <v>46169</v>
      </c>
      <c r="B246">
        <v>66</v>
      </c>
      <c r="C246" t="s">
        <v>1005</v>
      </c>
      <c r="D246" s="2">
        <v>46169</v>
      </c>
      <c r="E246" s="2">
        <v>46175</v>
      </c>
      <c r="F246" t="s">
        <v>71</v>
      </c>
      <c r="G246" t="s">
        <v>24</v>
      </c>
      <c r="H246" t="s">
        <v>1006</v>
      </c>
      <c r="I246" t="s">
        <v>26</v>
      </c>
      <c r="J246" t="s">
        <v>1007</v>
      </c>
      <c r="K246" t="s">
        <v>86</v>
      </c>
      <c r="L246" t="s">
        <v>29</v>
      </c>
      <c r="M246" t="s">
        <v>68</v>
      </c>
      <c r="N246" t="s">
        <v>29</v>
      </c>
      <c r="O246" t="s">
        <v>29</v>
      </c>
      <c r="P246" t="s">
        <v>31</v>
      </c>
      <c r="Q246" s="3" t="s">
        <v>1008</v>
      </c>
    </row>
    <row r="247" spans="1:17" ht="15.6" hidden="1" x14ac:dyDescent="0.3">
      <c r="A247" s="2">
        <v>46169</v>
      </c>
      <c r="B247">
        <v>65</v>
      </c>
      <c r="C247" t="s">
        <v>1009</v>
      </c>
      <c r="D247" s="2">
        <v>46169</v>
      </c>
      <c r="E247" s="2">
        <v>46189</v>
      </c>
      <c r="F247" t="s">
        <v>48</v>
      </c>
      <c r="G247" t="s">
        <v>34</v>
      </c>
      <c r="H247" t="s">
        <v>1010</v>
      </c>
      <c r="I247" t="s">
        <v>26</v>
      </c>
      <c r="J247" t="s">
        <v>1011</v>
      </c>
      <c r="K247" t="s">
        <v>28</v>
      </c>
      <c r="L247" t="s">
        <v>29</v>
      </c>
      <c r="M247" t="s">
        <v>52</v>
      </c>
      <c r="N247" t="s">
        <v>29</v>
      </c>
      <c r="O247" t="s">
        <v>29</v>
      </c>
      <c r="P247" t="s">
        <v>31</v>
      </c>
      <c r="Q247" s="3" t="s">
        <v>1012</v>
      </c>
    </row>
    <row r="248" spans="1:17" ht="15.6" hidden="1" x14ac:dyDescent="0.3">
      <c r="A248" s="2">
        <v>46169</v>
      </c>
      <c r="B248">
        <v>64</v>
      </c>
      <c r="C248" t="s">
        <v>1013</v>
      </c>
      <c r="D248" s="2">
        <v>46169</v>
      </c>
      <c r="E248" s="2">
        <v>46175</v>
      </c>
      <c r="F248" t="s">
        <v>48</v>
      </c>
      <c r="G248" t="s">
        <v>24</v>
      </c>
      <c r="H248" t="s">
        <v>1014</v>
      </c>
      <c r="I248" t="s">
        <v>26</v>
      </c>
      <c r="J248" t="s">
        <v>1011</v>
      </c>
      <c r="K248" t="s">
        <v>28</v>
      </c>
      <c r="L248" t="s">
        <v>29</v>
      </c>
      <c r="M248" t="s">
        <v>52</v>
      </c>
      <c r="N248" t="s">
        <v>29</v>
      </c>
      <c r="O248" t="s">
        <v>29</v>
      </c>
      <c r="P248" t="s">
        <v>31</v>
      </c>
      <c r="Q248" s="3" t="s">
        <v>1015</v>
      </c>
    </row>
    <row r="249" spans="1:17" ht="15.6" hidden="1" x14ac:dyDescent="0.3">
      <c r="A249" s="2">
        <v>46169</v>
      </c>
      <c r="B249">
        <v>63</v>
      </c>
      <c r="C249" t="s">
        <v>1016</v>
      </c>
      <c r="D249" s="2">
        <v>46169</v>
      </c>
      <c r="E249" s="2">
        <v>46175</v>
      </c>
      <c r="F249" t="s">
        <v>48</v>
      </c>
      <c r="G249" t="s">
        <v>24</v>
      </c>
      <c r="H249" t="s">
        <v>1014</v>
      </c>
      <c r="I249" t="s">
        <v>26</v>
      </c>
      <c r="J249" t="s">
        <v>1011</v>
      </c>
      <c r="K249" t="s">
        <v>28</v>
      </c>
      <c r="L249" t="s">
        <v>29</v>
      </c>
      <c r="M249" t="s">
        <v>52</v>
      </c>
      <c r="N249" t="s">
        <v>29</v>
      </c>
      <c r="O249" t="s">
        <v>29</v>
      </c>
      <c r="P249" t="s">
        <v>31</v>
      </c>
      <c r="Q249" s="3" t="s">
        <v>1017</v>
      </c>
    </row>
    <row r="250" spans="1:17" ht="15.6" hidden="1" x14ac:dyDescent="0.3">
      <c r="A250" s="2">
        <v>46169</v>
      </c>
      <c r="B250">
        <v>62</v>
      </c>
      <c r="C250" t="s">
        <v>1018</v>
      </c>
      <c r="D250" s="2">
        <v>46169</v>
      </c>
      <c r="E250" s="2">
        <v>46176</v>
      </c>
      <c r="F250" t="s">
        <v>162</v>
      </c>
      <c r="G250" t="s">
        <v>24</v>
      </c>
      <c r="H250" t="s">
        <v>1019</v>
      </c>
      <c r="I250" t="s">
        <v>26</v>
      </c>
      <c r="J250" t="s">
        <v>251</v>
      </c>
      <c r="K250" t="s">
        <v>43</v>
      </c>
      <c r="L250" t="s">
        <v>29</v>
      </c>
      <c r="M250" t="s">
        <v>205</v>
      </c>
      <c r="N250" t="s">
        <v>29</v>
      </c>
      <c r="O250" t="s">
        <v>29</v>
      </c>
      <c r="P250" t="s">
        <v>31</v>
      </c>
      <c r="Q250" s="3" t="s">
        <v>1020</v>
      </c>
    </row>
    <row r="251" spans="1:17" ht="15.6" hidden="1" x14ac:dyDescent="0.3">
      <c r="A251" s="2">
        <v>46169</v>
      </c>
      <c r="B251">
        <v>61</v>
      </c>
      <c r="C251" t="s">
        <v>1021</v>
      </c>
      <c r="D251" s="2">
        <v>46169</v>
      </c>
      <c r="E251" s="2">
        <v>46175</v>
      </c>
      <c r="F251" t="s">
        <v>162</v>
      </c>
      <c r="G251" t="s">
        <v>24</v>
      </c>
      <c r="H251" t="s">
        <v>1022</v>
      </c>
      <c r="I251" t="s">
        <v>26</v>
      </c>
      <c r="J251" t="s">
        <v>251</v>
      </c>
      <c r="K251" t="s">
        <v>43</v>
      </c>
      <c r="L251" t="s">
        <v>29</v>
      </c>
      <c r="M251" t="s">
        <v>205</v>
      </c>
      <c r="N251" t="s">
        <v>29</v>
      </c>
      <c r="O251" t="s">
        <v>29</v>
      </c>
      <c r="P251" t="s">
        <v>31</v>
      </c>
      <c r="Q251" s="3" t="s">
        <v>1023</v>
      </c>
    </row>
    <row r="252" spans="1:17" ht="15.6" hidden="1" x14ac:dyDescent="0.3">
      <c r="A252" s="2">
        <v>46169</v>
      </c>
      <c r="B252">
        <v>60</v>
      </c>
      <c r="C252" t="s">
        <v>1024</v>
      </c>
      <c r="D252" s="2">
        <v>46169</v>
      </c>
      <c r="E252" s="2">
        <v>46176</v>
      </c>
      <c r="F252" t="s">
        <v>71</v>
      </c>
      <c r="G252" t="s">
        <v>24</v>
      </c>
      <c r="H252" t="s">
        <v>1025</v>
      </c>
      <c r="I252" t="s">
        <v>26</v>
      </c>
      <c r="J252" t="s">
        <v>371</v>
      </c>
      <c r="K252" t="s">
        <v>43</v>
      </c>
      <c r="L252" t="s">
        <v>29</v>
      </c>
      <c r="M252" t="s">
        <v>205</v>
      </c>
      <c r="N252" t="s">
        <v>29</v>
      </c>
      <c r="O252" t="s">
        <v>29</v>
      </c>
      <c r="P252" t="s">
        <v>31</v>
      </c>
      <c r="Q252" s="3" t="s">
        <v>1026</v>
      </c>
    </row>
    <row r="253" spans="1:17" ht="15.6" hidden="1" x14ac:dyDescent="0.3">
      <c r="A253" s="2">
        <v>46169</v>
      </c>
      <c r="B253">
        <v>59</v>
      </c>
      <c r="C253" t="s">
        <v>1027</v>
      </c>
      <c r="D253" s="2">
        <v>46169</v>
      </c>
      <c r="E253" s="2">
        <v>46171</v>
      </c>
      <c r="F253" t="s">
        <v>162</v>
      </c>
      <c r="G253" t="s">
        <v>24</v>
      </c>
      <c r="H253" t="s">
        <v>1028</v>
      </c>
      <c r="I253" t="s">
        <v>26</v>
      </c>
      <c r="J253" t="s">
        <v>1029</v>
      </c>
      <c r="K253" t="s">
        <v>43</v>
      </c>
      <c r="L253" t="s">
        <v>29</v>
      </c>
      <c r="M253" t="s">
        <v>154</v>
      </c>
      <c r="N253" t="s">
        <v>29</v>
      </c>
      <c r="O253" t="s">
        <v>29</v>
      </c>
      <c r="P253" t="s">
        <v>31</v>
      </c>
      <c r="Q253" s="3" t="s">
        <v>1030</v>
      </c>
    </row>
    <row r="254" spans="1:17" ht="15.6" hidden="1" x14ac:dyDescent="0.3">
      <c r="A254" s="2">
        <v>46169</v>
      </c>
      <c r="B254">
        <v>58</v>
      </c>
      <c r="C254" t="s">
        <v>1031</v>
      </c>
      <c r="D254" s="2">
        <v>46169</v>
      </c>
      <c r="E254" s="2">
        <v>46178</v>
      </c>
      <c r="F254" t="s">
        <v>56</v>
      </c>
      <c r="G254" t="s">
        <v>24</v>
      </c>
      <c r="H254" t="s">
        <v>1032</v>
      </c>
      <c r="I254" t="s">
        <v>26</v>
      </c>
      <c r="J254" t="s">
        <v>1033</v>
      </c>
      <c r="K254" t="s">
        <v>86</v>
      </c>
      <c r="L254" t="s">
        <v>29</v>
      </c>
      <c r="M254" t="s">
        <v>30</v>
      </c>
      <c r="N254" t="s">
        <v>29</v>
      </c>
      <c r="O254" t="s">
        <v>29</v>
      </c>
      <c r="P254" t="s">
        <v>31</v>
      </c>
      <c r="Q254" s="3" t="s">
        <v>1034</v>
      </c>
    </row>
    <row r="255" spans="1:17" ht="15.6" hidden="1" x14ac:dyDescent="0.3">
      <c r="A255" s="2">
        <v>46169</v>
      </c>
      <c r="B255">
        <v>57</v>
      </c>
      <c r="C255" t="s">
        <v>1035</v>
      </c>
      <c r="D255" s="2">
        <v>46169</v>
      </c>
      <c r="E255" s="2">
        <v>46192</v>
      </c>
      <c r="F255" t="s">
        <v>71</v>
      </c>
      <c r="G255" t="s">
        <v>24</v>
      </c>
      <c r="H255" t="s">
        <v>1036</v>
      </c>
      <c r="I255" t="s">
        <v>26</v>
      </c>
      <c r="J255" t="s">
        <v>371</v>
      </c>
      <c r="K255" t="s">
        <v>86</v>
      </c>
      <c r="L255" t="s">
        <v>29</v>
      </c>
      <c r="M255" t="s">
        <v>624</v>
      </c>
      <c r="N255" t="s">
        <v>38</v>
      </c>
      <c r="O255" t="s">
        <v>38</v>
      </c>
      <c r="P255" t="s">
        <v>1037</v>
      </c>
      <c r="Q255" s="3" t="s">
        <v>1038</v>
      </c>
    </row>
    <row r="256" spans="1:17" ht="15.6" hidden="1" x14ac:dyDescent="0.3">
      <c r="A256" s="2">
        <v>46169</v>
      </c>
      <c r="B256">
        <v>56</v>
      </c>
      <c r="C256" t="s">
        <v>1039</v>
      </c>
      <c r="D256" s="2">
        <v>46169</v>
      </c>
      <c r="E256" s="2">
        <v>46183</v>
      </c>
      <c r="F256" t="s">
        <v>385</v>
      </c>
      <c r="G256" t="s">
        <v>57</v>
      </c>
      <c r="H256" t="s">
        <v>1040</v>
      </c>
      <c r="I256" t="s">
        <v>26</v>
      </c>
      <c r="J256" t="s">
        <v>387</v>
      </c>
      <c r="K256" t="s">
        <v>43</v>
      </c>
      <c r="L256" t="s">
        <v>29</v>
      </c>
      <c r="M256" t="s">
        <v>256</v>
      </c>
      <c r="N256" t="s">
        <v>38</v>
      </c>
      <c r="O256" t="s">
        <v>38</v>
      </c>
      <c r="P256" t="s">
        <v>1041</v>
      </c>
      <c r="Q256" s="3" t="s">
        <v>1042</v>
      </c>
    </row>
    <row r="257" spans="1:17" ht="15.6" hidden="1" x14ac:dyDescent="0.3">
      <c r="A257" s="2">
        <v>46169</v>
      </c>
      <c r="B257">
        <v>55</v>
      </c>
      <c r="C257" t="s">
        <v>1043</v>
      </c>
      <c r="D257" s="2">
        <v>46169</v>
      </c>
      <c r="E257" s="2">
        <v>46175</v>
      </c>
      <c r="F257" t="s">
        <v>48</v>
      </c>
      <c r="G257" t="s">
        <v>24</v>
      </c>
      <c r="H257" t="s">
        <v>1014</v>
      </c>
      <c r="I257" t="s">
        <v>26</v>
      </c>
      <c r="J257" t="s">
        <v>1011</v>
      </c>
      <c r="K257" t="s">
        <v>28</v>
      </c>
      <c r="L257" t="s">
        <v>29</v>
      </c>
      <c r="M257" t="s">
        <v>52</v>
      </c>
      <c r="N257" t="s">
        <v>29</v>
      </c>
      <c r="O257" t="s">
        <v>29</v>
      </c>
      <c r="P257" t="s">
        <v>31</v>
      </c>
      <c r="Q257" s="3" t="s">
        <v>1044</v>
      </c>
    </row>
    <row r="258" spans="1:17" ht="15.6" hidden="1" x14ac:dyDescent="0.3">
      <c r="A258" s="2">
        <v>46169</v>
      </c>
      <c r="B258">
        <v>54</v>
      </c>
      <c r="C258" t="s">
        <v>1045</v>
      </c>
      <c r="D258" s="2">
        <v>46169</v>
      </c>
      <c r="E258" s="2">
        <v>46170</v>
      </c>
      <c r="F258" t="s">
        <v>747</v>
      </c>
      <c r="G258" t="s">
        <v>34</v>
      </c>
      <c r="H258" t="s">
        <v>1046</v>
      </c>
      <c r="I258" t="s">
        <v>26</v>
      </c>
      <c r="J258" t="s">
        <v>50</v>
      </c>
      <c r="K258" t="s">
        <v>86</v>
      </c>
      <c r="L258" t="s">
        <v>29</v>
      </c>
      <c r="M258" t="s">
        <v>966</v>
      </c>
      <c r="N258" t="s">
        <v>29</v>
      </c>
      <c r="O258" t="s">
        <v>29</v>
      </c>
      <c r="P258" t="s">
        <v>31</v>
      </c>
      <c r="Q258" s="3" t="s">
        <v>1047</v>
      </c>
    </row>
    <row r="259" spans="1:17" ht="15.6" hidden="1" x14ac:dyDescent="0.3">
      <c r="A259" s="2">
        <v>46169</v>
      </c>
      <c r="B259">
        <v>53</v>
      </c>
      <c r="C259" t="s">
        <v>1048</v>
      </c>
      <c r="D259" s="2">
        <v>46169</v>
      </c>
      <c r="E259" s="2">
        <v>46177</v>
      </c>
      <c r="F259" t="s">
        <v>71</v>
      </c>
      <c r="G259" t="s">
        <v>24</v>
      </c>
      <c r="H259" t="s">
        <v>1049</v>
      </c>
      <c r="I259" t="s">
        <v>26</v>
      </c>
      <c r="J259" t="s">
        <v>1050</v>
      </c>
      <c r="K259" t="s">
        <v>51</v>
      </c>
      <c r="L259" t="s">
        <v>29</v>
      </c>
      <c r="M259" t="s">
        <v>94</v>
      </c>
      <c r="N259" t="s">
        <v>38</v>
      </c>
      <c r="O259" t="s">
        <v>38</v>
      </c>
      <c r="P259" t="s">
        <v>1051</v>
      </c>
      <c r="Q259" s="3" t="s">
        <v>1052</v>
      </c>
    </row>
    <row r="260" spans="1:17" ht="15.6" hidden="1" x14ac:dyDescent="0.3">
      <c r="A260" s="2">
        <v>46169</v>
      </c>
      <c r="B260">
        <v>52</v>
      </c>
      <c r="C260" t="s">
        <v>1053</v>
      </c>
      <c r="D260" s="2">
        <v>46169</v>
      </c>
      <c r="E260" s="2">
        <v>46191</v>
      </c>
      <c r="F260" t="s">
        <v>747</v>
      </c>
      <c r="G260" t="s">
        <v>24</v>
      </c>
      <c r="H260" t="s">
        <v>1054</v>
      </c>
      <c r="I260" t="s">
        <v>26</v>
      </c>
      <c r="J260" t="s">
        <v>50</v>
      </c>
      <c r="K260" t="s">
        <v>43</v>
      </c>
      <c r="L260" t="s">
        <v>29</v>
      </c>
      <c r="M260" t="s">
        <v>340</v>
      </c>
      <c r="N260" t="s">
        <v>38</v>
      </c>
      <c r="O260" t="s">
        <v>38</v>
      </c>
      <c r="P260" t="s">
        <v>1055</v>
      </c>
      <c r="Q260" s="3" t="s">
        <v>1056</v>
      </c>
    </row>
    <row r="261" spans="1:17" ht="15.6" hidden="1" x14ac:dyDescent="0.3">
      <c r="A261" s="2">
        <v>46169</v>
      </c>
      <c r="B261">
        <v>51</v>
      </c>
      <c r="C261" t="s">
        <v>1057</v>
      </c>
      <c r="D261" s="2">
        <v>46169</v>
      </c>
      <c r="E261" s="2">
        <v>46185</v>
      </c>
      <c r="F261" t="s">
        <v>48</v>
      </c>
      <c r="G261" t="s">
        <v>24</v>
      </c>
      <c r="H261" t="s">
        <v>1058</v>
      </c>
      <c r="I261" t="s">
        <v>26</v>
      </c>
      <c r="J261" t="s">
        <v>50</v>
      </c>
      <c r="K261" t="s">
        <v>86</v>
      </c>
      <c r="L261" t="s">
        <v>29</v>
      </c>
      <c r="M261" t="s">
        <v>220</v>
      </c>
      <c r="N261" t="s">
        <v>38</v>
      </c>
      <c r="O261" t="s">
        <v>38</v>
      </c>
      <c r="P261" t="s">
        <v>1059</v>
      </c>
      <c r="Q261" s="3" t="s">
        <v>1060</v>
      </c>
    </row>
    <row r="262" spans="1:17" ht="15.6" hidden="1" x14ac:dyDescent="0.3">
      <c r="A262" s="2">
        <v>46169</v>
      </c>
      <c r="B262">
        <v>50</v>
      </c>
      <c r="C262" t="s">
        <v>1061</v>
      </c>
      <c r="D262" s="2">
        <v>46169</v>
      </c>
      <c r="E262" s="2">
        <v>46197</v>
      </c>
      <c r="F262" t="s">
        <v>71</v>
      </c>
      <c r="G262" t="s">
        <v>34</v>
      </c>
      <c r="H262" t="s">
        <v>1062</v>
      </c>
      <c r="I262" t="s">
        <v>26</v>
      </c>
      <c r="J262" t="s">
        <v>50</v>
      </c>
      <c r="K262" t="s">
        <v>86</v>
      </c>
      <c r="L262" t="s">
        <v>29</v>
      </c>
      <c r="M262" t="s">
        <v>170</v>
      </c>
      <c r="N262" t="s">
        <v>38</v>
      </c>
      <c r="O262" t="s">
        <v>38</v>
      </c>
      <c r="P262" t="s">
        <v>1063</v>
      </c>
      <c r="Q262" s="3" t="s">
        <v>1064</v>
      </c>
    </row>
    <row r="263" spans="1:17" ht="15.6" hidden="1" x14ac:dyDescent="0.3">
      <c r="A263" s="2">
        <v>46169</v>
      </c>
      <c r="B263">
        <v>49</v>
      </c>
      <c r="C263" t="s">
        <v>1065</v>
      </c>
      <c r="D263" s="2">
        <v>46169</v>
      </c>
      <c r="E263" s="2">
        <v>46177</v>
      </c>
      <c r="F263" t="s">
        <v>48</v>
      </c>
      <c r="G263" t="s">
        <v>57</v>
      </c>
      <c r="H263" t="s">
        <v>1066</v>
      </c>
      <c r="I263" t="s">
        <v>26</v>
      </c>
      <c r="J263" t="s">
        <v>50</v>
      </c>
      <c r="K263" t="s">
        <v>86</v>
      </c>
      <c r="L263" t="s">
        <v>29</v>
      </c>
      <c r="M263" t="s">
        <v>103</v>
      </c>
      <c r="N263" t="s">
        <v>29</v>
      </c>
      <c r="O263" t="s">
        <v>29</v>
      </c>
      <c r="P263" t="s">
        <v>31</v>
      </c>
      <c r="Q263" s="3" t="s">
        <v>1067</v>
      </c>
    </row>
    <row r="264" spans="1:17" ht="15.6" hidden="1" x14ac:dyDescent="0.3">
      <c r="A264" s="2">
        <v>46169</v>
      </c>
      <c r="B264">
        <v>48</v>
      </c>
      <c r="C264" t="s">
        <v>1068</v>
      </c>
      <c r="D264" s="2">
        <v>46169</v>
      </c>
      <c r="E264" s="2">
        <v>46174</v>
      </c>
      <c r="F264" t="s">
        <v>71</v>
      </c>
      <c r="G264" t="s">
        <v>24</v>
      </c>
      <c r="H264" t="s">
        <v>1069</v>
      </c>
      <c r="I264" t="s">
        <v>26</v>
      </c>
      <c r="J264" t="s">
        <v>581</v>
      </c>
      <c r="K264" t="s">
        <v>43</v>
      </c>
      <c r="L264" t="s">
        <v>29</v>
      </c>
      <c r="M264" t="s">
        <v>231</v>
      </c>
      <c r="N264" t="s">
        <v>29</v>
      </c>
      <c r="O264" t="s">
        <v>29</v>
      </c>
      <c r="P264" t="s">
        <v>31</v>
      </c>
      <c r="Q264" s="3" t="s">
        <v>1070</v>
      </c>
    </row>
    <row r="265" spans="1:17" ht="15.6" hidden="1" x14ac:dyDescent="0.3">
      <c r="A265" s="2">
        <v>46169</v>
      </c>
      <c r="B265">
        <v>47</v>
      </c>
      <c r="C265" t="s">
        <v>1071</v>
      </c>
      <c r="D265" s="2">
        <v>46169</v>
      </c>
      <c r="E265" s="2">
        <v>46192</v>
      </c>
      <c r="F265" t="s">
        <v>71</v>
      </c>
      <c r="G265" t="s">
        <v>34</v>
      </c>
      <c r="H265" t="s">
        <v>1072</v>
      </c>
      <c r="I265" t="s">
        <v>26</v>
      </c>
      <c r="J265" t="s">
        <v>503</v>
      </c>
      <c r="K265" t="s">
        <v>36</v>
      </c>
      <c r="L265" t="s">
        <v>29</v>
      </c>
      <c r="M265" t="s">
        <v>109</v>
      </c>
      <c r="N265" t="s">
        <v>38</v>
      </c>
      <c r="O265" t="s">
        <v>38</v>
      </c>
      <c r="P265" t="s">
        <v>1073</v>
      </c>
      <c r="Q265" s="3" t="s">
        <v>1074</v>
      </c>
    </row>
    <row r="266" spans="1:17" ht="15.6" hidden="1" x14ac:dyDescent="0.3">
      <c r="A266" s="2">
        <v>46169</v>
      </c>
      <c r="B266">
        <v>46</v>
      </c>
      <c r="C266" t="s">
        <v>1075</v>
      </c>
      <c r="D266" s="2">
        <v>46169</v>
      </c>
      <c r="E266" s="2">
        <v>46184</v>
      </c>
      <c r="F266" t="s">
        <v>1076</v>
      </c>
      <c r="G266" t="s">
        <v>57</v>
      </c>
      <c r="H266" t="s">
        <v>1077</v>
      </c>
      <c r="I266" t="s">
        <v>26</v>
      </c>
      <c r="J266" t="s">
        <v>50</v>
      </c>
      <c r="K266" t="s">
        <v>28</v>
      </c>
      <c r="L266" t="s">
        <v>29</v>
      </c>
      <c r="M266" t="s">
        <v>44</v>
      </c>
      <c r="N266" t="s">
        <v>38</v>
      </c>
      <c r="O266" t="s">
        <v>29</v>
      </c>
      <c r="P266" t="s">
        <v>1078</v>
      </c>
      <c r="Q266" s="3" t="s">
        <v>1079</v>
      </c>
    </row>
    <row r="267" spans="1:17" ht="15.6" hidden="1" x14ac:dyDescent="0.3">
      <c r="A267" s="2">
        <v>46169</v>
      </c>
      <c r="B267">
        <v>45</v>
      </c>
      <c r="C267" t="s">
        <v>1080</v>
      </c>
      <c r="D267" s="2">
        <v>46169</v>
      </c>
      <c r="E267" s="2">
        <v>46190</v>
      </c>
      <c r="F267" t="s">
        <v>71</v>
      </c>
      <c r="G267" t="s">
        <v>34</v>
      </c>
      <c r="H267" t="s">
        <v>1081</v>
      </c>
      <c r="I267" t="s">
        <v>26</v>
      </c>
      <c r="J267" t="s">
        <v>1082</v>
      </c>
      <c r="K267" t="s">
        <v>43</v>
      </c>
      <c r="L267" t="s">
        <v>29</v>
      </c>
      <c r="M267" t="s">
        <v>109</v>
      </c>
      <c r="N267" t="s">
        <v>38</v>
      </c>
      <c r="O267" t="s">
        <v>38</v>
      </c>
      <c r="P267" t="s">
        <v>1083</v>
      </c>
      <c r="Q267" s="3" t="s">
        <v>1084</v>
      </c>
    </row>
    <row r="268" spans="1:17" ht="15.6" hidden="1" x14ac:dyDescent="0.3">
      <c r="A268" s="2">
        <v>46169</v>
      </c>
      <c r="B268">
        <v>44</v>
      </c>
      <c r="C268" t="s">
        <v>1085</v>
      </c>
      <c r="D268" s="2">
        <v>46169</v>
      </c>
      <c r="E268" s="2">
        <v>46178</v>
      </c>
      <c r="F268" t="s">
        <v>48</v>
      </c>
      <c r="G268" t="s">
        <v>24</v>
      </c>
      <c r="H268" t="s">
        <v>1086</v>
      </c>
      <c r="I268" t="s">
        <v>26</v>
      </c>
      <c r="J268" t="s">
        <v>1087</v>
      </c>
      <c r="K268" t="s">
        <v>51</v>
      </c>
      <c r="L268" t="s">
        <v>29</v>
      </c>
      <c r="M268" t="s">
        <v>314</v>
      </c>
      <c r="N268" t="s">
        <v>29</v>
      </c>
      <c r="O268" t="s">
        <v>29</v>
      </c>
      <c r="P268" t="s">
        <v>31</v>
      </c>
      <c r="Q268" s="3" t="s">
        <v>1088</v>
      </c>
    </row>
    <row r="269" spans="1:17" ht="15.6" hidden="1" x14ac:dyDescent="0.3">
      <c r="A269" s="2">
        <v>46169</v>
      </c>
      <c r="B269">
        <v>43</v>
      </c>
      <c r="C269" t="s">
        <v>1089</v>
      </c>
      <c r="D269" s="2">
        <v>46169</v>
      </c>
      <c r="E269" s="2">
        <v>46196</v>
      </c>
      <c r="F269" t="s">
        <v>71</v>
      </c>
      <c r="G269" t="s">
        <v>24</v>
      </c>
      <c r="H269" t="s">
        <v>1090</v>
      </c>
      <c r="I269" t="s">
        <v>26</v>
      </c>
      <c r="J269" t="s">
        <v>1091</v>
      </c>
      <c r="K269" t="s">
        <v>86</v>
      </c>
      <c r="L269" t="s">
        <v>29</v>
      </c>
      <c r="M269" t="s">
        <v>44</v>
      </c>
      <c r="N269" t="s">
        <v>38</v>
      </c>
      <c r="O269" t="s">
        <v>38</v>
      </c>
      <c r="P269" t="s">
        <v>1092</v>
      </c>
      <c r="Q269" s="3" t="s">
        <v>1093</v>
      </c>
    </row>
    <row r="270" spans="1:17" ht="15.6" hidden="1" x14ac:dyDescent="0.3">
      <c r="A270" s="2">
        <v>46169</v>
      </c>
      <c r="B270">
        <v>42</v>
      </c>
      <c r="C270" t="s">
        <v>1094</v>
      </c>
      <c r="D270" s="2">
        <v>46169</v>
      </c>
      <c r="E270" s="2">
        <v>46175</v>
      </c>
      <c r="F270" t="s">
        <v>162</v>
      </c>
      <c r="G270" t="s">
        <v>24</v>
      </c>
      <c r="H270" t="s">
        <v>1095</v>
      </c>
      <c r="I270" t="s">
        <v>26</v>
      </c>
      <c r="J270" t="s">
        <v>365</v>
      </c>
      <c r="K270" t="s">
        <v>43</v>
      </c>
      <c r="L270" t="s">
        <v>29</v>
      </c>
      <c r="M270" t="s">
        <v>103</v>
      </c>
      <c r="N270" t="s">
        <v>29</v>
      </c>
      <c r="O270" t="s">
        <v>29</v>
      </c>
      <c r="P270" t="s">
        <v>31</v>
      </c>
      <c r="Q270" s="3" t="s">
        <v>1096</v>
      </c>
    </row>
    <row r="271" spans="1:17" ht="15.6" hidden="1" x14ac:dyDescent="0.3">
      <c r="A271" s="2">
        <v>46169</v>
      </c>
      <c r="B271">
        <v>41</v>
      </c>
      <c r="C271" t="s">
        <v>1097</v>
      </c>
      <c r="D271" s="2">
        <v>46169</v>
      </c>
      <c r="E271" s="2">
        <v>46199</v>
      </c>
      <c r="F271" t="s">
        <v>71</v>
      </c>
      <c r="G271" t="s">
        <v>57</v>
      </c>
      <c r="H271" t="s">
        <v>1098</v>
      </c>
      <c r="I271" t="s">
        <v>26</v>
      </c>
      <c r="J271" t="s">
        <v>149</v>
      </c>
      <c r="K271" t="s">
        <v>43</v>
      </c>
      <c r="L271" t="s">
        <v>29</v>
      </c>
      <c r="M271" t="s">
        <v>103</v>
      </c>
      <c r="N271" t="s">
        <v>38</v>
      </c>
      <c r="O271" t="s">
        <v>29</v>
      </c>
      <c r="P271" t="s">
        <v>1099</v>
      </c>
      <c r="Q271" s="3" t="s">
        <v>1100</v>
      </c>
    </row>
    <row r="272" spans="1:17" ht="15.6" hidden="1" x14ac:dyDescent="0.3">
      <c r="A272" s="2">
        <v>46169</v>
      </c>
      <c r="B272">
        <v>40</v>
      </c>
      <c r="C272" t="s">
        <v>1101</v>
      </c>
      <c r="D272" s="2">
        <v>46169</v>
      </c>
      <c r="E272" s="2">
        <v>46191</v>
      </c>
      <c r="F272" t="s">
        <v>71</v>
      </c>
      <c r="G272" t="s">
        <v>34</v>
      </c>
      <c r="H272" t="s">
        <v>1102</v>
      </c>
      <c r="I272" t="s">
        <v>26</v>
      </c>
      <c r="J272" t="s">
        <v>503</v>
      </c>
      <c r="K272" t="s">
        <v>36</v>
      </c>
      <c r="L272" t="s">
        <v>29</v>
      </c>
      <c r="M272" t="s">
        <v>109</v>
      </c>
      <c r="N272" t="s">
        <v>38</v>
      </c>
      <c r="O272" t="s">
        <v>29</v>
      </c>
      <c r="P272" t="s">
        <v>1103</v>
      </c>
      <c r="Q272" s="3" t="s">
        <v>1104</v>
      </c>
    </row>
    <row r="273" spans="1:17" ht="15.6" hidden="1" x14ac:dyDescent="0.3">
      <c r="A273" s="2">
        <v>46169</v>
      </c>
      <c r="B273">
        <v>39</v>
      </c>
      <c r="C273" t="s">
        <v>1105</v>
      </c>
      <c r="D273" s="2">
        <v>46169</v>
      </c>
      <c r="E273" s="2">
        <v>46177</v>
      </c>
      <c r="F273" t="s">
        <v>71</v>
      </c>
      <c r="G273" t="s">
        <v>24</v>
      </c>
      <c r="H273" t="s">
        <v>1106</v>
      </c>
      <c r="I273" t="s">
        <v>26</v>
      </c>
      <c r="J273" t="s">
        <v>1107</v>
      </c>
      <c r="K273" t="s">
        <v>43</v>
      </c>
      <c r="L273" t="s">
        <v>29</v>
      </c>
      <c r="M273" t="s">
        <v>727</v>
      </c>
      <c r="N273" t="s">
        <v>29</v>
      </c>
      <c r="O273" t="s">
        <v>29</v>
      </c>
      <c r="P273" t="s">
        <v>31</v>
      </c>
      <c r="Q273" s="3" t="s">
        <v>1108</v>
      </c>
    </row>
    <row r="274" spans="1:17" ht="15.6" hidden="1" x14ac:dyDescent="0.3">
      <c r="A274" s="2">
        <v>46169</v>
      </c>
      <c r="B274">
        <v>38</v>
      </c>
      <c r="C274" t="s">
        <v>1109</v>
      </c>
      <c r="D274" s="2">
        <v>46169</v>
      </c>
      <c r="E274" s="2">
        <v>46175</v>
      </c>
      <c r="F274" t="s">
        <v>71</v>
      </c>
      <c r="G274" t="s">
        <v>34</v>
      </c>
      <c r="H274" t="s">
        <v>1110</v>
      </c>
      <c r="I274" t="s">
        <v>26</v>
      </c>
      <c r="J274" t="s">
        <v>744</v>
      </c>
      <c r="K274" t="s">
        <v>86</v>
      </c>
      <c r="L274" t="s">
        <v>29</v>
      </c>
      <c r="M274" t="s">
        <v>831</v>
      </c>
      <c r="N274" t="s">
        <v>29</v>
      </c>
      <c r="O274" t="s">
        <v>29</v>
      </c>
      <c r="P274" t="s">
        <v>31</v>
      </c>
      <c r="Q274" s="3" t="s">
        <v>1111</v>
      </c>
    </row>
    <row r="275" spans="1:17" ht="15.6" hidden="1" x14ac:dyDescent="0.3">
      <c r="A275" s="2">
        <v>46169</v>
      </c>
      <c r="B275">
        <v>37</v>
      </c>
      <c r="C275" t="s">
        <v>1112</v>
      </c>
      <c r="D275" s="2">
        <v>46169</v>
      </c>
      <c r="E275" s="2">
        <v>46192</v>
      </c>
      <c r="F275" t="s">
        <v>71</v>
      </c>
      <c r="G275" t="s">
        <v>34</v>
      </c>
      <c r="H275" t="s">
        <v>1113</v>
      </c>
      <c r="I275" t="s">
        <v>26</v>
      </c>
      <c r="J275" t="s">
        <v>503</v>
      </c>
      <c r="K275" t="s">
        <v>36</v>
      </c>
      <c r="L275" t="s">
        <v>29</v>
      </c>
      <c r="M275" t="s">
        <v>109</v>
      </c>
      <c r="N275" t="s">
        <v>38</v>
      </c>
      <c r="O275" t="s">
        <v>38</v>
      </c>
      <c r="P275" t="s">
        <v>1114</v>
      </c>
      <c r="Q275" s="3" t="s">
        <v>1115</v>
      </c>
    </row>
    <row r="276" spans="1:17" ht="15.6" hidden="1" x14ac:dyDescent="0.3">
      <c r="A276" s="2">
        <v>46169</v>
      </c>
      <c r="B276">
        <v>36</v>
      </c>
      <c r="C276" t="s">
        <v>1116</v>
      </c>
      <c r="D276" s="2">
        <v>46169</v>
      </c>
      <c r="E276" s="2">
        <v>46185</v>
      </c>
      <c r="F276" t="s">
        <v>71</v>
      </c>
      <c r="G276" t="s">
        <v>874</v>
      </c>
      <c r="H276" t="s">
        <v>1117</v>
      </c>
      <c r="I276" t="s">
        <v>26</v>
      </c>
      <c r="J276" t="s">
        <v>1118</v>
      </c>
      <c r="K276" t="s">
        <v>28</v>
      </c>
      <c r="L276" t="s">
        <v>29</v>
      </c>
      <c r="M276" t="s">
        <v>696</v>
      </c>
      <c r="N276" t="s">
        <v>38</v>
      </c>
      <c r="O276" t="s">
        <v>29</v>
      </c>
      <c r="P276" t="s">
        <v>1119</v>
      </c>
      <c r="Q276" s="3" t="s">
        <v>1120</v>
      </c>
    </row>
    <row r="277" spans="1:17" ht="15.6" hidden="1" x14ac:dyDescent="0.3">
      <c r="A277" s="2">
        <v>46169</v>
      </c>
      <c r="B277">
        <v>35</v>
      </c>
      <c r="C277" t="s">
        <v>1121</v>
      </c>
      <c r="D277" s="2">
        <v>46169</v>
      </c>
      <c r="E277" s="2">
        <v>46175</v>
      </c>
      <c r="F277" t="s">
        <v>48</v>
      </c>
      <c r="G277" t="s">
        <v>24</v>
      </c>
      <c r="H277" t="s">
        <v>1122</v>
      </c>
      <c r="I277" t="s">
        <v>26</v>
      </c>
      <c r="J277" t="s">
        <v>431</v>
      </c>
      <c r="K277" t="s">
        <v>36</v>
      </c>
      <c r="L277" t="s">
        <v>29</v>
      </c>
      <c r="M277" t="s">
        <v>521</v>
      </c>
      <c r="N277" t="s">
        <v>29</v>
      </c>
      <c r="O277" t="s">
        <v>29</v>
      </c>
      <c r="P277" t="s">
        <v>31</v>
      </c>
      <c r="Q277" s="3" t="s">
        <v>1123</v>
      </c>
    </row>
    <row r="278" spans="1:17" ht="15.6" hidden="1" x14ac:dyDescent="0.3">
      <c r="A278" s="2">
        <v>46169</v>
      </c>
      <c r="B278">
        <v>34</v>
      </c>
      <c r="C278" t="s">
        <v>1124</v>
      </c>
      <c r="D278" s="2">
        <v>46169</v>
      </c>
      <c r="E278" s="2">
        <v>46175</v>
      </c>
      <c r="F278" t="s">
        <v>48</v>
      </c>
      <c r="G278" t="s">
        <v>24</v>
      </c>
      <c r="H278" t="s">
        <v>1125</v>
      </c>
      <c r="I278" t="s">
        <v>26</v>
      </c>
      <c r="J278" t="s">
        <v>431</v>
      </c>
      <c r="K278" t="s">
        <v>36</v>
      </c>
      <c r="L278" t="s">
        <v>29</v>
      </c>
      <c r="M278" t="s">
        <v>521</v>
      </c>
      <c r="N278" t="s">
        <v>29</v>
      </c>
      <c r="O278" t="s">
        <v>29</v>
      </c>
      <c r="P278" t="s">
        <v>31</v>
      </c>
      <c r="Q278" s="3" t="s">
        <v>1126</v>
      </c>
    </row>
    <row r="279" spans="1:17" ht="15.6" hidden="1" x14ac:dyDescent="0.3">
      <c r="A279" s="2">
        <v>46169</v>
      </c>
      <c r="B279">
        <v>33</v>
      </c>
      <c r="C279" t="s">
        <v>1127</v>
      </c>
      <c r="D279" s="2">
        <v>46169</v>
      </c>
      <c r="E279" s="2">
        <v>46175</v>
      </c>
      <c r="F279" t="s">
        <v>48</v>
      </c>
      <c r="G279" t="s">
        <v>24</v>
      </c>
      <c r="H279" t="s">
        <v>1128</v>
      </c>
      <c r="I279" t="s">
        <v>26</v>
      </c>
      <c r="J279" t="s">
        <v>431</v>
      </c>
      <c r="K279" t="s">
        <v>36</v>
      </c>
      <c r="L279" t="s">
        <v>29</v>
      </c>
      <c r="M279" t="s">
        <v>521</v>
      </c>
      <c r="N279" t="s">
        <v>29</v>
      </c>
      <c r="O279" t="s">
        <v>29</v>
      </c>
      <c r="P279" t="s">
        <v>31</v>
      </c>
      <c r="Q279" s="3" t="s">
        <v>1129</v>
      </c>
    </row>
    <row r="280" spans="1:17" ht="15.6" hidden="1" x14ac:dyDescent="0.3">
      <c r="A280" s="2">
        <v>46169</v>
      </c>
      <c r="B280">
        <v>32</v>
      </c>
      <c r="C280" t="s">
        <v>1130</v>
      </c>
      <c r="D280" s="2">
        <v>46169</v>
      </c>
      <c r="E280" s="2">
        <v>46178</v>
      </c>
      <c r="F280" t="s">
        <v>23</v>
      </c>
      <c r="G280" t="s">
        <v>34</v>
      </c>
      <c r="H280" t="s">
        <v>1131</v>
      </c>
      <c r="I280" t="s">
        <v>26</v>
      </c>
      <c r="J280" t="s">
        <v>27</v>
      </c>
      <c r="K280" t="s">
        <v>62</v>
      </c>
      <c r="L280" t="s">
        <v>29</v>
      </c>
      <c r="M280" t="s">
        <v>757</v>
      </c>
      <c r="N280" t="s">
        <v>29</v>
      </c>
      <c r="O280" t="s">
        <v>29</v>
      </c>
      <c r="P280" t="s">
        <v>31</v>
      </c>
      <c r="Q280" s="3" t="s">
        <v>1132</v>
      </c>
    </row>
    <row r="281" spans="1:17" ht="15.6" hidden="1" x14ac:dyDescent="0.3">
      <c r="A281" s="2">
        <v>46169</v>
      </c>
      <c r="B281">
        <v>31</v>
      </c>
      <c r="C281" t="s">
        <v>1133</v>
      </c>
      <c r="D281" s="2">
        <v>46169</v>
      </c>
      <c r="E281" s="2">
        <v>46191</v>
      </c>
      <c r="F281" t="s">
        <v>71</v>
      </c>
      <c r="G281" t="s">
        <v>34</v>
      </c>
      <c r="H281" t="s">
        <v>1134</v>
      </c>
      <c r="I281" t="s">
        <v>26</v>
      </c>
      <c r="J281" t="s">
        <v>1135</v>
      </c>
      <c r="K281" t="s">
        <v>214</v>
      </c>
      <c r="L281" t="s">
        <v>29</v>
      </c>
      <c r="M281" t="s">
        <v>103</v>
      </c>
      <c r="N281" t="s">
        <v>38</v>
      </c>
      <c r="O281" t="s">
        <v>38</v>
      </c>
      <c r="P281" t="s">
        <v>1136</v>
      </c>
      <c r="Q281" s="3" t="s">
        <v>1137</v>
      </c>
    </row>
    <row r="282" spans="1:17" ht="15.6" hidden="1" x14ac:dyDescent="0.3">
      <c r="A282" s="2">
        <v>46169</v>
      </c>
      <c r="B282">
        <v>30</v>
      </c>
      <c r="C282" t="s">
        <v>1138</v>
      </c>
      <c r="D282" s="2">
        <v>46169</v>
      </c>
      <c r="E282" s="2">
        <v>46184</v>
      </c>
      <c r="F282" t="s">
        <v>23</v>
      </c>
      <c r="G282" t="s">
        <v>24</v>
      </c>
      <c r="H282" t="s">
        <v>1139</v>
      </c>
      <c r="I282" t="s">
        <v>26</v>
      </c>
      <c r="J282" t="s">
        <v>1140</v>
      </c>
      <c r="K282" t="s">
        <v>86</v>
      </c>
      <c r="L282" t="s">
        <v>29</v>
      </c>
      <c r="M282" t="s">
        <v>44</v>
      </c>
      <c r="N282" t="s">
        <v>29</v>
      </c>
      <c r="O282" t="s">
        <v>29</v>
      </c>
      <c r="P282" t="s">
        <v>31</v>
      </c>
      <c r="Q282" s="3" t="s">
        <v>1141</v>
      </c>
    </row>
    <row r="283" spans="1:17" ht="15.6" hidden="1" x14ac:dyDescent="0.3">
      <c r="A283" s="2">
        <v>46169</v>
      </c>
      <c r="B283">
        <v>29</v>
      </c>
      <c r="C283" t="s">
        <v>1142</v>
      </c>
      <c r="D283" s="2">
        <v>46169</v>
      </c>
      <c r="E283" s="2">
        <v>46199</v>
      </c>
      <c r="F283" t="s">
        <v>23</v>
      </c>
      <c r="G283" t="s">
        <v>34</v>
      </c>
      <c r="H283" t="s">
        <v>1143</v>
      </c>
      <c r="I283" t="s">
        <v>26</v>
      </c>
      <c r="J283" t="s">
        <v>1144</v>
      </c>
      <c r="K283" t="s">
        <v>117</v>
      </c>
      <c r="L283" t="s">
        <v>29</v>
      </c>
      <c r="M283" t="s">
        <v>624</v>
      </c>
      <c r="N283" t="s">
        <v>29</v>
      </c>
      <c r="O283" t="s">
        <v>29</v>
      </c>
      <c r="P283" t="s">
        <v>31</v>
      </c>
      <c r="Q283" s="3" t="s">
        <v>1145</v>
      </c>
    </row>
    <row r="284" spans="1:17" ht="15.6" hidden="1" x14ac:dyDescent="0.3">
      <c r="A284" s="2">
        <v>46169</v>
      </c>
      <c r="B284">
        <v>28</v>
      </c>
      <c r="C284" t="s">
        <v>1146</v>
      </c>
      <c r="D284" s="2">
        <v>46169</v>
      </c>
      <c r="E284" s="2">
        <v>46199</v>
      </c>
      <c r="F284" t="s">
        <v>23</v>
      </c>
      <c r="G284" t="s">
        <v>34</v>
      </c>
      <c r="H284" t="s">
        <v>1147</v>
      </c>
      <c r="I284" t="s">
        <v>26</v>
      </c>
      <c r="J284" t="s">
        <v>1144</v>
      </c>
      <c r="K284" t="s">
        <v>117</v>
      </c>
      <c r="L284" t="s">
        <v>29</v>
      </c>
      <c r="M284" t="s">
        <v>624</v>
      </c>
      <c r="N284" t="s">
        <v>29</v>
      </c>
      <c r="O284" t="s">
        <v>29</v>
      </c>
      <c r="P284" t="s">
        <v>31</v>
      </c>
      <c r="Q284" s="3" t="s">
        <v>1148</v>
      </c>
    </row>
    <row r="285" spans="1:17" ht="15.6" hidden="1" x14ac:dyDescent="0.3">
      <c r="A285" s="2">
        <v>46169</v>
      </c>
      <c r="B285">
        <v>27</v>
      </c>
      <c r="C285" t="s">
        <v>1149</v>
      </c>
      <c r="D285" s="2">
        <v>46169</v>
      </c>
      <c r="E285" s="2">
        <v>46199</v>
      </c>
      <c r="F285" t="s">
        <v>23</v>
      </c>
      <c r="G285" t="s">
        <v>34</v>
      </c>
      <c r="H285" t="s">
        <v>1150</v>
      </c>
      <c r="I285" t="s">
        <v>26</v>
      </c>
      <c r="J285" t="s">
        <v>1144</v>
      </c>
      <c r="K285" t="s">
        <v>117</v>
      </c>
      <c r="L285" t="s">
        <v>29</v>
      </c>
      <c r="M285" t="s">
        <v>676</v>
      </c>
      <c r="N285" t="s">
        <v>29</v>
      </c>
      <c r="O285" t="s">
        <v>29</v>
      </c>
      <c r="P285" t="s">
        <v>31</v>
      </c>
      <c r="Q285" s="3" t="s">
        <v>1151</v>
      </c>
    </row>
    <row r="286" spans="1:17" ht="15.6" hidden="1" x14ac:dyDescent="0.3">
      <c r="A286" s="2">
        <v>46169</v>
      </c>
      <c r="B286">
        <v>26</v>
      </c>
      <c r="C286" t="s">
        <v>1152</v>
      </c>
      <c r="D286" s="2">
        <v>46169</v>
      </c>
      <c r="E286" s="2">
        <v>46174</v>
      </c>
      <c r="F286" t="s">
        <v>71</v>
      </c>
      <c r="G286" t="s">
        <v>57</v>
      </c>
      <c r="H286" t="s">
        <v>1153</v>
      </c>
      <c r="I286" t="s">
        <v>26</v>
      </c>
      <c r="J286" t="s">
        <v>666</v>
      </c>
      <c r="K286" t="s">
        <v>43</v>
      </c>
      <c r="L286" t="s">
        <v>29</v>
      </c>
      <c r="M286" t="s">
        <v>109</v>
      </c>
      <c r="N286" t="s">
        <v>29</v>
      </c>
      <c r="O286" t="s">
        <v>29</v>
      </c>
      <c r="P286" t="s">
        <v>31</v>
      </c>
      <c r="Q286" s="3" t="s">
        <v>1154</v>
      </c>
    </row>
    <row r="287" spans="1:17" ht="15.6" hidden="1" x14ac:dyDescent="0.3">
      <c r="A287" s="2">
        <v>46169</v>
      </c>
      <c r="B287">
        <v>25</v>
      </c>
      <c r="C287" t="s">
        <v>1155</v>
      </c>
      <c r="D287" s="2">
        <v>46169</v>
      </c>
      <c r="E287" s="2">
        <v>46183</v>
      </c>
      <c r="F287" t="s">
        <v>23</v>
      </c>
      <c r="G287" t="s">
        <v>34</v>
      </c>
      <c r="H287" t="s">
        <v>1156</v>
      </c>
      <c r="I287" t="s">
        <v>26</v>
      </c>
      <c r="J287" t="s">
        <v>27</v>
      </c>
      <c r="K287" t="s">
        <v>62</v>
      </c>
      <c r="L287" t="s">
        <v>29</v>
      </c>
      <c r="M287" t="s">
        <v>220</v>
      </c>
      <c r="N287" t="s">
        <v>38</v>
      </c>
      <c r="O287" t="s">
        <v>29</v>
      </c>
      <c r="P287" t="s">
        <v>1157</v>
      </c>
      <c r="Q287" s="3" t="s">
        <v>1158</v>
      </c>
    </row>
    <row r="288" spans="1:17" ht="15.6" hidden="1" x14ac:dyDescent="0.3">
      <c r="A288" s="2">
        <v>46169</v>
      </c>
      <c r="B288">
        <v>24</v>
      </c>
      <c r="C288" t="s">
        <v>1159</v>
      </c>
      <c r="D288" s="2">
        <v>46169</v>
      </c>
      <c r="E288" s="2">
        <v>46185</v>
      </c>
      <c r="F288" t="s">
        <v>23</v>
      </c>
      <c r="G288" t="s">
        <v>34</v>
      </c>
      <c r="H288" t="s">
        <v>1160</v>
      </c>
      <c r="I288" t="s">
        <v>26</v>
      </c>
      <c r="J288" t="s">
        <v>27</v>
      </c>
      <c r="K288" t="s">
        <v>62</v>
      </c>
      <c r="L288" t="s">
        <v>29</v>
      </c>
      <c r="M288" t="s">
        <v>103</v>
      </c>
      <c r="N288" t="s">
        <v>29</v>
      </c>
      <c r="O288" t="s">
        <v>29</v>
      </c>
      <c r="P288" t="s">
        <v>31</v>
      </c>
      <c r="Q288" s="3" t="s">
        <v>1161</v>
      </c>
    </row>
    <row r="289" spans="1:17" ht="15.6" hidden="1" x14ac:dyDescent="0.3">
      <c r="A289" s="2">
        <v>46169</v>
      </c>
      <c r="B289">
        <v>23</v>
      </c>
      <c r="C289" t="s">
        <v>1162</v>
      </c>
      <c r="D289" s="2">
        <v>46169</v>
      </c>
      <c r="E289" s="2">
        <v>46183</v>
      </c>
      <c r="F289" t="s">
        <v>23</v>
      </c>
      <c r="G289" t="s">
        <v>34</v>
      </c>
      <c r="H289" t="s">
        <v>1163</v>
      </c>
      <c r="I289" t="s">
        <v>26</v>
      </c>
      <c r="J289" t="s">
        <v>27</v>
      </c>
      <c r="K289" t="s">
        <v>62</v>
      </c>
      <c r="L289" t="s">
        <v>29</v>
      </c>
      <c r="M289" t="s">
        <v>103</v>
      </c>
      <c r="N289" t="s">
        <v>38</v>
      </c>
      <c r="O289" t="s">
        <v>29</v>
      </c>
      <c r="P289" t="s">
        <v>1164</v>
      </c>
      <c r="Q289" s="3" t="s">
        <v>1165</v>
      </c>
    </row>
    <row r="290" spans="1:17" ht="15.6" hidden="1" x14ac:dyDescent="0.3">
      <c r="A290" s="2">
        <v>46169</v>
      </c>
      <c r="B290">
        <v>22</v>
      </c>
      <c r="C290" t="s">
        <v>1166</v>
      </c>
      <c r="D290" s="2">
        <v>46169</v>
      </c>
      <c r="E290" s="2">
        <v>46177</v>
      </c>
      <c r="F290" t="s">
        <v>48</v>
      </c>
      <c r="G290" t="s">
        <v>24</v>
      </c>
      <c r="H290" t="s">
        <v>1167</v>
      </c>
      <c r="I290" t="s">
        <v>26</v>
      </c>
      <c r="J290" t="s">
        <v>1168</v>
      </c>
      <c r="K290" t="s">
        <v>28</v>
      </c>
      <c r="L290" t="s">
        <v>29</v>
      </c>
      <c r="M290" t="s">
        <v>103</v>
      </c>
      <c r="N290" t="s">
        <v>29</v>
      </c>
      <c r="O290" t="s">
        <v>29</v>
      </c>
      <c r="P290" t="s">
        <v>31</v>
      </c>
      <c r="Q290" s="3" t="s">
        <v>1169</v>
      </c>
    </row>
    <row r="291" spans="1:17" ht="15.6" hidden="1" x14ac:dyDescent="0.3">
      <c r="A291" s="2">
        <v>46169</v>
      </c>
      <c r="B291">
        <v>21</v>
      </c>
      <c r="C291" t="s">
        <v>1170</v>
      </c>
      <c r="D291" s="2">
        <v>46169</v>
      </c>
      <c r="E291" s="2">
        <v>46199</v>
      </c>
      <c r="F291" t="s">
        <v>23</v>
      </c>
      <c r="G291" t="s">
        <v>34</v>
      </c>
      <c r="H291" t="s">
        <v>1171</v>
      </c>
      <c r="I291" t="s">
        <v>26</v>
      </c>
      <c r="J291" t="s">
        <v>1144</v>
      </c>
      <c r="K291" t="s">
        <v>117</v>
      </c>
      <c r="L291" t="s">
        <v>29</v>
      </c>
      <c r="M291" t="s">
        <v>278</v>
      </c>
      <c r="N291" t="s">
        <v>29</v>
      </c>
      <c r="O291" t="s">
        <v>29</v>
      </c>
      <c r="P291" t="s">
        <v>31</v>
      </c>
      <c r="Q291" s="3" t="s">
        <v>1172</v>
      </c>
    </row>
    <row r="292" spans="1:17" ht="15.6" hidden="1" x14ac:dyDescent="0.3">
      <c r="A292" s="2">
        <v>46169</v>
      </c>
      <c r="B292">
        <v>20</v>
      </c>
      <c r="C292" t="s">
        <v>1173</v>
      </c>
      <c r="D292" s="2">
        <v>46169</v>
      </c>
      <c r="E292" s="2">
        <v>46199</v>
      </c>
      <c r="F292" t="s">
        <v>23</v>
      </c>
      <c r="G292" t="s">
        <v>34</v>
      </c>
      <c r="H292" t="s">
        <v>1174</v>
      </c>
      <c r="I292" t="s">
        <v>26</v>
      </c>
      <c r="J292" t="s">
        <v>1144</v>
      </c>
      <c r="K292" t="s">
        <v>117</v>
      </c>
      <c r="L292" t="s">
        <v>29</v>
      </c>
      <c r="M292" t="s">
        <v>68</v>
      </c>
      <c r="N292" t="s">
        <v>29</v>
      </c>
      <c r="O292" t="s">
        <v>29</v>
      </c>
      <c r="P292" t="s">
        <v>31</v>
      </c>
      <c r="Q292" s="3" t="s">
        <v>1175</v>
      </c>
    </row>
    <row r="293" spans="1:17" ht="15.6" hidden="1" x14ac:dyDescent="0.3">
      <c r="A293" s="2">
        <v>46169</v>
      </c>
      <c r="B293">
        <v>19</v>
      </c>
      <c r="C293" t="s">
        <v>1176</v>
      </c>
      <c r="D293" s="2">
        <v>46169</v>
      </c>
      <c r="E293" s="2">
        <v>46199</v>
      </c>
      <c r="F293" t="s">
        <v>23</v>
      </c>
      <c r="G293" t="s">
        <v>34</v>
      </c>
      <c r="H293" t="s">
        <v>1177</v>
      </c>
      <c r="I293" t="s">
        <v>26</v>
      </c>
      <c r="J293" t="s">
        <v>1144</v>
      </c>
      <c r="K293" t="s">
        <v>117</v>
      </c>
      <c r="L293" t="s">
        <v>29</v>
      </c>
      <c r="M293" t="s">
        <v>68</v>
      </c>
      <c r="N293" t="s">
        <v>29</v>
      </c>
      <c r="O293" t="s">
        <v>29</v>
      </c>
      <c r="P293" t="s">
        <v>31</v>
      </c>
      <c r="Q293" s="3" t="s">
        <v>1178</v>
      </c>
    </row>
    <row r="294" spans="1:17" ht="15.6" hidden="1" x14ac:dyDescent="0.3">
      <c r="A294" s="2">
        <v>46169</v>
      </c>
      <c r="B294">
        <v>18</v>
      </c>
      <c r="C294" t="s">
        <v>1179</v>
      </c>
      <c r="D294" s="2">
        <v>46169</v>
      </c>
      <c r="E294" s="2">
        <v>46199</v>
      </c>
      <c r="F294" t="s">
        <v>23</v>
      </c>
      <c r="G294" t="s">
        <v>34</v>
      </c>
      <c r="H294" t="s">
        <v>1180</v>
      </c>
      <c r="I294" t="s">
        <v>26</v>
      </c>
      <c r="J294" t="s">
        <v>1144</v>
      </c>
      <c r="K294" t="s">
        <v>117</v>
      </c>
      <c r="L294" t="s">
        <v>29</v>
      </c>
      <c r="M294" t="s">
        <v>68</v>
      </c>
      <c r="N294" t="s">
        <v>29</v>
      </c>
      <c r="O294" t="s">
        <v>29</v>
      </c>
      <c r="P294" t="s">
        <v>31</v>
      </c>
      <c r="Q294" s="3" t="s">
        <v>1181</v>
      </c>
    </row>
    <row r="295" spans="1:17" ht="15.6" hidden="1" x14ac:dyDescent="0.3">
      <c r="A295" s="2">
        <v>46169</v>
      </c>
      <c r="B295">
        <v>17</v>
      </c>
      <c r="C295" t="s">
        <v>1182</v>
      </c>
      <c r="D295" s="2">
        <v>46169</v>
      </c>
      <c r="E295" s="2">
        <v>46196</v>
      </c>
      <c r="F295" t="s">
        <v>23</v>
      </c>
      <c r="G295" t="s">
        <v>34</v>
      </c>
      <c r="H295" t="s">
        <v>1183</v>
      </c>
      <c r="I295" t="s">
        <v>26</v>
      </c>
      <c r="J295" t="s">
        <v>27</v>
      </c>
      <c r="K295" t="s">
        <v>62</v>
      </c>
      <c r="L295" t="s">
        <v>29</v>
      </c>
      <c r="M295" t="s">
        <v>103</v>
      </c>
      <c r="N295" t="s">
        <v>38</v>
      </c>
      <c r="O295" t="s">
        <v>29</v>
      </c>
      <c r="P295" t="s">
        <v>1184</v>
      </c>
      <c r="Q295" s="3" t="s">
        <v>1185</v>
      </c>
    </row>
    <row r="296" spans="1:17" ht="15.6" hidden="1" x14ac:dyDescent="0.3">
      <c r="A296" s="2">
        <v>46169</v>
      </c>
      <c r="B296">
        <v>16</v>
      </c>
      <c r="C296" t="s">
        <v>1186</v>
      </c>
      <c r="D296" s="2">
        <v>46169</v>
      </c>
      <c r="E296" s="2">
        <v>46198</v>
      </c>
      <c r="F296" t="s">
        <v>23</v>
      </c>
      <c r="G296" t="s">
        <v>34</v>
      </c>
      <c r="H296" t="s">
        <v>1187</v>
      </c>
      <c r="I296" t="s">
        <v>26</v>
      </c>
      <c r="J296" t="s">
        <v>27</v>
      </c>
      <c r="K296" t="s">
        <v>43</v>
      </c>
      <c r="L296" t="s">
        <v>29</v>
      </c>
      <c r="M296" t="s">
        <v>103</v>
      </c>
      <c r="N296" t="s">
        <v>38</v>
      </c>
      <c r="O296" t="s">
        <v>29</v>
      </c>
      <c r="P296" t="s">
        <v>1188</v>
      </c>
      <c r="Q296" s="3" t="s">
        <v>1189</v>
      </c>
    </row>
    <row r="297" spans="1:17" ht="15.6" hidden="1" x14ac:dyDescent="0.3">
      <c r="A297" s="2">
        <v>46169</v>
      </c>
      <c r="B297">
        <v>15</v>
      </c>
      <c r="C297" t="s">
        <v>1190</v>
      </c>
      <c r="D297" s="2">
        <v>46169</v>
      </c>
      <c r="E297" s="2">
        <v>46202</v>
      </c>
      <c r="F297" t="s">
        <v>71</v>
      </c>
      <c r="G297" t="s">
        <v>34</v>
      </c>
      <c r="H297" t="s">
        <v>1191</v>
      </c>
      <c r="I297" t="s">
        <v>26</v>
      </c>
      <c r="J297" t="s">
        <v>1192</v>
      </c>
      <c r="K297" t="s">
        <v>51</v>
      </c>
      <c r="L297" t="s">
        <v>29</v>
      </c>
      <c r="M297" t="s">
        <v>52</v>
      </c>
      <c r="N297" t="s">
        <v>38</v>
      </c>
      <c r="O297" t="s">
        <v>38</v>
      </c>
      <c r="P297" t="s">
        <v>1193</v>
      </c>
      <c r="Q297" s="3" t="s">
        <v>1194</v>
      </c>
    </row>
    <row r="298" spans="1:17" ht="15.6" hidden="1" x14ac:dyDescent="0.3">
      <c r="A298" s="2">
        <v>46169</v>
      </c>
      <c r="B298">
        <v>14</v>
      </c>
      <c r="C298" t="s">
        <v>1195</v>
      </c>
      <c r="D298" s="2">
        <v>46169</v>
      </c>
      <c r="E298" s="2">
        <v>46191</v>
      </c>
      <c r="F298" t="s">
        <v>23</v>
      </c>
      <c r="G298" t="s">
        <v>34</v>
      </c>
      <c r="H298" t="s">
        <v>1196</v>
      </c>
      <c r="I298" t="s">
        <v>26</v>
      </c>
      <c r="J298" t="s">
        <v>1197</v>
      </c>
      <c r="K298" t="s">
        <v>134</v>
      </c>
      <c r="L298" t="s">
        <v>29</v>
      </c>
      <c r="M298" t="s">
        <v>220</v>
      </c>
      <c r="N298" t="s">
        <v>38</v>
      </c>
      <c r="O298" t="s">
        <v>29</v>
      </c>
      <c r="P298" t="s">
        <v>1198</v>
      </c>
      <c r="Q298" s="3" t="s">
        <v>1199</v>
      </c>
    </row>
    <row r="299" spans="1:17" ht="15.6" hidden="1" x14ac:dyDescent="0.3">
      <c r="A299" s="2">
        <v>46169</v>
      </c>
      <c r="B299">
        <v>13</v>
      </c>
      <c r="C299" t="s">
        <v>1200</v>
      </c>
      <c r="D299" s="2">
        <v>46169</v>
      </c>
      <c r="E299" s="2">
        <v>46176</v>
      </c>
      <c r="F299" t="s">
        <v>48</v>
      </c>
      <c r="G299" t="s">
        <v>24</v>
      </c>
      <c r="H299" t="s">
        <v>1201</v>
      </c>
      <c r="I299" t="s">
        <v>26</v>
      </c>
      <c r="J299" t="s">
        <v>1202</v>
      </c>
      <c r="K299" t="s">
        <v>86</v>
      </c>
      <c r="L299" t="s">
        <v>29</v>
      </c>
      <c r="M299" t="s">
        <v>205</v>
      </c>
      <c r="N299" t="s">
        <v>29</v>
      </c>
      <c r="O299" t="s">
        <v>29</v>
      </c>
      <c r="P299" t="s">
        <v>31</v>
      </c>
      <c r="Q299" s="3" t="s">
        <v>1203</v>
      </c>
    </row>
    <row r="300" spans="1:17" ht="15.6" hidden="1" x14ac:dyDescent="0.3">
      <c r="A300" s="2">
        <v>46169</v>
      </c>
      <c r="B300">
        <v>12</v>
      </c>
      <c r="C300" t="s">
        <v>1204</v>
      </c>
      <c r="D300" s="2">
        <v>46169</v>
      </c>
      <c r="E300" s="2">
        <v>46197</v>
      </c>
      <c r="F300" t="s">
        <v>71</v>
      </c>
      <c r="G300" t="s">
        <v>34</v>
      </c>
      <c r="H300" t="s">
        <v>1205</v>
      </c>
      <c r="I300" t="s">
        <v>26</v>
      </c>
      <c r="J300" t="s">
        <v>1192</v>
      </c>
      <c r="K300" t="s">
        <v>51</v>
      </c>
      <c r="L300" t="s">
        <v>29</v>
      </c>
      <c r="M300" t="s">
        <v>293</v>
      </c>
      <c r="N300" t="s">
        <v>38</v>
      </c>
      <c r="O300" t="s">
        <v>38</v>
      </c>
      <c r="P300" t="s">
        <v>1206</v>
      </c>
      <c r="Q300" s="3" t="s">
        <v>1207</v>
      </c>
    </row>
    <row r="301" spans="1:17" ht="15.6" hidden="1" x14ac:dyDescent="0.3">
      <c r="A301" s="2">
        <v>46169</v>
      </c>
      <c r="B301">
        <v>11</v>
      </c>
      <c r="C301" t="s">
        <v>1208</v>
      </c>
      <c r="D301" s="2">
        <v>46169</v>
      </c>
      <c r="E301" s="2">
        <v>46176</v>
      </c>
      <c r="F301" t="s">
        <v>48</v>
      </c>
      <c r="G301" t="s">
        <v>24</v>
      </c>
      <c r="H301" t="s">
        <v>1209</v>
      </c>
      <c r="I301" t="s">
        <v>26</v>
      </c>
      <c r="J301" t="s">
        <v>1210</v>
      </c>
      <c r="K301" t="s">
        <v>28</v>
      </c>
      <c r="L301" t="s">
        <v>29</v>
      </c>
      <c r="M301" t="s">
        <v>109</v>
      </c>
      <c r="N301" t="s">
        <v>29</v>
      </c>
      <c r="O301" t="s">
        <v>29</v>
      </c>
      <c r="P301" t="s">
        <v>31</v>
      </c>
      <c r="Q301" s="3" t="s">
        <v>1211</v>
      </c>
    </row>
    <row r="302" spans="1:17" ht="15.6" hidden="1" x14ac:dyDescent="0.3">
      <c r="A302" s="2">
        <v>46169</v>
      </c>
      <c r="B302">
        <v>10</v>
      </c>
      <c r="C302" t="s">
        <v>1212</v>
      </c>
      <c r="D302" s="2">
        <v>46169</v>
      </c>
      <c r="E302" s="2">
        <v>46199</v>
      </c>
      <c r="F302" t="s">
        <v>23</v>
      </c>
      <c r="G302" t="s">
        <v>34</v>
      </c>
      <c r="H302" t="s">
        <v>1213</v>
      </c>
      <c r="I302" t="s">
        <v>26</v>
      </c>
      <c r="J302" t="s">
        <v>1144</v>
      </c>
      <c r="K302" t="s">
        <v>117</v>
      </c>
      <c r="L302" t="s">
        <v>29</v>
      </c>
      <c r="M302" t="s">
        <v>516</v>
      </c>
      <c r="N302" t="s">
        <v>29</v>
      </c>
      <c r="O302" t="s">
        <v>29</v>
      </c>
      <c r="P302" t="s">
        <v>31</v>
      </c>
      <c r="Q302" s="3" t="s">
        <v>1214</v>
      </c>
    </row>
    <row r="303" spans="1:17" ht="15.6" hidden="1" x14ac:dyDescent="0.3">
      <c r="A303" s="2">
        <v>46169</v>
      </c>
      <c r="B303">
        <v>9</v>
      </c>
      <c r="C303" t="s">
        <v>1215</v>
      </c>
      <c r="D303" s="2">
        <v>46169</v>
      </c>
      <c r="E303" s="2">
        <v>46198</v>
      </c>
      <c r="F303" t="s">
        <v>23</v>
      </c>
      <c r="G303" t="s">
        <v>34</v>
      </c>
      <c r="H303" t="s">
        <v>1216</v>
      </c>
      <c r="I303" t="s">
        <v>26</v>
      </c>
      <c r="J303" t="s">
        <v>27</v>
      </c>
      <c r="K303" t="s">
        <v>43</v>
      </c>
      <c r="L303" t="s">
        <v>29</v>
      </c>
      <c r="M303" t="s">
        <v>109</v>
      </c>
      <c r="N303" t="s">
        <v>38</v>
      </c>
      <c r="O303" t="s">
        <v>29</v>
      </c>
      <c r="P303" t="s">
        <v>1217</v>
      </c>
      <c r="Q303" s="3" t="s">
        <v>1218</v>
      </c>
    </row>
    <row r="304" spans="1:17" ht="15.6" hidden="1" x14ac:dyDescent="0.3">
      <c r="A304" s="2">
        <v>46169</v>
      </c>
      <c r="B304">
        <v>8</v>
      </c>
      <c r="C304" t="s">
        <v>1219</v>
      </c>
      <c r="D304" s="2">
        <v>46169</v>
      </c>
      <c r="E304" s="2">
        <v>46185</v>
      </c>
      <c r="F304" t="s">
        <v>23</v>
      </c>
      <c r="G304" t="s">
        <v>34</v>
      </c>
      <c r="H304" t="s">
        <v>1220</v>
      </c>
      <c r="I304" t="s">
        <v>26</v>
      </c>
      <c r="J304" t="s">
        <v>27</v>
      </c>
      <c r="K304" t="s">
        <v>86</v>
      </c>
      <c r="L304" t="s">
        <v>29</v>
      </c>
      <c r="M304" t="s">
        <v>948</v>
      </c>
      <c r="N304" t="s">
        <v>29</v>
      </c>
      <c r="O304" t="s">
        <v>29</v>
      </c>
      <c r="P304" t="s">
        <v>31</v>
      </c>
      <c r="Q304" s="3" t="s">
        <v>1221</v>
      </c>
    </row>
    <row r="305" spans="1:17" ht="15.6" hidden="1" x14ac:dyDescent="0.3">
      <c r="A305" s="2">
        <v>46169</v>
      </c>
      <c r="B305">
        <v>7</v>
      </c>
      <c r="C305" t="s">
        <v>1222</v>
      </c>
      <c r="D305" s="2">
        <v>46169</v>
      </c>
      <c r="E305" s="2">
        <v>46199</v>
      </c>
      <c r="F305" t="s">
        <v>71</v>
      </c>
      <c r="G305" t="s">
        <v>34</v>
      </c>
      <c r="H305" t="s">
        <v>1223</v>
      </c>
      <c r="I305" t="s">
        <v>26</v>
      </c>
      <c r="J305" t="s">
        <v>1224</v>
      </c>
      <c r="K305" t="s">
        <v>43</v>
      </c>
      <c r="L305" t="s">
        <v>29</v>
      </c>
      <c r="M305" t="s">
        <v>94</v>
      </c>
      <c r="N305" t="s">
        <v>38</v>
      </c>
      <c r="O305" t="s">
        <v>38</v>
      </c>
      <c r="P305" t="s">
        <v>1225</v>
      </c>
      <c r="Q305" s="3" t="s">
        <v>1226</v>
      </c>
    </row>
    <row r="306" spans="1:17" ht="15.6" hidden="1" x14ac:dyDescent="0.3">
      <c r="A306" s="2">
        <v>46169</v>
      </c>
      <c r="B306">
        <v>6</v>
      </c>
      <c r="C306" t="s">
        <v>1227</v>
      </c>
      <c r="D306" s="2">
        <v>46169</v>
      </c>
      <c r="E306" s="2">
        <v>46192</v>
      </c>
      <c r="F306" t="s">
        <v>23</v>
      </c>
      <c r="G306" t="s">
        <v>34</v>
      </c>
      <c r="H306" t="s">
        <v>1228</v>
      </c>
      <c r="I306" t="s">
        <v>26</v>
      </c>
      <c r="J306" t="s">
        <v>27</v>
      </c>
      <c r="K306" t="s">
        <v>43</v>
      </c>
      <c r="L306" t="s">
        <v>29</v>
      </c>
      <c r="M306" t="s">
        <v>109</v>
      </c>
      <c r="N306" t="s">
        <v>38</v>
      </c>
      <c r="O306" t="s">
        <v>29</v>
      </c>
      <c r="P306" t="s">
        <v>1229</v>
      </c>
      <c r="Q306" s="3" t="s">
        <v>1230</v>
      </c>
    </row>
    <row r="307" spans="1:17" ht="15.6" hidden="1" x14ac:dyDescent="0.3">
      <c r="A307" s="2">
        <v>46169</v>
      </c>
      <c r="B307">
        <v>5</v>
      </c>
      <c r="C307" t="s">
        <v>1231</v>
      </c>
      <c r="D307" s="2">
        <v>46169</v>
      </c>
      <c r="E307" s="2">
        <v>46195</v>
      </c>
      <c r="F307" t="s">
        <v>48</v>
      </c>
      <c r="G307" t="s">
        <v>34</v>
      </c>
      <c r="H307" t="s">
        <v>1232</v>
      </c>
      <c r="I307" t="s">
        <v>26</v>
      </c>
      <c r="J307" t="s">
        <v>78</v>
      </c>
      <c r="K307" t="s">
        <v>28</v>
      </c>
      <c r="L307" t="s">
        <v>29</v>
      </c>
      <c r="M307" t="s">
        <v>103</v>
      </c>
      <c r="N307" t="s">
        <v>29</v>
      </c>
      <c r="O307" t="s">
        <v>29</v>
      </c>
      <c r="P307" t="s">
        <v>31</v>
      </c>
      <c r="Q307" s="3" t="s">
        <v>1233</v>
      </c>
    </row>
    <row r="308" spans="1:17" ht="15.6" hidden="1" x14ac:dyDescent="0.3">
      <c r="A308" s="2">
        <v>46169</v>
      </c>
      <c r="B308">
        <v>4</v>
      </c>
      <c r="C308" t="s">
        <v>1234</v>
      </c>
      <c r="D308" s="2">
        <v>46169</v>
      </c>
      <c r="E308" s="2">
        <v>46176</v>
      </c>
      <c r="F308" t="s">
        <v>71</v>
      </c>
      <c r="G308" t="s">
        <v>24</v>
      </c>
      <c r="H308" t="s">
        <v>1235</v>
      </c>
      <c r="I308" t="s">
        <v>26</v>
      </c>
      <c r="J308" t="s">
        <v>1236</v>
      </c>
      <c r="K308" t="s">
        <v>62</v>
      </c>
      <c r="L308" t="s">
        <v>29</v>
      </c>
      <c r="M308" t="s">
        <v>103</v>
      </c>
      <c r="N308" t="s">
        <v>29</v>
      </c>
      <c r="O308" t="s">
        <v>29</v>
      </c>
      <c r="P308" t="s">
        <v>31</v>
      </c>
      <c r="Q308" s="3" t="s">
        <v>1237</v>
      </c>
    </row>
    <row r="309" spans="1:17" ht="15.6" hidden="1" x14ac:dyDescent="0.3">
      <c r="A309" s="2">
        <v>46169</v>
      </c>
      <c r="B309">
        <v>3</v>
      </c>
      <c r="C309" t="s">
        <v>1238</v>
      </c>
      <c r="D309" s="2">
        <v>46169</v>
      </c>
      <c r="E309" s="2">
        <v>46184</v>
      </c>
      <c r="F309" t="s">
        <v>71</v>
      </c>
      <c r="G309" t="s">
        <v>24</v>
      </c>
      <c r="H309" t="s">
        <v>1239</v>
      </c>
      <c r="I309" t="s">
        <v>26</v>
      </c>
      <c r="J309" t="s">
        <v>377</v>
      </c>
      <c r="K309" t="s">
        <v>43</v>
      </c>
      <c r="L309" t="s">
        <v>29</v>
      </c>
      <c r="M309" t="s">
        <v>109</v>
      </c>
      <c r="N309" t="s">
        <v>29</v>
      </c>
      <c r="O309" t="s">
        <v>29</v>
      </c>
      <c r="P309" t="s">
        <v>31</v>
      </c>
      <c r="Q309" s="3" t="s">
        <v>1240</v>
      </c>
    </row>
    <row r="310" spans="1:17" ht="15.6" hidden="1" x14ac:dyDescent="0.3">
      <c r="A310" s="2">
        <v>46169</v>
      </c>
      <c r="B310">
        <v>2</v>
      </c>
      <c r="C310" t="s">
        <v>1241</v>
      </c>
      <c r="D310" s="2">
        <v>46169</v>
      </c>
      <c r="E310" s="2">
        <v>46178</v>
      </c>
      <c r="F310" t="s">
        <v>747</v>
      </c>
      <c r="G310" t="s">
        <v>57</v>
      </c>
      <c r="H310" t="s">
        <v>1242</v>
      </c>
      <c r="I310" t="s">
        <v>26</v>
      </c>
      <c r="J310" t="s">
        <v>1243</v>
      </c>
      <c r="K310" t="s">
        <v>43</v>
      </c>
      <c r="L310" t="s">
        <v>29</v>
      </c>
      <c r="M310" t="s">
        <v>154</v>
      </c>
      <c r="N310" t="s">
        <v>29</v>
      </c>
      <c r="O310" t="s">
        <v>29</v>
      </c>
      <c r="P310" t="s">
        <v>31</v>
      </c>
      <c r="Q310" s="3" t="s">
        <v>1244</v>
      </c>
    </row>
    <row r="311" spans="1:17" ht="15.6" hidden="1" x14ac:dyDescent="0.3">
      <c r="A311" s="2">
        <v>46169</v>
      </c>
      <c r="B311">
        <v>1</v>
      </c>
      <c r="C311" t="s">
        <v>1245</v>
      </c>
      <c r="D311" s="2">
        <v>46169</v>
      </c>
      <c r="E311" s="2">
        <v>46199</v>
      </c>
      <c r="F311" t="s">
        <v>48</v>
      </c>
      <c r="G311" t="s">
        <v>57</v>
      </c>
      <c r="H311" t="s">
        <v>1246</v>
      </c>
      <c r="I311" t="s">
        <v>26</v>
      </c>
      <c r="J311" t="s">
        <v>1247</v>
      </c>
      <c r="K311" t="s">
        <v>43</v>
      </c>
      <c r="L311" t="s">
        <v>29</v>
      </c>
      <c r="M311" t="s">
        <v>340</v>
      </c>
      <c r="N311" t="s">
        <v>38</v>
      </c>
      <c r="O311" t="s">
        <v>38</v>
      </c>
      <c r="P311" t="s">
        <v>1248</v>
      </c>
      <c r="Q311" s="3" t="s">
        <v>1249</v>
      </c>
    </row>
  </sheetData>
  <autoFilter ref="C1:C311" xr:uid="{00000000-0001-0000-0000-000000000000}">
    <filterColumn colId="0">
      <filters>
        <filter val="RAF/2026/00018"/>
      </filters>
    </filterColumn>
  </autoFilter>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 ref="Q98" r:id="rId97" xr:uid="{00000000-0004-0000-0000-000060000000}"/>
    <hyperlink ref="Q99" r:id="rId98" xr:uid="{00000000-0004-0000-0000-000061000000}"/>
    <hyperlink ref="Q100" r:id="rId99" xr:uid="{00000000-0004-0000-0000-000062000000}"/>
    <hyperlink ref="Q101" r:id="rId100" xr:uid="{00000000-0004-0000-0000-000063000000}"/>
    <hyperlink ref="Q102" r:id="rId101" xr:uid="{00000000-0004-0000-0000-000064000000}"/>
    <hyperlink ref="Q103" r:id="rId102" xr:uid="{00000000-0004-0000-0000-000065000000}"/>
    <hyperlink ref="Q104" r:id="rId103" xr:uid="{00000000-0004-0000-0000-000066000000}"/>
    <hyperlink ref="Q105" r:id="rId104" xr:uid="{00000000-0004-0000-0000-000067000000}"/>
    <hyperlink ref="Q106" r:id="rId105" xr:uid="{00000000-0004-0000-0000-000068000000}"/>
    <hyperlink ref="Q107" r:id="rId106" xr:uid="{00000000-0004-0000-0000-000069000000}"/>
    <hyperlink ref="Q108" r:id="rId107" xr:uid="{00000000-0004-0000-0000-00006A000000}"/>
    <hyperlink ref="Q109" r:id="rId108" xr:uid="{00000000-0004-0000-0000-00006B000000}"/>
    <hyperlink ref="Q110" r:id="rId109" xr:uid="{00000000-0004-0000-0000-00006C000000}"/>
    <hyperlink ref="Q111" r:id="rId110" xr:uid="{00000000-0004-0000-0000-00006D000000}"/>
    <hyperlink ref="Q112" r:id="rId111" xr:uid="{00000000-0004-0000-0000-00006E000000}"/>
    <hyperlink ref="Q113" r:id="rId112" xr:uid="{00000000-0004-0000-0000-00006F000000}"/>
    <hyperlink ref="Q114" r:id="rId113" xr:uid="{00000000-0004-0000-0000-000070000000}"/>
    <hyperlink ref="Q115" r:id="rId114" xr:uid="{00000000-0004-0000-0000-000071000000}"/>
    <hyperlink ref="Q116" r:id="rId115" xr:uid="{00000000-0004-0000-0000-000072000000}"/>
    <hyperlink ref="Q117" r:id="rId116" xr:uid="{00000000-0004-0000-0000-000073000000}"/>
    <hyperlink ref="Q118" r:id="rId117" xr:uid="{00000000-0004-0000-0000-000074000000}"/>
    <hyperlink ref="Q119" r:id="rId118" xr:uid="{00000000-0004-0000-0000-000075000000}"/>
    <hyperlink ref="Q120" r:id="rId119" xr:uid="{00000000-0004-0000-0000-000076000000}"/>
    <hyperlink ref="Q121" r:id="rId120" xr:uid="{00000000-0004-0000-0000-000077000000}"/>
    <hyperlink ref="Q122" r:id="rId121" xr:uid="{00000000-0004-0000-0000-000078000000}"/>
    <hyperlink ref="Q123" r:id="rId122" xr:uid="{00000000-0004-0000-0000-000079000000}"/>
    <hyperlink ref="Q124" r:id="rId123" xr:uid="{00000000-0004-0000-0000-00007A000000}"/>
    <hyperlink ref="Q125" r:id="rId124" xr:uid="{00000000-0004-0000-0000-00007B000000}"/>
    <hyperlink ref="Q126" r:id="rId125" xr:uid="{00000000-0004-0000-0000-00007C000000}"/>
    <hyperlink ref="Q127" r:id="rId126" xr:uid="{00000000-0004-0000-0000-00007D000000}"/>
    <hyperlink ref="Q128" r:id="rId127" xr:uid="{00000000-0004-0000-0000-00007E000000}"/>
    <hyperlink ref="Q129" r:id="rId128" xr:uid="{00000000-0004-0000-0000-00007F000000}"/>
    <hyperlink ref="Q130" r:id="rId129" xr:uid="{00000000-0004-0000-0000-000080000000}"/>
    <hyperlink ref="Q131" r:id="rId130" xr:uid="{00000000-0004-0000-0000-000081000000}"/>
    <hyperlink ref="Q132" r:id="rId131" xr:uid="{00000000-0004-0000-0000-000082000000}"/>
    <hyperlink ref="Q133" r:id="rId132" xr:uid="{00000000-0004-0000-0000-000083000000}"/>
    <hyperlink ref="Q134" r:id="rId133" xr:uid="{00000000-0004-0000-0000-000084000000}"/>
    <hyperlink ref="Q135" r:id="rId134" xr:uid="{00000000-0004-0000-0000-000085000000}"/>
    <hyperlink ref="Q136" r:id="rId135" xr:uid="{00000000-0004-0000-0000-000086000000}"/>
    <hyperlink ref="Q137" r:id="rId136" xr:uid="{00000000-0004-0000-0000-000087000000}"/>
    <hyperlink ref="Q138" r:id="rId137" xr:uid="{00000000-0004-0000-0000-000088000000}"/>
    <hyperlink ref="Q139" r:id="rId138" xr:uid="{00000000-0004-0000-0000-000089000000}"/>
    <hyperlink ref="Q140" r:id="rId139" xr:uid="{00000000-0004-0000-0000-00008A000000}"/>
    <hyperlink ref="Q141" r:id="rId140" xr:uid="{00000000-0004-0000-0000-00008B000000}"/>
    <hyperlink ref="Q142" r:id="rId141" xr:uid="{00000000-0004-0000-0000-00008C000000}"/>
    <hyperlink ref="Q143" r:id="rId142" xr:uid="{00000000-0004-0000-0000-00008D000000}"/>
    <hyperlink ref="Q144" r:id="rId143" xr:uid="{00000000-0004-0000-0000-00008E000000}"/>
    <hyperlink ref="Q145" r:id="rId144" xr:uid="{00000000-0004-0000-0000-00008F000000}"/>
    <hyperlink ref="Q146" r:id="rId145" xr:uid="{00000000-0004-0000-0000-000090000000}"/>
    <hyperlink ref="Q147" r:id="rId146" xr:uid="{00000000-0004-0000-0000-000091000000}"/>
    <hyperlink ref="Q148" r:id="rId147" xr:uid="{00000000-0004-0000-0000-000092000000}"/>
    <hyperlink ref="Q149" r:id="rId148" xr:uid="{00000000-0004-0000-0000-000093000000}"/>
    <hyperlink ref="Q150" r:id="rId149" xr:uid="{00000000-0004-0000-0000-000094000000}"/>
    <hyperlink ref="Q151" r:id="rId150" xr:uid="{00000000-0004-0000-0000-000095000000}"/>
    <hyperlink ref="Q152" r:id="rId151" xr:uid="{00000000-0004-0000-0000-000096000000}"/>
    <hyperlink ref="Q153" r:id="rId152" xr:uid="{00000000-0004-0000-0000-000097000000}"/>
    <hyperlink ref="Q154" r:id="rId153" xr:uid="{00000000-0004-0000-0000-000098000000}"/>
    <hyperlink ref="Q155" r:id="rId154" xr:uid="{00000000-0004-0000-0000-000099000000}"/>
    <hyperlink ref="Q156" r:id="rId155" xr:uid="{00000000-0004-0000-0000-00009A000000}"/>
    <hyperlink ref="Q157" r:id="rId156" xr:uid="{00000000-0004-0000-0000-00009B000000}"/>
    <hyperlink ref="Q158" r:id="rId157" xr:uid="{00000000-0004-0000-0000-00009C000000}"/>
    <hyperlink ref="Q159" r:id="rId158" xr:uid="{00000000-0004-0000-0000-00009D000000}"/>
    <hyperlink ref="Q160" r:id="rId159" xr:uid="{00000000-0004-0000-0000-00009E000000}"/>
    <hyperlink ref="Q161" r:id="rId160" xr:uid="{00000000-0004-0000-0000-00009F000000}"/>
    <hyperlink ref="Q162" r:id="rId161" xr:uid="{00000000-0004-0000-0000-0000A0000000}"/>
    <hyperlink ref="Q163" r:id="rId162" xr:uid="{00000000-0004-0000-0000-0000A1000000}"/>
    <hyperlink ref="Q164" r:id="rId163" xr:uid="{00000000-0004-0000-0000-0000A2000000}"/>
    <hyperlink ref="Q165" r:id="rId164" xr:uid="{00000000-0004-0000-0000-0000A3000000}"/>
    <hyperlink ref="Q166" r:id="rId165" xr:uid="{00000000-0004-0000-0000-0000A4000000}"/>
    <hyperlink ref="Q167" r:id="rId166" xr:uid="{00000000-0004-0000-0000-0000A5000000}"/>
    <hyperlink ref="Q168" r:id="rId167" xr:uid="{00000000-0004-0000-0000-0000A6000000}"/>
    <hyperlink ref="Q169" r:id="rId168" xr:uid="{00000000-0004-0000-0000-0000A7000000}"/>
    <hyperlink ref="Q170" r:id="rId169" xr:uid="{00000000-0004-0000-0000-0000A8000000}"/>
    <hyperlink ref="Q171" r:id="rId170" xr:uid="{00000000-0004-0000-0000-0000A9000000}"/>
    <hyperlink ref="Q172" r:id="rId171" xr:uid="{00000000-0004-0000-0000-0000AA000000}"/>
    <hyperlink ref="Q173" r:id="rId172" xr:uid="{00000000-0004-0000-0000-0000AB000000}"/>
    <hyperlink ref="Q174" r:id="rId173" xr:uid="{00000000-0004-0000-0000-0000AC000000}"/>
    <hyperlink ref="Q175" r:id="rId174" xr:uid="{00000000-0004-0000-0000-0000AD000000}"/>
    <hyperlink ref="Q176" r:id="rId175" xr:uid="{00000000-0004-0000-0000-0000AE000000}"/>
    <hyperlink ref="Q177" r:id="rId176" xr:uid="{00000000-0004-0000-0000-0000AF000000}"/>
    <hyperlink ref="Q178" r:id="rId177" xr:uid="{00000000-0004-0000-0000-0000B0000000}"/>
    <hyperlink ref="Q179" r:id="rId178" xr:uid="{00000000-0004-0000-0000-0000B1000000}"/>
    <hyperlink ref="Q180" r:id="rId179" xr:uid="{00000000-0004-0000-0000-0000B2000000}"/>
    <hyperlink ref="Q181" r:id="rId180" xr:uid="{00000000-0004-0000-0000-0000B3000000}"/>
    <hyperlink ref="Q182" r:id="rId181" xr:uid="{00000000-0004-0000-0000-0000B4000000}"/>
    <hyperlink ref="Q183" r:id="rId182" xr:uid="{00000000-0004-0000-0000-0000B5000000}"/>
    <hyperlink ref="Q184" r:id="rId183" xr:uid="{00000000-0004-0000-0000-0000B6000000}"/>
    <hyperlink ref="Q185" r:id="rId184" xr:uid="{00000000-0004-0000-0000-0000B7000000}"/>
    <hyperlink ref="Q186" r:id="rId185" xr:uid="{00000000-0004-0000-0000-0000B8000000}"/>
    <hyperlink ref="Q187" r:id="rId186" xr:uid="{00000000-0004-0000-0000-0000B9000000}"/>
    <hyperlink ref="Q188" r:id="rId187" xr:uid="{00000000-0004-0000-0000-0000BA000000}"/>
    <hyperlink ref="Q189" r:id="rId188" xr:uid="{00000000-0004-0000-0000-0000BB000000}"/>
    <hyperlink ref="Q190" r:id="rId189" xr:uid="{00000000-0004-0000-0000-0000BC000000}"/>
    <hyperlink ref="Q191" r:id="rId190" xr:uid="{00000000-0004-0000-0000-0000BD000000}"/>
    <hyperlink ref="Q192" r:id="rId191" xr:uid="{00000000-0004-0000-0000-0000BE000000}"/>
    <hyperlink ref="Q193" r:id="rId192" xr:uid="{00000000-0004-0000-0000-0000BF000000}"/>
    <hyperlink ref="Q194" r:id="rId193" xr:uid="{00000000-0004-0000-0000-0000C0000000}"/>
    <hyperlink ref="Q195" r:id="rId194" xr:uid="{00000000-0004-0000-0000-0000C1000000}"/>
    <hyperlink ref="Q197" r:id="rId195" xr:uid="{00000000-0004-0000-0000-0000C2000000}"/>
    <hyperlink ref="Q198" r:id="rId196" xr:uid="{00000000-0004-0000-0000-0000C3000000}"/>
    <hyperlink ref="Q199" r:id="rId197" xr:uid="{00000000-0004-0000-0000-0000C4000000}"/>
    <hyperlink ref="Q200" r:id="rId198" xr:uid="{00000000-0004-0000-0000-0000C5000000}"/>
    <hyperlink ref="Q201" r:id="rId199" xr:uid="{00000000-0004-0000-0000-0000C6000000}"/>
    <hyperlink ref="Q202" r:id="rId200" xr:uid="{00000000-0004-0000-0000-0000C7000000}"/>
    <hyperlink ref="Q203" r:id="rId201" xr:uid="{00000000-0004-0000-0000-0000C8000000}"/>
    <hyperlink ref="Q204" r:id="rId202" xr:uid="{00000000-0004-0000-0000-0000C9000000}"/>
    <hyperlink ref="Q205" r:id="rId203" xr:uid="{00000000-0004-0000-0000-0000CA000000}"/>
    <hyperlink ref="Q206" r:id="rId204" xr:uid="{00000000-0004-0000-0000-0000CB000000}"/>
    <hyperlink ref="Q207" r:id="rId205" xr:uid="{00000000-0004-0000-0000-0000CC000000}"/>
    <hyperlink ref="Q208" r:id="rId206" xr:uid="{00000000-0004-0000-0000-0000CD000000}"/>
    <hyperlink ref="Q209" r:id="rId207" xr:uid="{00000000-0004-0000-0000-0000CE000000}"/>
    <hyperlink ref="Q210" r:id="rId208" xr:uid="{00000000-0004-0000-0000-0000CF000000}"/>
    <hyperlink ref="Q211" r:id="rId209" xr:uid="{00000000-0004-0000-0000-0000D0000000}"/>
    <hyperlink ref="Q212" r:id="rId210" xr:uid="{00000000-0004-0000-0000-0000D1000000}"/>
    <hyperlink ref="Q213" r:id="rId211" xr:uid="{00000000-0004-0000-0000-0000D2000000}"/>
    <hyperlink ref="Q214" r:id="rId212" xr:uid="{00000000-0004-0000-0000-0000D3000000}"/>
    <hyperlink ref="Q217" r:id="rId213" xr:uid="{00000000-0004-0000-0000-0000D4000000}"/>
    <hyperlink ref="Q218" r:id="rId214" xr:uid="{00000000-0004-0000-0000-0000D5000000}"/>
    <hyperlink ref="Q219" r:id="rId215" xr:uid="{00000000-0004-0000-0000-0000D6000000}"/>
    <hyperlink ref="Q220" r:id="rId216" xr:uid="{00000000-0004-0000-0000-0000D7000000}"/>
    <hyperlink ref="Q221" r:id="rId217" xr:uid="{00000000-0004-0000-0000-0000D8000000}"/>
    <hyperlink ref="Q222" r:id="rId218" xr:uid="{00000000-0004-0000-0000-0000D9000000}"/>
    <hyperlink ref="Q223" r:id="rId219" xr:uid="{00000000-0004-0000-0000-0000DA000000}"/>
    <hyperlink ref="Q224" r:id="rId220" xr:uid="{00000000-0004-0000-0000-0000DB000000}"/>
    <hyperlink ref="Q225" r:id="rId221" xr:uid="{00000000-0004-0000-0000-0000DC000000}"/>
    <hyperlink ref="Q226" r:id="rId222" xr:uid="{00000000-0004-0000-0000-0000DD000000}"/>
    <hyperlink ref="Q227" r:id="rId223" xr:uid="{00000000-0004-0000-0000-0000DE000000}"/>
    <hyperlink ref="Q228" r:id="rId224" xr:uid="{00000000-0004-0000-0000-0000DF000000}"/>
    <hyperlink ref="Q229" r:id="rId225" location="893597(OHS%20Audit%20Questionnare).zip" xr:uid="{00000000-0004-0000-0000-0000E0000000}"/>
    <hyperlink ref="Q230" r:id="rId226" xr:uid="{00000000-0004-0000-0000-0000E1000000}"/>
    <hyperlink ref="Q231" r:id="rId227" xr:uid="{00000000-0004-0000-0000-0000E2000000}"/>
    <hyperlink ref="Q232" r:id="rId228" xr:uid="{00000000-0004-0000-0000-0000E3000000}"/>
    <hyperlink ref="Q233" r:id="rId229" xr:uid="{00000000-0004-0000-0000-0000E4000000}"/>
    <hyperlink ref="Q234" r:id="rId230" xr:uid="{00000000-0004-0000-0000-0000E5000000}"/>
    <hyperlink ref="Q235" r:id="rId231" xr:uid="{00000000-0004-0000-0000-0000E6000000}"/>
    <hyperlink ref="Q236" r:id="rId232" xr:uid="{00000000-0004-0000-0000-0000E7000000}"/>
    <hyperlink ref="Q237" r:id="rId233" xr:uid="{00000000-0004-0000-0000-0000E8000000}"/>
    <hyperlink ref="Q238" r:id="rId234" xr:uid="{00000000-0004-0000-0000-0000E9000000}"/>
    <hyperlink ref="Q239" r:id="rId235" xr:uid="{00000000-0004-0000-0000-0000EA000000}"/>
    <hyperlink ref="Q240" r:id="rId236" xr:uid="{00000000-0004-0000-0000-0000EB000000}"/>
    <hyperlink ref="Q241" r:id="rId237" xr:uid="{00000000-0004-0000-0000-0000EC000000}"/>
    <hyperlink ref="Q242" r:id="rId238" xr:uid="{00000000-0004-0000-0000-0000ED000000}"/>
    <hyperlink ref="Q243" r:id="rId239" xr:uid="{00000000-0004-0000-0000-0000EE000000}"/>
    <hyperlink ref="Q244" r:id="rId240" xr:uid="{00000000-0004-0000-0000-0000EF000000}"/>
    <hyperlink ref="Q245" r:id="rId241" xr:uid="{00000000-0004-0000-0000-0000F0000000}"/>
    <hyperlink ref="Q246" r:id="rId242" xr:uid="{00000000-0004-0000-0000-0000F1000000}"/>
    <hyperlink ref="Q247" r:id="rId243" xr:uid="{00000000-0004-0000-0000-0000F2000000}"/>
    <hyperlink ref="Q248" r:id="rId244" xr:uid="{00000000-0004-0000-0000-0000F3000000}"/>
    <hyperlink ref="Q249" r:id="rId245" xr:uid="{00000000-0004-0000-0000-0000F4000000}"/>
    <hyperlink ref="Q250" r:id="rId246" xr:uid="{00000000-0004-0000-0000-0000F5000000}"/>
    <hyperlink ref="Q251" r:id="rId247" xr:uid="{00000000-0004-0000-0000-0000F6000000}"/>
    <hyperlink ref="Q252" r:id="rId248" xr:uid="{00000000-0004-0000-0000-0000F7000000}"/>
    <hyperlink ref="Q253" r:id="rId249" xr:uid="{00000000-0004-0000-0000-0000F8000000}"/>
    <hyperlink ref="Q254" r:id="rId250" xr:uid="{00000000-0004-0000-0000-0000F9000000}"/>
    <hyperlink ref="Q255" r:id="rId251" xr:uid="{00000000-0004-0000-0000-0000FA000000}"/>
    <hyperlink ref="Q256" r:id="rId252" xr:uid="{00000000-0004-0000-0000-0000FB000000}"/>
    <hyperlink ref="Q257" r:id="rId253" xr:uid="{00000000-0004-0000-0000-0000FC000000}"/>
    <hyperlink ref="Q258" r:id="rId254" xr:uid="{00000000-0004-0000-0000-0000FD000000}"/>
    <hyperlink ref="Q259" r:id="rId255" xr:uid="{00000000-0004-0000-0000-0000FE000000}"/>
    <hyperlink ref="Q260" r:id="rId256" xr:uid="{00000000-0004-0000-0000-0000FF000000}"/>
    <hyperlink ref="Q261" r:id="rId257" xr:uid="{00000000-0004-0000-0000-000000010000}"/>
    <hyperlink ref="Q262" r:id="rId258" xr:uid="{00000000-0004-0000-0000-000001010000}"/>
    <hyperlink ref="Q263" r:id="rId259" xr:uid="{00000000-0004-0000-0000-000002010000}"/>
    <hyperlink ref="Q264" r:id="rId260" xr:uid="{00000000-0004-0000-0000-000003010000}"/>
    <hyperlink ref="Q265" r:id="rId261" xr:uid="{00000000-0004-0000-0000-000004010000}"/>
    <hyperlink ref="Q266" r:id="rId262" xr:uid="{00000000-0004-0000-0000-000005010000}"/>
    <hyperlink ref="Q267" r:id="rId263" xr:uid="{00000000-0004-0000-0000-000006010000}"/>
    <hyperlink ref="Q268" r:id="rId264" xr:uid="{00000000-0004-0000-0000-000007010000}"/>
    <hyperlink ref="Q269" r:id="rId265" xr:uid="{00000000-0004-0000-0000-000008010000}"/>
    <hyperlink ref="Q270" r:id="rId266" xr:uid="{00000000-0004-0000-0000-000009010000}"/>
    <hyperlink ref="Q271" r:id="rId267" xr:uid="{00000000-0004-0000-0000-00000A010000}"/>
    <hyperlink ref="Q272" r:id="rId268" xr:uid="{00000000-0004-0000-0000-00000B010000}"/>
    <hyperlink ref="Q273" r:id="rId269" xr:uid="{00000000-0004-0000-0000-00000C010000}"/>
    <hyperlink ref="Q274" r:id="rId270" xr:uid="{00000000-0004-0000-0000-00000D010000}"/>
    <hyperlink ref="Q275" r:id="rId271" xr:uid="{00000000-0004-0000-0000-00000E010000}"/>
    <hyperlink ref="Q276" r:id="rId272" xr:uid="{00000000-0004-0000-0000-00000F010000}"/>
    <hyperlink ref="Q277" r:id="rId273" xr:uid="{00000000-0004-0000-0000-000010010000}"/>
    <hyperlink ref="Q278" r:id="rId274" xr:uid="{00000000-0004-0000-0000-000011010000}"/>
    <hyperlink ref="Q279" r:id="rId275" xr:uid="{00000000-0004-0000-0000-000012010000}"/>
    <hyperlink ref="Q280" r:id="rId276" xr:uid="{00000000-0004-0000-0000-000013010000}"/>
    <hyperlink ref="Q281" r:id="rId277" xr:uid="{00000000-0004-0000-0000-000014010000}"/>
    <hyperlink ref="Q282" r:id="rId278" xr:uid="{00000000-0004-0000-0000-000015010000}"/>
    <hyperlink ref="Q283" r:id="rId279" xr:uid="{00000000-0004-0000-0000-000016010000}"/>
    <hyperlink ref="Q284" r:id="rId280" xr:uid="{00000000-0004-0000-0000-000017010000}"/>
    <hyperlink ref="Q285" r:id="rId281" xr:uid="{00000000-0004-0000-0000-000018010000}"/>
    <hyperlink ref="Q286" r:id="rId282" xr:uid="{00000000-0004-0000-0000-000019010000}"/>
    <hyperlink ref="Q287" r:id="rId283" xr:uid="{00000000-0004-0000-0000-00001A010000}"/>
    <hyperlink ref="Q288" r:id="rId284" xr:uid="{00000000-0004-0000-0000-00001B010000}"/>
    <hyperlink ref="Q289" r:id="rId285" xr:uid="{00000000-0004-0000-0000-00001C010000}"/>
    <hyperlink ref="Q290" r:id="rId286" xr:uid="{00000000-0004-0000-0000-00001D010000}"/>
    <hyperlink ref="Q291" r:id="rId287" xr:uid="{00000000-0004-0000-0000-00001E010000}"/>
    <hyperlink ref="Q292" r:id="rId288" xr:uid="{00000000-0004-0000-0000-00001F010000}"/>
    <hyperlink ref="Q293" r:id="rId289" xr:uid="{00000000-0004-0000-0000-000020010000}"/>
    <hyperlink ref="Q294" r:id="rId290" xr:uid="{00000000-0004-0000-0000-000021010000}"/>
    <hyperlink ref="Q295" r:id="rId291" xr:uid="{00000000-0004-0000-0000-000022010000}"/>
    <hyperlink ref="Q296" r:id="rId292" xr:uid="{00000000-0004-0000-0000-000023010000}"/>
    <hyperlink ref="Q297" r:id="rId293" xr:uid="{00000000-0004-0000-0000-000024010000}"/>
    <hyperlink ref="Q298" r:id="rId294" xr:uid="{00000000-0004-0000-0000-000025010000}"/>
    <hyperlink ref="Q299" r:id="rId295" xr:uid="{00000000-0004-0000-0000-000026010000}"/>
    <hyperlink ref="Q300" r:id="rId296" xr:uid="{00000000-0004-0000-0000-000027010000}"/>
    <hyperlink ref="Q301" r:id="rId297" xr:uid="{00000000-0004-0000-0000-000028010000}"/>
    <hyperlink ref="Q302" r:id="rId298" xr:uid="{00000000-0004-0000-0000-000029010000}"/>
    <hyperlink ref="Q303" r:id="rId299" xr:uid="{00000000-0004-0000-0000-00002A010000}"/>
    <hyperlink ref="Q304" r:id="rId300" xr:uid="{00000000-0004-0000-0000-00002B010000}"/>
    <hyperlink ref="Q305" r:id="rId301" xr:uid="{00000000-0004-0000-0000-00002C010000}"/>
    <hyperlink ref="Q306" r:id="rId302" xr:uid="{00000000-0004-0000-0000-00002D010000}"/>
    <hyperlink ref="Q307" r:id="rId303" xr:uid="{00000000-0004-0000-0000-00002E010000}"/>
    <hyperlink ref="Q308" r:id="rId304" xr:uid="{00000000-0004-0000-0000-00002F010000}"/>
    <hyperlink ref="Q309" r:id="rId305" xr:uid="{00000000-0004-0000-0000-000030010000}"/>
    <hyperlink ref="Q310" r:id="rId306" xr:uid="{00000000-0004-0000-0000-000031010000}"/>
    <hyperlink ref="Q311" r:id="rId307" xr:uid="{00000000-0004-0000-0000-000032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heetViews>
  <sheetFormatPr defaultRowHeight="14.4" x14ac:dyDescent="0.3"/>
  <sheetData>
    <row r="1" spans="1:4" x14ac:dyDescent="0.3">
      <c r="A1" s="1" t="s">
        <v>1250</v>
      </c>
      <c r="B1" s="1" t="s">
        <v>1251</v>
      </c>
      <c r="C1" s="1" t="s">
        <v>1252</v>
      </c>
      <c r="D1" s="1" t="s">
        <v>1253</v>
      </c>
    </row>
    <row r="2" spans="1:4" x14ac:dyDescent="0.3">
      <c r="A2" t="s">
        <v>1254</v>
      </c>
      <c r="B2" t="s">
        <v>1255</v>
      </c>
    </row>
    <row r="3" spans="1:4" x14ac:dyDescent="0.3">
      <c r="A3" t="s">
        <v>1256</v>
      </c>
      <c r="B3">
        <f>COUNTA('Tender Data'!J:J)-1</f>
        <v>310</v>
      </c>
      <c r="C3">
        <f>COUNTIF('Tender Data'!M:M,"Information service activities")+COUNTIF('Tender Data'!M:M,"Information and communication")</f>
        <v>9</v>
      </c>
      <c r="D3">
        <f>COUNTIF('Tender Data'!G:G,"Request for Quotation")</f>
        <v>133</v>
      </c>
    </row>
    <row r="4" spans="1:4" x14ac:dyDescent="0.3">
      <c r="A4" t="s">
        <v>1257</v>
      </c>
      <c r="B4">
        <f>COUNTIF('Tender Data'!J:J,"ESKOM")</f>
        <v>26</v>
      </c>
      <c r="C4">
        <f>COUNTIFS('Tender Data'!M:M,"Information service activities",'Tender Data'!J:J,"ESKOM")+COUNTIFS('Tender Data'!M:M,"Information and communication",'Tender Data'!J:J,"ESKOM")</f>
        <v>0</v>
      </c>
      <c r="D4">
        <f>COUNTIFS('Tender Data'!J:J,"ESKOM",'Tender Data'!G:G,"Request for Quotation")</f>
        <v>3</v>
      </c>
    </row>
    <row r="5" spans="1:4" x14ac:dyDescent="0.3">
      <c r="A5" t="s">
        <v>1258</v>
      </c>
      <c r="B5">
        <f>COUNTIF('Tender Data'!J:J,"State Information Technology Agency")</f>
        <v>0</v>
      </c>
      <c r="C5">
        <f>COUNTIFS('Tender Data'!M:M,"Information service activities",'Tender Data'!J:J,"State Information Technology Agency")+COUNTIFS('Tender Data'!M:M,"Information and communication",'Tender Data'!J:J,"State Information Technology Agency")</f>
        <v>0</v>
      </c>
      <c r="D5">
        <f>COUNTIFS('Tender Data'!J:J,"State Information Technology Agency",'Tender Data'!G:G,"Request for Quotation")</f>
        <v>0</v>
      </c>
    </row>
    <row r="6" spans="1:4" x14ac:dyDescent="0.3">
      <c r="A6" t="s">
        <v>1259</v>
      </c>
      <c r="B6">
        <f>COUNTIF('Tender Data'!J:J,"Transnet*")</f>
        <v>12</v>
      </c>
      <c r="C6">
        <f>COUNTIFS('Tender Data'!M:M,"Information service activities",'Tender Data'!J:J,"Transnet*")+COUNTIFS('Tender Data'!M:M,"Information and communication",'Tender Data'!J:J,"Transnet*")</f>
        <v>0</v>
      </c>
      <c r="D6">
        <f>COUNTIFS('Tender Data'!J:J,"Transnet*",'Tender Data'!G:G,"Request for Quotation")</f>
        <v>3</v>
      </c>
    </row>
    <row r="7" spans="1:4" x14ac:dyDescent="0.3">
      <c r="A7" t="s">
        <v>1260</v>
      </c>
      <c r="B7">
        <f>COUNTIF('Tender Data'!J:J,"*Joburg Property*")</f>
        <v>0</v>
      </c>
      <c r="C7">
        <f>COUNTIFS('Tender Data'!M:M,"Information service activities",'Tender Data'!J:J,"*Joburg Property*")+COUNTIFS('Tender Data'!M:M,"Information and communication",'Tender Data'!J:J,"*Joburg Property*")</f>
        <v>0</v>
      </c>
      <c r="D7">
        <f>COUNTIFS('Tender Data'!J:J,"*Joburg Property*",'Tender Data'!G:G,"Request for Quotation")</f>
        <v>0</v>
      </c>
    </row>
    <row r="8" spans="1:4" x14ac:dyDescent="0.3">
      <c r="A8" t="s">
        <v>1261</v>
      </c>
      <c r="B8">
        <f>COUNTIF('Tender Data'!J:J,"Matatiele Local Municipality")</f>
        <v>0</v>
      </c>
      <c r="C8">
        <f>COUNTIFS('Tender Data'!M:M,"Information service activities",'Tender Data'!J:J,"Matatiele Local Municipality")+COUNTIFS('Tender Data'!M:M,"Information and communication",'Tender Data'!J:J,"Matatiele Local Municipality")</f>
        <v>0</v>
      </c>
      <c r="D8">
        <f>COUNTIFS('Tender Data'!J:J,"Matatiele Local Municipality",'Tender Data'!G:G,"Request for Quotation")</f>
        <v>0</v>
      </c>
    </row>
    <row r="9" spans="1:4" x14ac:dyDescent="0.3">
      <c r="A9" t="s">
        <v>1262</v>
      </c>
      <c r="B9">
        <f>COUNTIF('Tender Data'!J:J,"Ntabankulu Local Municipality")</f>
        <v>0</v>
      </c>
      <c r="C9">
        <f>COUNTIFS('Tender Data'!M:M,"Information service activities",'Tender Data'!J:J,"Ntabankulu Local Municipality")+COUNTIFS('Tender Data'!M:M,"Information and communication",'Tender Data'!J:J,"Ntabankulu Local Municipality")</f>
        <v>0</v>
      </c>
      <c r="D9">
        <f>COUNTIFS('Tender Data'!J:J,"Ntabankulu Local Municipality",'Tender Data'!G:G,"Request for Quotation")</f>
        <v>0</v>
      </c>
    </row>
    <row r="10" spans="1:4" x14ac:dyDescent="0.3">
      <c r="A10" t="s">
        <v>1263</v>
      </c>
      <c r="B10">
        <f>COUNTIF('Tender Data'!J:J,"Umzimvubu Local Municipality")</f>
        <v>0</v>
      </c>
      <c r="C10">
        <f>COUNTIFS('Tender Data'!M:M,"Information service activities",'Tender Data'!J:J,"Umzimvubu Local Municipality")+COUNTIFS('Tender Data'!M:M,"Information and communication",'Tender Data'!J:J,"Umzimvubu Local Municipality")</f>
        <v>0</v>
      </c>
      <c r="D10">
        <f>COUNTIFS('Tender Data'!J:J,"Umzimvubu Local Municipality",'Tender Data'!G:G,"Request for Quotation")</f>
        <v>0</v>
      </c>
    </row>
    <row r="11" spans="1:4" x14ac:dyDescent="0.3">
      <c r="A11" t="s">
        <v>1264</v>
      </c>
      <c r="B11">
        <f>COUNTIF('Tender Data'!J:J,"Winnie Madikizela*")</f>
        <v>4</v>
      </c>
      <c r="C11">
        <f>COUNTIFS('Tender Data'!M:M,"Information service activities",'Tender Data'!J:J,"Winnie Madikizela*")+COUNTIFS('Tender Data'!M:M,"Information and communication",'Tender Data'!J:J,"Winnie Madikizela*")</f>
        <v>0</v>
      </c>
      <c r="D11">
        <f>COUNTIFS('Tender Data'!J:J,"Winnie Madikizela*",'Tender Data'!G:G,"Request for Quotation")</f>
        <v>0</v>
      </c>
    </row>
    <row r="12" spans="1:4" x14ac:dyDescent="0.3">
      <c r="A12" t="s">
        <v>1265</v>
      </c>
      <c r="B12">
        <f>COUNTIF('Tender Data'!J:J,"Mnquma Local Municipality")</f>
        <v>1</v>
      </c>
      <c r="C12">
        <f>COUNTIFS('Tender Data'!M:M,"Information service activities",'Tender Data'!J:J,"Mnquma Local Municipality")+COUNTIFS('Tender Data'!M:M,"Information and communication",'Tender Data'!J:J,"Mnquma Local Municipality")</f>
        <v>0</v>
      </c>
      <c r="D12">
        <f>COUNTIFS('Tender Data'!J:J,"Mnquma Local Municipality",'Tender Data'!G:G,"Request for Quotation")</f>
        <v>1</v>
      </c>
    </row>
    <row r="13" spans="1:4" x14ac:dyDescent="0.3">
      <c r="A13" t="s">
        <v>1266</v>
      </c>
      <c r="B13">
        <f>COUNTIF('Tender Data'!J:J,"Great Kei Local Municipality")</f>
        <v>0</v>
      </c>
      <c r="C13">
        <f>COUNTIFS('Tender Data'!M:M,"Information service activities",'Tender Data'!J:J,"Great Kei Local Municipality")+COUNTIFS('Tender Data'!M:M,"Information and communication",'Tender Data'!J:J,"Great Kei Local Municipality")</f>
        <v>0</v>
      </c>
      <c r="D13">
        <f>COUNTIFS('Tender Data'!J:J,"Great Kei Local Municipality",'Tender Data'!G:G,"Request for Quotation")</f>
        <v>0</v>
      </c>
    </row>
    <row r="14" spans="1:4" x14ac:dyDescent="0.3">
      <c r="A14" t="s">
        <v>1267</v>
      </c>
      <c r="B14">
        <f>COUNTIF('Tender Data'!J:J,"Amahlathi Local Municipality")</f>
        <v>1</v>
      </c>
      <c r="C14">
        <f>COUNTIFS('Tender Data'!M:M,"Information service activities",'Tender Data'!J:J,"Amahlathi Local Municipality")+COUNTIFS('Tender Data'!M:M,"Information and communication",'Tender Data'!J:J,"Amahlathi Local Municipality")</f>
        <v>0</v>
      </c>
      <c r="D14">
        <f>COUNTIFS('Tender Data'!J:J,"Amahlathi Local Municipality",'Tender Data'!G:G,"Request for Quotation")</f>
        <v>0</v>
      </c>
    </row>
    <row r="15" spans="1:4" x14ac:dyDescent="0.3">
      <c r="A15" t="s">
        <v>1268</v>
      </c>
      <c r="B15">
        <f>COUNTIF('Tender Data'!J:J,"Raymond Mhlaba Local Municipality")</f>
        <v>0</v>
      </c>
      <c r="C15">
        <f>COUNTIFS('Tender Data'!M:M,"Information service activities",'Tender Data'!J:J,"Raymond Mhlaba Local Municipality")+COUNTIFS('Tender Data'!M:M,"Information and communication",'Tender Data'!J:J,"Raymond Mhlaba Local Municipality")</f>
        <v>0</v>
      </c>
      <c r="D15">
        <f>COUNTIFS('Tender Data'!J:J,"Raymond Mhlaba Local Municipality",'Tender Data'!G:G,"Request for Quotation")</f>
        <v>0</v>
      </c>
    </row>
    <row r="16" spans="1:4" x14ac:dyDescent="0.3">
      <c r="A16" t="s">
        <v>1269</v>
      </c>
      <c r="B16">
        <f>COUNTIF('Tender Data'!J:J,"*Johannesburg Social Housing*")</f>
        <v>0</v>
      </c>
      <c r="C16">
        <f>COUNTIFS('Tender Data'!M:M,"Information service activities",'Tender Data'!J:J,"*Johannesburg Social Housing*")+COUNTIFS('Tender Data'!M:M,"Information and communication",'Tender Data'!J:J,"*Johannesburg Social Housing*")</f>
        <v>0</v>
      </c>
      <c r="D16">
        <f>COUNTIFS('Tender Data'!J:J,"*Johannesburg Social Housing*",'Tender Data'!G:G,"Request for Quotation")</f>
        <v>0</v>
      </c>
    </row>
    <row r="17" spans="1:4" x14ac:dyDescent="0.3">
      <c r="A17" t="s">
        <v>1270</v>
      </c>
      <c r="B17">
        <f>COUNTIF('Tender Data'!J:J,"Gauteng Provincial Legislature")</f>
        <v>0</v>
      </c>
      <c r="C17">
        <f>COUNTIFS('Tender Data'!M:M,"Information service activities",'Tender Data'!J:J,"Gauteng Provincial Legislature")+COUNTIFS('Tender Data'!M:M,"Information and communication",'Tender Data'!J:J,"Gauteng Provincial Legislature")</f>
        <v>0</v>
      </c>
      <c r="D17">
        <f>COUNTIFS('Tender Data'!J:J,"Gauteng Provincial Legislature",'Tender Data'!G:G,"Request for Quotation")</f>
        <v>0</v>
      </c>
    </row>
    <row r="18" spans="1:4" x14ac:dyDescent="0.3">
      <c r="A18" t="s">
        <v>1271</v>
      </c>
      <c r="B18">
        <f>COUNTIF('Tender Data'!J:J,"Road Accident Fund")</f>
        <v>5</v>
      </c>
      <c r="C18">
        <f>COUNTIFS('Tender Data'!M:M,"Information service activities",'Tender Data'!J:J,"Road Accident Fund")+COUNTIFS('Tender Data'!M:M,"Information and communication",'Tender Data'!J:J,"Road Accident Fund")</f>
        <v>1</v>
      </c>
      <c r="D18">
        <f>COUNTIFS('Tender Data'!J:J,"Road Accident Fund",'Tender Data'!G:G,"Request for Quotation")</f>
        <v>3</v>
      </c>
    </row>
    <row r="19" spans="1:4" x14ac:dyDescent="0.3">
      <c r="A19" t="s">
        <v>1272</v>
      </c>
      <c r="B19">
        <f>COUNTIF('Tender Data'!J:J,"*Metropolitan Trading*")</f>
        <v>0</v>
      </c>
      <c r="C19">
        <f>COUNTIFS('Tender Data'!M:M,"Information service activities",'Tender Data'!J:J,"*Metropolitan Trading*")+COUNTIFS('Tender Data'!M:M,"Information and communication",'Tender Data'!J:J,"*Metropolitan Trading*")</f>
        <v>0</v>
      </c>
      <c r="D19">
        <f>COUNTIFS('Tender Data'!J:J,"*Metropolitan Trading*",'Tender Data'!G:G,"Request for Quotation")</f>
        <v>0</v>
      </c>
    </row>
    <row r="20" spans="1:4" x14ac:dyDescent="0.3">
      <c r="A20" t="s">
        <v>1273</v>
      </c>
      <c r="B20">
        <f>COUNTIF('Tender Data'!J:J,"*Nelson Mandela Bay*")</f>
        <v>0</v>
      </c>
      <c r="C20">
        <f>COUNTIFS('Tender Data'!M:M,"Information service activities",'Tender Data'!J:J,"*Nelson Mandela Bay*")+COUNTIFS('Tender Data'!M:M,"Information and communication",'Tender Data'!J:J,"*Nelson Mandela Bay*")</f>
        <v>0</v>
      </c>
      <c r="D20">
        <f>COUNTIFS('Tender Data'!J:J,"*Nelson Mandela Bay*",'Tender Data'!G:G,"Request for Quotation")</f>
        <v>0</v>
      </c>
    </row>
    <row r="21" spans="1:4" x14ac:dyDescent="0.3">
      <c r="A21" t="s">
        <v>1274</v>
      </c>
      <c r="B21">
        <f>COUNTIF('Tender Data'!J:J,"*Buffalo City*")</f>
        <v>0</v>
      </c>
      <c r="C21">
        <f>COUNTIFS('Tender Data'!M:M,"Information service activities",'Tender Data'!J:J,"*Buffalo City*")+COUNTIFS('Tender Data'!M:M,"Information and communication",'Tender Data'!J:J,"*Buffalo City*")</f>
        <v>0</v>
      </c>
      <c r="D21">
        <f>COUNTIFS('Tender Data'!J:J,"*Buffalo City*",'Tender Data'!G:G,"Request for Quotation")</f>
        <v>0</v>
      </c>
    </row>
    <row r="22" spans="1:4" x14ac:dyDescent="0.3">
      <c r="A22" t="s">
        <v>1275</v>
      </c>
      <c r="B22">
        <f>COUNTIF('Tender Data'!J:J,"*Eastern Cape*Public Works*")</f>
        <v>3</v>
      </c>
      <c r="C22">
        <f>COUNTIFS('Tender Data'!M:M,"Information service activities",'Tender Data'!J:J,"*Eastern Cape*Public Works*")+COUNTIFS('Tender Data'!M:M,"Information and communication",'Tender Data'!J:J,"*Eastern Cape*Public Works*")</f>
        <v>0</v>
      </c>
      <c r="D22">
        <f>COUNTIFS('Tender Data'!J:J,"*Eastern Cape*Public Works*",'Tender Data'!G:G,"Request for Quotation")</f>
        <v>0</v>
      </c>
    </row>
    <row r="23" spans="1:4" x14ac:dyDescent="0.3">
      <c r="A23" t="s">
        <v>1276</v>
      </c>
      <c r="B23">
        <f>COUNTIF('Tender Data'!J:J,"*Labour*")</f>
        <v>0</v>
      </c>
      <c r="C23">
        <f>COUNTIFS('Tender Data'!M:M,"Information service activities",'Tender Data'!J:J,"*Labour*")+COUNTIFS('Tender Data'!M:M,"Information and communication",'Tender Data'!J:J,"*Labour*")</f>
        <v>0</v>
      </c>
      <c r="D23">
        <f>COUNTIFS('Tender Data'!J:J,"*Labour*",'Tender Data'!G:G,"Request for Quotation")</f>
        <v>0</v>
      </c>
    </row>
    <row r="24" spans="1:4" x14ac:dyDescent="0.3">
      <c r="A24" t="s">
        <v>1277</v>
      </c>
      <c r="B24">
        <f>COUNTIF('Tender Data'!J:J,"Special Investigations Unit*")</f>
        <v>0</v>
      </c>
      <c r="C24">
        <f>COUNTIFS('Tender Data'!M:M,"Information service activities",'Tender Data'!J:J,"Special Investigations Unit*")+COUNTIFS('Tender Data'!M:M,"Information and communication",'Tender Data'!J:J,"Special Investigations Unit*")</f>
        <v>0</v>
      </c>
      <c r="D24">
        <f>COUNTIFS('Tender Data'!J:J,"Special Investigations Unit*",'Tender Data'!G:G,"Request for Quotation")</f>
        <v>0</v>
      </c>
    </row>
    <row r="25" spans="1:4" x14ac:dyDescent="0.3">
      <c r="A25" t="s">
        <v>1278</v>
      </c>
      <c r="B25">
        <f>COUNTIF('Tender Data'!J:J,"*Gauteng*Health*")</f>
        <v>0</v>
      </c>
      <c r="C25">
        <f>COUNTIFS('Tender Data'!M:M,"Information service activities",'Tender Data'!J:J,"*Gauteng*Health*")+COUNTIFS('Tender Data'!M:M,"Information and communication",'Tender Data'!J:J,"*Gauteng*Health*")</f>
        <v>0</v>
      </c>
      <c r="D25">
        <f>COUNTIFS('Tender Data'!J:J,"*Gauteng*Health*",'Tender Data'!G:G,"Request for Quotation")</f>
        <v>0</v>
      </c>
    </row>
    <row r="26" spans="1:4" x14ac:dyDescent="0.3">
      <c r="A26" t="s">
        <v>1279</v>
      </c>
      <c r="B26">
        <f>COUNTIF('Tender Data'!J:J,"*International Relation*")</f>
        <v>0</v>
      </c>
      <c r="C26">
        <f>COUNTIFS('Tender Data'!M:M,"Information service activities",'Tender Data'!J:J,"*International Relation*")+COUNTIFS('Tender Data'!M:M,"Information and communication",'Tender Data'!J:J,"*International Relation*")</f>
        <v>0</v>
      </c>
      <c r="D26">
        <f>COUNTIFS('Tender Data'!J:J,"*International Relation*",'Tender Data'!G:G,"Request for Quotation")</f>
        <v>0</v>
      </c>
    </row>
    <row r="27" spans="1:4" x14ac:dyDescent="0.3">
      <c r="A27" t="s">
        <v>1280</v>
      </c>
      <c r="B27">
        <f>COUNTIF('Tender Data'!J:J,"City Power Johannesburg*")</f>
        <v>0</v>
      </c>
      <c r="C27">
        <f>COUNTIFS('Tender Data'!M:M,"Information service activities",'Tender Data'!J:J,"City Power Johannesburg*")+COUNTIFS('Tender Data'!M:M,"Information and communication",'Tender Data'!J:J,"City Power Johannesburg*")</f>
        <v>0</v>
      </c>
      <c r="D27">
        <f>COUNTIFS('Tender Data'!J:J,"City Power Johannesburg*",'Tender Data'!G:G,"Request for Quotation")</f>
        <v>0</v>
      </c>
    </row>
    <row r="28" spans="1:4" x14ac:dyDescent="0.3">
      <c r="A28" t="s">
        <v>1281</v>
      </c>
      <c r="B28">
        <f>COUNTIF('Tender Data'!J:J,"*Johannesburg Water*")</f>
        <v>5</v>
      </c>
      <c r="C28">
        <f>COUNTIFS('Tender Data'!M:M,"Information service activities",'Tender Data'!J:J,"*Johannesburg Water*")+COUNTIFS('Tender Data'!M:M,"Information and communication",'Tender Data'!J:J,"*Johannesburg Water*")</f>
        <v>0</v>
      </c>
      <c r="D28">
        <f>COUNTIFS('Tender Data'!J:J,"*Johannesburg Water*",'Tender Data'!G:G,"Request for Quotation")</f>
        <v>5</v>
      </c>
    </row>
    <row r="29" spans="1:4" x14ac:dyDescent="0.3">
      <c r="B29">
        <f>SUM(B4:B28)</f>
        <v>57</v>
      </c>
      <c r="C29">
        <f>SUM(C4:C28)</f>
        <v>1</v>
      </c>
      <c r="D29">
        <f>SUM(D4:D28)</f>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Data</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2026-05-28T06:24:15Z</dcterms:created>
  <dcterms:modified xsi:type="dcterms:W3CDTF">2026-06-01T08:40:57Z</dcterms:modified>
</cp:coreProperties>
</file>