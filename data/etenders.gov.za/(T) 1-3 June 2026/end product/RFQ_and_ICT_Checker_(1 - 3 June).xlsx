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nder Data" sheetId="1" state="visible" r:id="rId1"/>
    <sheet xmlns:r="http://schemas.openxmlformats.org/officeDocument/2006/relationships" name="Final"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F4E79"/>
      </patternFill>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2" borderId="0" pivotButton="0" quotePrefix="0" xfId="0"/>
    <xf numFmtId="165" fontId="0" fillId="0"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etenders.gov.za/home/Download/?blobName=196dd11d-1cc1-41ed-aaca-09fdc109918c.pdf&amp;downloadedFileName=TENDER%20LNW%2003-25-26%20PANEL%20FOR%20SUPPLYING%20AND%20DELIVERING%20OF%20ARGON%20BASELINE,%20HELIUM%20BASELINE,%20NITROGEN%20GAS.pdf" TargetMode="External" Id="rId1"/><Relationship Type="http://schemas.openxmlformats.org/officeDocument/2006/relationships/hyperlink" Target="https://www.etenders.gov.za/home/Download/?blobName=7cb20c0d-d5d3-4249-84c7-2fd29c0827d3.pdf&amp;downloadedFileName=RFQ%20FOR%20KOEDOESPOORT.pdf" TargetMode="External" Id="rId2"/><Relationship Type="http://schemas.openxmlformats.org/officeDocument/2006/relationships/hyperlink" Target="https://www.etenders.gov.za/home/Download/?blobName=314c9c9d-4b51-4da7-a657-6290e49cd255.pdf&amp;downloadedFileName=TENDER%20ADVERT%20DRAFT%2031%20may.pdf" TargetMode="External" Id="rId3"/><Relationship Type="http://schemas.openxmlformats.org/officeDocument/2006/relationships/hyperlink" Target="https://www.etenders.gov.za/home/Download/?blobName=8363b701-ceb8-4bb1-8dea-40f46e9f0d67.pdf&amp;downloadedFileName=TENDER%20ADVERT%20DRAFT%2031%20may.pdf" TargetMode="External" Id="rId4"/><Relationship Type="http://schemas.openxmlformats.org/officeDocument/2006/relationships/hyperlink" Target="https://www.etenders.gov.za/home/Download/?blobName=1b759f79-f921-4c9b-b92d-89ee4d10d6f5.pdf&amp;downloadedFileName=TENDER%20ADVERT%20DRAFT%2031%20may.pdf" TargetMode="External" Id="rId5"/><Relationship Type="http://schemas.openxmlformats.org/officeDocument/2006/relationships/hyperlink" Target="https://www.etenders.gov.za/home/Download/?blobName=1c79fe73-5e68-40e4-b364-3a4831fffcaf.pdf&amp;downloadedFileName=TENDER%20DOCUMENT%20WATER%20CARRIER%20TRUCK%2018.06.2026.pdf" TargetMode="External" Id="rId6"/><Relationship Type="http://schemas.openxmlformats.org/officeDocument/2006/relationships/hyperlink" Target="https://www.etenders.gov.za/home/Download/?blobName=b7715b5d-8f3a-47b1-a594-10ecc0290cf3.pdf&amp;downloadedFileName=Eskom%20Standard%20Conditions%20of%20Tender.pdf" TargetMode="External" Id="rId7"/><Relationship Type="http://schemas.openxmlformats.org/officeDocument/2006/relationships/hyperlink" Target="https://www.etenders.gov.za/home/Download/?blobName=4788f7ce-c144-4e2e-9c20-fb409a532d9d.XLS&amp;downloadedFileName=202602~1.XLS" TargetMode="External" Id="rId8"/><Relationship Type="http://schemas.openxmlformats.org/officeDocument/2006/relationships/hyperlink" Target="https://www.etenders.gov.za/home/Download/?blobName=7893d0a3-515c-4425-be01-75d7821607b5.pdf&amp;downloadedFileName=RFQ-%20Motivational%20Speaker.pdf" TargetMode="External" Id="rId9"/><Relationship Type="http://schemas.openxmlformats.org/officeDocument/2006/relationships/hyperlink" Target="https://www.etenders.gov.za/home/Download/?blobName=f1fcd926-3111-472b-9155-ee2f09325f95.pdf&amp;downloadedFileName=Standard%20Bidding%20Document%20(SDB)%204_Annexure%20A.pdf" TargetMode="External" Id="rId10"/><Relationship Type="http://schemas.openxmlformats.org/officeDocument/2006/relationships/hyperlink" Target="https://www.etenders.gov.za/home/Download/?blobName=c1bb2423-6d0f-4e5c-bd55-e0ba2e95ec24.zip&amp;downloadedFileName=Enquiry%20documents.zip" TargetMode="External" Id="rId11"/><Relationship Type="http://schemas.openxmlformats.org/officeDocument/2006/relationships/hyperlink" Target="https://www.etenders.gov.za/home/Download/?blobName=c083868d-c459-4851-a4e0-fcb64fe2b237.zip&amp;downloadedFileName=Health%20&amp;%20Safety.zip" TargetMode="External" Id="rId12"/><Relationship Type="http://schemas.openxmlformats.org/officeDocument/2006/relationships/hyperlink" Target="https://www.etenders.gov.za/home/Download/?blobName=38cadc0f-2407-44fc-a3dd-4747d8cda4ae.pdf&amp;downloadedFileName=Regret%20Letter%20Template%20for%20Unsuccessful%20Suppliers%20-%20MWP2989DX.pdf" TargetMode="External" Id="rId13"/><Relationship Type="http://schemas.openxmlformats.org/officeDocument/2006/relationships/hyperlink" Target="https://www.etenders.gov.za/home/Download/?blobName=7c2f9be4-2626-45ec-b422-bf6813ffe1a1.pdf&amp;downloadedFileName=FINAL%20DRAFT%20ADVERT.pdf" TargetMode="External" Id="rId14"/><Relationship Type="http://schemas.openxmlformats.org/officeDocument/2006/relationships/hyperlink" Target="https://www.etenders.gov.za/home/Download/?blobName=67aa67c2-8cef-49a0-a7c9-6586e27ee325.xlsx&amp;downloadedFileName=240-70044602%20Occupational%20Health%20and%20Safety%20Risk%20Assessment%20Template%20(3).xlsx" TargetMode="External" Id="rId15"/><Relationship Type="http://schemas.openxmlformats.org/officeDocument/2006/relationships/hyperlink" Target="https://www.etenders.gov.za/home/Download/?blobName=31c6dee1-f6cc-49bf-a63c-6bbea2528f51.docx&amp;downloadedFileName=Acknowledgement%20Form%20for%20Eskom%20SHE%20Rules%20and%20other%20Requirements.docx" TargetMode="External" Id="rId16"/><Relationship Type="http://schemas.openxmlformats.org/officeDocument/2006/relationships/hyperlink" Target="https://www.etenders.gov.za/home/Download/?blobName=5c8cf513-5cfa-4ff3-b41c-1b87cc6e6cbf.pdf&amp;downloadedFileName=ZNQP%2015-05-2026%20CORRECT%20ONE%20WITH%20SPEFICATION.pdf" TargetMode="External" Id="rId17"/><Relationship Type="http://schemas.openxmlformats.org/officeDocument/2006/relationships/hyperlink" Target="https://www.etenders.gov.za/home/Download/?blobName=5e80e395-3a84-4091-ab48-495583b3d6cb.pdf&amp;downloadedFileName=RFQ%20BB%2034_2026.pdf" TargetMode="External" Id="rId18"/><Relationship Type="http://schemas.openxmlformats.org/officeDocument/2006/relationships/hyperlink" Target="https://www.etenders.gov.za/home/Download/?blobName=3486b4be-8d6e-4b9c-857a-68c6c6f2b07c.pdf&amp;downloadedFileName=BID%20DOCUMENT%20AMAWELE%2036%20MOMTHS%20ZNTD%2001-03-2026..pdf" TargetMode="External" Id="rId19"/><Relationship Type="http://schemas.openxmlformats.org/officeDocument/2006/relationships/hyperlink" Target="https://www.etenders.gov.za/home/Download/?blobName=c1a4d6c8-9a09-41f8-a54c-1dd12651422a.pdf&amp;downloadedFileName=BID%20DOCUMENT%20FOR%20SECURITY%20SERVICES%20ZNTD%2003-02-2026%20ETHEKWINI%20REGIONAL%20OFFICE..pdf" TargetMode="External" Id="rId20"/><Relationship Type="http://schemas.openxmlformats.org/officeDocument/2006/relationships/hyperlink" Target="https://www.etenders.gov.za/home/Download/?blobName=8ea45769-68a5-4132-8884-1e18f3a893e9.pdf&amp;downloadedFileName=Advert%20%20ZNQSRO06%20%202026-2027%20%20Grass%20cutting%20%2066%20Trelawney%20rd,%20Grange.pdf" TargetMode="External" Id="rId21"/><Relationship Type="http://schemas.openxmlformats.org/officeDocument/2006/relationships/hyperlink" Target="https://www.etenders.gov.za/home/Download/?blobName=58ea8ac4-0761-4c3f-8f3a-0f1acc608573.pdf&amp;downloadedFileName=FINAL%20DRAFT%20ADVERT.pdf" TargetMode="External" Id="rId22"/><Relationship Type="http://schemas.openxmlformats.org/officeDocument/2006/relationships/hyperlink" Target="https://www.etenders.gov.za/home/Download/?blobName=3b337dd6-6439-4f5a-bcd9-76bbb27f4e7d.pdf&amp;downloadedFileName=WTE1007CE.pdf" TargetMode="External" Id="rId23"/><Relationship Type="http://schemas.openxmlformats.org/officeDocument/2006/relationships/hyperlink" Target="https://www.etenders.gov.za/home/Download/?blobName=ea3b8e7c-d84a-4d26-a097-dc450088fbc2.pdf&amp;downloadedFileName=WTE1008CE.pdf" TargetMode="External" Id="rId24"/><Relationship Type="http://schemas.openxmlformats.org/officeDocument/2006/relationships/hyperlink" Target="https://www.etenders.gov.za/home/Download/?blobName=3391ba27-97bf-4be7-a31e-dad983a02797.pdf&amp;downloadedFileName=WTE1002CE.pdf" TargetMode="External" Id="rId25"/><Relationship Type="http://schemas.openxmlformats.org/officeDocument/2006/relationships/hyperlink" Target="https://www.etenders.gov.za/home/Download/?blobName=1e048f78-9574-42bc-9b04-6d0253db8ceb.pdf&amp;downloadedFileName=Chemical%20toilets%20midmar.pdf" TargetMode="External" Id="rId26"/><Relationship Type="http://schemas.openxmlformats.org/officeDocument/2006/relationships/hyperlink" Target="https://www.etenders.gov.za/home/Download/?blobName=5846f36a-3105-4ad6-892e-b0ac5f7f1aab.pdf&amp;downloadedFileName=RFQ%20Staff%20Transport%20R.pdf" TargetMode="External" Id="rId27"/><Relationship Type="http://schemas.openxmlformats.org/officeDocument/2006/relationships/hyperlink" Target="https://www.etenders.gov.za/home/Download/?blobName=57cf7e0f-31b4-496e-8e9d-36af8167a49b.pdf&amp;downloadedFileName=BID%20DOCUMENT%20FOR%20SUPPLY%20AND%20DELIVERY%20OF%20ONE%20EXTENDED%20CAB%20BAKKIE.pdf" TargetMode="External" Id="rId28"/><Relationship Type="http://schemas.openxmlformats.org/officeDocument/2006/relationships/hyperlink" Target="https://www.etenders.gov.za/home/Download/?blobName=bfae2c16-f7b7-4104-a42c-f71d4bc4f0e7.pdf&amp;downloadedFileName=RFQ-APPOINTMENT%20OF%20A%20SERVICE%20PROVIDER%20TO%20UNDERTAKE%20A%20DISTRICT%20SITUATIONAL%20ANALYSIS%20FOR%20THE%20INGONYAMA%20TRUST%20(IT)%20INVESTMENT%20SUMMIT.pdf" TargetMode="External" Id="rId29"/><Relationship Type="http://schemas.openxmlformats.org/officeDocument/2006/relationships/hyperlink" Target="https://www.etenders.gov.za/home/Download/?blobName=8b693bf7-9d2e-40f4-8ec4-6d0382e4c4de.pdf&amp;downloadedFileName=NEC%20CONTRACT%20_AIR%20HANDLING%20UNITS%20UPGRADES%2074156.pdf" TargetMode="External" Id="rId30"/><Relationship Type="http://schemas.openxmlformats.org/officeDocument/2006/relationships/hyperlink" Target="https://www.etenders.gov.za/home/Download/?blobName=54431fba-9b51-4751-a2b5-7b23c58f1705.pdf&amp;downloadedFileName=IZIKO-RFQ-R&amp;E%20Conservator.pdf" TargetMode="External" Id="rId31"/><Relationship Type="http://schemas.openxmlformats.org/officeDocument/2006/relationships/hyperlink" Target="https://www.etenders.gov.za/home/Download/?blobName=39f607e9-f6dc-44e9-af11-e5079b44d08b.pdf&amp;downloadedFileName=ADVERT%20FOR%20JUNE.pdf" TargetMode="External" Id="rId32"/><Relationship Type="http://schemas.openxmlformats.org/officeDocument/2006/relationships/hyperlink" Target="https://www.etenders.gov.za/home/Download/?blobName=97fb9f2d-7092-4c0f-8827-d36d4eeb3725.pdf&amp;downloadedFileName=ADVERT%20FOR%20JUNE.pdf" TargetMode="External" Id="rId33"/><Relationship Type="http://schemas.openxmlformats.org/officeDocument/2006/relationships/hyperlink" Target="https://www.etenders.gov.za/home/Download/?blobName=d55cc8f0-9d78-4d15-aa95-ed61a2698ea5.pdf&amp;downloadedFileName=ADVERT%20FOR%20JUNE.pdf" TargetMode="External" Id="rId34"/><Relationship Type="http://schemas.openxmlformats.org/officeDocument/2006/relationships/hyperlink" Target="https://www.etenders.gov.za/home/Download/?blobName=7369802f-c496-4db9-8aad-ff2a16d5926a.pdf&amp;downloadedFileName=WTE1009CE.pdf" TargetMode="External" Id="rId35"/><Relationship Type="http://schemas.openxmlformats.org/officeDocument/2006/relationships/hyperlink" Target="https://www.etenders.gov.za/home/Download/?blobName=6a82a1b3-123e-4558-82e4-389152c4f935.pdf&amp;downloadedFileName=MLRF219-26%20ADVERT%20PACK.pdf" TargetMode="External" Id="rId36"/><Relationship Type="http://schemas.openxmlformats.org/officeDocument/2006/relationships/hyperlink" Target="https://www.etenders.gov.za/home/Download/?blobName=e5a27a85-5c74-4090-8c98-7510c130c9a9.pdf&amp;downloadedFileName=DOCUMENT.pdf" TargetMode="External" Id="rId37"/><Relationship Type="http://schemas.openxmlformats.org/officeDocument/2006/relationships/hyperlink" Target="https://www.etenders.gov.za/home/Download/?blobName=ed61cf3b-268e-436d-bbcb-2f45620228ed.pdf&amp;downloadedFileName=Reporting%20of%20procurement%20by%20other%20means.pdf" TargetMode="External" Id="rId38"/><Relationship Type="http://schemas.openxmlformats.org/officeDocument/2006/relationships/hyperlink" Target="https://www.etenders.gov.za/home/Download/?blobName=e406873b-fc5a-406b-b208-fc1e844ca8ea.pdf&amp;downloadedFileName=RFQ%20PAPI%20VERIFICATION%20CALIBRATION%20FOR%20A%20PERIOD%20OF%2012%20MONTHS%20AT%20KIMBERLEY%20AIRPORT%205623.pdf" TargetMode="External" Id="rId39"/><Relationship Type="http://schemas.openxmlformats.org/officeDocument/2006/relationships/hyperlink" Target="https://www.etenders.gov.za/home/Download/?blobName=b05fca72-8e92-462a-a532-25550f57175c.pdf&amp;downloadedFileName=ADVERT%20FOR%20JUNE.pdf" TargetMode="External" Id="rId40"/><Relationship Type="http://schemas.openxmlformats.org/officeDocument/2006/relationships/hyperlink" Target="https://www.etenders.gov.za/home/Download/?blobName=3732403c-a56a-4554-b08e-2af118f26f8d.pdf&amp;downloadedFileName=ADVERT%20FOR%20JUNE.pdf" TargetMode="External" Id="rId41"/><Relationship Type="http://schemas.openxmlformats.org/officeDocument/2006/relationships/hyperlink" Target="https://www.etenders.gov.za/home/Download/?blobName=cad50064-7f4d-425a-87db-fda411e4ac53.pdf&amp;downloadedFileName=ADVERT%20FOR%20JUNE.pdf" TargetMode="External" Id="rId42"/><Relationship Type="http://schemas.openxmlformats.org/officeDocument/2006/relationships/hyperlink" Target="https://www.etenders.gov.za/home/Download/?blobName=2574bf57-a867-4522-8048-141ad80ced55.pdf&amp;downloadedFileName=RFQJW062KM26.pdf" TargetMode="External" Id="rId43"/><Relationship Type="http://schemas.openxmlformats.org/officeDocument/2006/relationships/hyperlink" Target="https://www.etenders.gov.za/home/Download/?blobName=96548b07-f422-40b2-b4d9-121c2a549e94.pdf&amp;downloadedFileName=3094-Tender%20Drawings%20-%20KH38%20-%2025-26.pdf" TargetMode="External" Id="rId44"/><Relationship Type="http://schemas.openxmlformats.org/officeDocument/2006/relationships/hyperlink" Target="https://www.etenders.gov.za/home/Download/?blobName=737f2a39-a4c9-4b33-9b4a-5cd7fff39be0.pdf&amp;downloadedFileName=Advert%20-%20PU4619-016%20The%20Supply%20and%20Maintenance%20of%20Fire%20Equipment%20Services%20and%20All%20Related%20Products%20and%20Services.pdf" TargetMode="External" Id="rId45"/><Relationship Type="http://schemas.openxmlformats.org/officeDocument/2006/relationships/hyperlink" Target="https://www.etenders.gov.za/home/Download/?blobName=4d7b4a65-6ef9-463a-9760-9427433b416c.pdf&amp;downloadedFileName=RFQJW060TN26%20-%20LABORATORY%20CHAIRS%20(RE-ADVERT).pdf" TargetMode="External" Id="rId46"/><Relationship Type="http://schemas.openxmlformats.org/officeDocument/2006/relationships/hyperlink" Target="https://www.etenders.gov.za/home/Download/?blobName=7809a04f-6842-4a68-923b-959ddf24eb2b.pdf&amp;downloadedFileName=SCMU10-2627-0006%20-%20BUILT%20ENVIRONMENT%20PROFESSIONALS.pdf" TargetMode="External" Id="rId47"/><Relationship Type="http://schemas.openxmlformats.org/officeDocument/2006/relationships/hyperlink" Target="https://www.etenders.gov.za/home/Download/?blobName=92443b4d-e4ff-4b38-bae6-cfae48368367.pdf&amp;downloadedFileName=KZN-PRASA-2026-06-01%20Q-REPAIRS%20OF%20AN%20S1%20EQUIPMENT%20IN%20THE%20KZN%20REGION.pdf" TargetMode="External" Id="rId48"/><Relationship Type="http://schemas.openxmlformats.org/officeDocument/2006/relationships/hyperlink" Target="https://www.etenders.gov.za/home/Download/?blobName=4c3a887d-202c-4908-b85a-35682345266b.pdf&amp;downloadedFileName=SAA%20SBD%204%20Standard%20Bidding%20Document%20Updated.pdf" TargetMode="External" Id="rId49"/><Relationship Type="http://schemas.openxmlformats.org/officeDocument/2006/relationships/hyperlink" Target="https://www.etenders.gov.za/home/Download/?blobName=7d1afa1c-f0c6-42a3-aca1-712e8fac3fc2.pdf&amp;downloadedFileName=ANIMAL%20FEED%20ALFRED%20NZO%20DISTRICT.pdf" TargetMode="External" Id="rId50"/><Relationship Type="http://schemas.openxmlformats.org/officeDocument/2006/relationships/hyperlink" Target="https://www.etenders.gov.za/home/Download/?blobName=6735b131-8ada-41d4-bed1-d8b122335de0.pdf&amp;downloadedFileName=Advert%20-%20DEV%2001-2026-27.pdf" TargetMode="External" Id="rId51"/><Relationship Type="http://schemas.openxmlformats.org/officeDocument/2006/relationships/hyperlink" Target="https://www.etenders.gov.za/home/Download/?blobName=8ade0eb9-7213-4881-956f-1936d516ddda.pdf&amp;downloadedFileName=REQUEST%20FOR%20QUOTATION%20VRYHEID%20BLINDS.pdf" TargetMode="External" Id="rId52"/><Relationship Type="http://schemas.openxmlformats.org/officeDocument/2006/relationships/hyperlink" Target="https://www.etenders.gov.za/home/Download/?blobName=8bf8076e-448f-40f3-b56c-2860fc5593ee.pdf&amp;downloadedFileName=TENDER%20DOCUMENT%20VOLUME%201.pdf" TargetMode="External" Id="rId53"/><Relationship Type="http://schemas.openxmlformats.org/officeDocument/2006/relationships/hyperlink" Target="https://www.etenders.gov.za/home/Download/?blobName=acec4977-833b-47ed-87db-149653c06497.pdf&amp;downloadedFileName=TENDER%20DOCUMENT%20CAFS%20AIR%20FOAM%2019.06.2026.pdf" TargetMode="External" Id="rId54"/><Relationship Type="http://schemas.openxmlformats.org/officeDocument/2006/relationships/hyperlink" Target="https://www.etenders.gov.za/home/Download/?blobName=42def765-b73d-44f9-9173-99fe33d119f0.pdf&amp;downloadedFileName=POS9799RFP.pdf" TargetMode="External" Id="rId55"/><Relationship Type="http://schemas.openxmlformats.org/officeDocument/2006/relationships/hyperlink" Target="https://www.etenders.gov.za/home/Download/?blobName=4fe201a3-e448-4af9-a42b-6c030270e8eb.pdf&amp;downloadedFileName=JW%20SCM%20005-25%20PROVISION%20OF%20AN%20ADVERTISING%20SERVICE%20ON%20AN%20AS%20AND%20WHEN%20REQUIRED%20BASIS%20TENDER%20DOCUMENT.pdf" TargetMode="External" Id="rId56"/><Relationship Type="http://schemas.openxmlformats.org/officeDocument/2006/relationships/hyperlink" Target="https://www.etenders.gov.za/home/Download/?blobName=0df8a68f-fad2-4563-9ee3-0715368358c0.pdf&amp;downloadedFileName=Standard%20Bidding%20Document%20(SDB)%204.pdf" TargetMode="External" Id="rId57"/><Relationship Type="http://schemas.openxmlformats.org/officeDocument/2006/relationships/hyperlink" Target="https://www.etenders.gov.za/home/Download/?blobName=860a3a3f-9575-439b-82e6-f636c408d369.pdf&amp;downloadedFileName=Annexure%20A%20-%20Security%20Measures.pdf" TargetMode="External" Id="rId58"/><Relationship Type="http://schemas.openxmlformats.org/officeDocument/2006/relationships/hyperlink" Target="https://www.etenders.gov.za/home/Download/?blobName=9032a10b-604c-4052-b5d0-fe11f9af1587.xlsx&amp;downloadedFileName=6.%20Annexure%20B%20-%20RT59-1-2026%20Pricing%20Schedule.xlsx" TargetMode="External" Id="rId59"/><Relationship Type="http://schemas.openxmlformats.org/officeDocument/2006/relationships/hyperlink" Target="https://www.etenders.gov.za/home/Download/?blobName=2d48b764-1361-41c5-895c-2fc1db7dee7b.xlsx&amp;downloadedFileName=Copy%20of%20BoQ%20-%200004.xlsx" TargetMode="External" Id="rId60"/><Relationship Type="http://schemas.openxmlformats.org/officeDocument/2006/relationships/hyperlink" Target="https://www.etenders.gov.za/home/Download/?blobName=93ffc8a6-3165-47d0-aa14-739b28517e51.pdf&amp;downloadedFileName=RFQ_Toyota%20LC%20Repairs_Amended.pdf" TargetMode="External" Id="rId61"/><Relationship Type="http://schemas.openxmlformats.org/officeDocument/2006/relationships/hyperlink" Target="https://www.etenders.gov.za/home/Download/?blobName=92b1ca49-e59e-46b3-aacf-52ce21891437.doc&amp;downloadedFileName=SBD4%20new.doc" TargetMode="External" Id="rId62"/><Relationship Type="http://schemas.openxmlformats.org/officeDocument/2006/relationships/hyperlink" Target="https://www.etenders.gov.za/home/Download/?blobName=cf32502a-2357-493e-bb19-7648e849b6af.doc&amp;downloadedFileName=SBD4%20new.doc" TargetMode="External" Id="rId63"/><Relationship Type="http://schemas.openxmlformats.org/officeDocument/2006/relationships/hyperlink" Target="https://www.etenders.gov.za/home/Download/?blobName=b48ebd44-f3c1-4676-910a-84cc1f6506c4.doc&amp;downloadedFileName=SBD4%20new.doc" TargetMode="External" Id="rId64"/><Relationship Type="http://schemas.openxmlformats.org/officeDocument/2006/relationships/hyperlink" Target="https://www.etenders.gov.za/home/Download/?blobName=40f1c495-6ccb-4ec1-8ea3-45e7fbb03c0e.docx&amp;downloadedFileName=POS9802.docx" TargetMode="External" Id="rId65"/><Relationship Type="http://schemas.openxmlformats.org/officeDocument/2006/relationships/hyperlink" Target="https://www.etenders.gov.za/home/Download/?blobName=90b9bc86-99c5-42b0-b2a5-8c2f386347ea.zip&amp;downloadedFileName=For%20Issue.zip" TargetMode="External" Id="rId66"/><Relationship Type="http://schemas.openxmlformats.org/officeDocument/2006/relationships/hyperlink" Target="https://www.etenders.gov.za/home/Download/?blobName=b82174f8-5bde-4de9-a433-dd657ebfaca2.pdf&amp;downloadedFileName=RFQ008-2026-27%20Risk%20&amp;%20Compliance%20Management%20Training.pdf" TargetMode="External" Id="rId67"/><Relationship Type="http://schemas.openxmlformats.org/officeDocument/2006/relationships/hyperlink" Target="https://www.etenders.gov.za/home/Download/?blobName=9588f925-68ba-4d14-a532-c3ce115ca214.pdf&amp;downloadedFileName=REQUEST%20QUOTATIONS%20FOR%20SUPPORT%20AND%20MAINTENANCE%20OF%20OHSC%20CALL%20CENTRE%20OHSC.FINAL.pdf" TargetMode="External" Id="rId68"/><Relationship Type="http://schemas.openxmlformats.org/officeDocument/2006/relationships/hyperlink" Target="https://www.etenders.gov.za/home/Download/?blobName=3fc396ab-faba-45c8-b5d0-a48aa05df292.pdf&amp;downloadedFileName=specification%20(5).pdf" TargetMode="External" Id="rId69"/><Relationship Type="http://schemas.openxmlformats.org/officeDocument/2006/relationships/hyperlink" Target="https://www.etenders.gov.za/home/Download/?blobName=5690020a-e4ff-4faf-9b7b-5059a34cd7aa.xlsx&amp;downloadedFileName=Annexure%20B_Transformer%20&amp;%20Electrical%20Installations%20Unpriced%20BOQ.xlsx" TargetMode="External" Id="rId70"/><Relationship Type="http://schemas.openxmlformats.org/officeDocument/2006/relationships/hyperlink" Target="https://www.etenders.gov.za/home/Download/?blobName=696fd590-da33-466b-a883-ea0f3fcacd2a.pdf&amp;downloadedFileName=RFQ009-2026-27%20First%20aider%20Training.pdf" TargetMode="External" Id="rId71"/><Relationship Type="http://schemas.openxmlformats.org/officeDocument/2006/relationships/hyperlink" Target="https://www.etenders.gov.za/home/Download/?blobName=a957edf0-4865-420b-9211-2c5e76742d8d.docx&amp;downloadedFileName=RFQ.docx" TargetMode="External" Id="rId72"/><Relationship Type="http://schemas.openxmlformats.org/officeDocument/2006/relationships/hyperlink" Target="https://www.etenders.gov.za/home/Download/?blobName=784ca533-73a3-4d25-badf-8fc28f7bfd8b.pdf&amp;downloadedFileName=RFQ10419181%20PMS%20Maturity%20Assessment.pdf" TargetMode="External" Id="rId73"/><Relationship Type="http://schemas.openxmlformats.org/officeDocument/2006/relationships/hyperlink" Target="https://www.etenders.gov.za/home/Download/?blobName=40be760d-52c6-4738-abf6-f0c427914b9b.pdf&amp;downloadedFileName=SASSA-02-26-GA-LP%20Advert%20for%20the%20appointment%20of%20Health%20Proffessionals%20and%20firms%20of%20health%20proffessionals.pdf" TargetMode="External" Id="rId74"/><Relationship Type="http://schemas.openxmlformats.org/officeDocument/2006/relationships/hyperlink" Target="https://www.etenders.gov.za/home/Download/?blobName=c2c8d25a-f913-408b-ae36-42fb00cd7787.pdf&amp;downloadedFileName=GMQ%20103%20of%2025-26%20-%20TFX%20SX%20portable%20reflectometer.pdf" TargetMode="External" Id="rId75"/><Relationship Type="http://schemas.openxmlformats.org/officeDocument/2006/relationships/hyperlink" Target="https://www.etenders.gov.za/home/Download/?blobName=802d5e0e-2f8a-47f4-a3bd-1962ddd8043a.pdf&amp;downloadedFileName=Tender%20Document%20-%2005FY27.pdf" TargetMode="External" Id="rId76"/><Relationship Type="http://schemas.openxmlformats.org/officeDocument/2006/relationships/hyperlink" Target="https://www.etenders.gov.za/home/Download/?blobName=8c1095d0-5a89-452d-bb55-be49dfc1f72f.pdf&amp;downloadedFileName=EDH%20Returnable%20%2015%20May%202026%20(E%20Tender_MDA%20Final%20Edits)%20(2).pdf" TargetMode="External" Id="rId77"/><Relationship Type="http://schemas.openxmlformats.org/officeDocument/2006/relationships/hyperlink" Target="https://www.etenders.gov.za/home/Download/?blobName=aa7c18db-724c-49ea-98ab-6af09fa2227f.pdf&amp;downloadedFileName=T29-06-26_GovanMbeki.pdf" TargetMode="External" Id="rId78"/><Relationship Type="http://schemas.openxmlformats.org/officeDocument/2006/relationships/hyperlink" Target="https://www.etenders.gov.za/home/Download/?blobName=db59e6c2-e185-47f1-88c0-53d8a88e3f6d.pdf&amp;downloadedFileName=RFQ%20FOR%20TABLECLOTHS%20-%20ADV-%20JUNE.pdf" TargetMode="External" Id="rId79"/><Relationship Type="http://schemas.openxmlformats.org/officeDocument/2006/relationships/hyperlink" Target="https://www.etenders.gov.za/home/Download/?blobName=8d302740-a9b9-48d2-9cc2-f58b0f9a49df.pdf&amp;downloadedFileName=Advert%20Grass%20Cutting..pdf" TargetMode="External" Id="rId80"/><Relationship Type="http://schemas.openxmlformats.org/officeDocument/2006/relationships/hyperlink" Target="https://www.etenders.gov.za/home/Download/?blobName=733895e5-2fa9-40c6-9b07-d2a9f86b031a.pdf&amp;downloadedFileName=RFP%20For%20GMP%20Specialised%20Technical%20Advisory%20Final%20TOR%20Approved.pdf" TargetMode="External" Id="rId81"/><Relationship Type="http://schemas.openxmlformats.org/officeDocument/2006/relationships/hyperlink" Target="https://www.etenders.gov.za/home/Download/?blobName=f9f2c40d-ae9c-4329-9b46-fbd5ad269a93.docx&amp;downloadedFileName=BID%2000390%20Panel%20of%20technical%20Equipment%20Repairs%20RE-ADVERT.docx" TargetMode="External" Id="rId82"/><Relationship Type="http://schemas.openxmlformats.org/officeDocument/2006/relationships/hyperlink" Target="https://www.etenders.gov.za/home/Download/?blobName=29d53559-42d4-442a-b1b9-edc799b262bb.docx&amp;downloadedFileName=BID00379_25%20PANEL%20OF%20SERVICE%20PROVIDERS%20FOR%20THE%20PROVISION%20OF%20VIDEOGRAPHY%20AND%20PHOTOGRAPHY%20SERVICES%20FOR%20JOBURG%20CITY%20THEATRES%20(Final).docx" TargetMode="External" Id="rId83"/><Relationship Type="http://schemas.openxmlformats.org/officeDocument/2006/relationships/hyperlink" Target="https://www.etenders.gov.za/home/Download/?blobName=9eb6c416-fcf0-415b-bc0d-e1266b3a0cf9.docx&amp;downloadedFileName=Upgrade%20of%20Building%20Management%20System%20at%20Joburg%20Theatre%20_%20Readvert_FINAL.docx" TargetMode="External" Id="rId84"/><Relationship Type="http://schemas.openxmlformats.org/officeDocument/2006/relationships/hyperlink" Target="https://www.etenders.gov.za/home/Download/?blobName=3df795b9-29c8-470d-81f7-dc97c5094c85.pdf&amp;downloadedFileName=Solicitation%20ID%20RFQ_OBP050_2026_27%20Request%20for%20Quote%20Jun%2002%202026%20(1).pdf" TargetMode="External" Id="rId85"/><Relationship Type="http://schemas.openxmlformats.org/officeDocument/2006/relationships/hyperlink" Target="https://www.etenders.gov.za/home/Download/?blobName=5ed534e0-4601-456c-bbe8-0217a52dd319.pdf&amp;downloadedFileName=IDC%20Offices%20-%20Sheet%20-%20IDCSP-001%20-%20Floor%20Plan%20-%20Revision%205%20-%20Option%20B.pdf" TargetMode="External" Id="rId86"/><Relationship Type="http://schemas.openxmlformats.org/officeDocument/2006/relationships/hyperlink" Target="https://www.etenders.gov.za/home/Download/?blobName=656320f9-fd6d-42e8-96ea-175900a1b98b.pdf&amp;downloadedFileName=T27-06%20-%2026%20TRANSACTION%20ADVISORY%20SERVICES.pdf" TargetMode="External" Id="rId87"/><Relationship Type="http://schemas.openxmlformats.org/officeDocument/2006/relationships/hyperlink" Target="https://www.etenders.gov.za/home/Download/?blobName=f20f741f-8137-4f83-b595-24805573a9a9.pdf&amp;downloadedFileName=Annexure%20C1%20OHS%20Tender%20Evaluation%20(High%20risk).pdf" TargetMode="External" Id="rId88"/><Relationship Type="http://schemas.openxmlformats.org/officeDocument/2006/relationships/hyperlink" Target="https://www.etenders.gov.za/home/Download/?blobName=f372ded4-4e66-4805-a67a-033d3cc08705.pdf&amp;downloadedFileName=E-tendering%20Help%20Manual%20for%20supplier%20-%2027%20January%202025.pdf" TargetMode="External" Id="rId89"/><Relationship Type="http://schemas.openxmlformats.org/officeDocument/2006/relationships/hyperlink" Target="https://www.etenders.gov.za/home/Download/?blobName=095c3fe5-baa6-4842-b398-75dbab9bbd3b.pdf&amp;downloadedFileName=Advert_Short_Term_Insurance[1].pdf" TargetMode="External" Id="rId90"/><Relationship Type="http://schemas.openxmlformats.org/officeDocument/2006/relationships/hyperlink" Target="https://www.etenders.gov.za/home/Download/?blobName=94e18f5a-5c3b-4d53-9e6b-02187b0e8dbd.pdf&amp;downloadedFileName=Tender%20Document%20-%20Re-advert%20Database%20Application%202%20June%202026%20final.pdf" TargetMode="External" Id="rId91"/><Relationship Type="http://schemas.openxmlformats.org/officeDocument/2006/relationships/hyperlink" Target="https://www.etenders.gov.za/home/Download/?blobName=000d2c90-a610-4ae6-bf8f-e0e428303a8c.docx&amp;downloadedFileName=Appointment%20Of%20a%20Service%20Provider%20to%20Facilitate%20Renewals%20and%20New%20Applications%20of%20Food%20and%20Beverages%20Licences%20on%20An%20as%20And%20When%20Needs%20Basis_FINAL.docx" TargetMode="External" Id="rId92"/><Relationship Type="http://schemas.openxmlformats.org/officeDocument/2006/relationships/hyperlink" Target="https://www.etenders.gov.za/home/Download/?blobName=0e6cd9b7-bce5-42b6-9521-302d04c9e873.docx&amp;downloadedFileName=BID%2000394_26%20MEDIA%20BUYING%20SERVICES%20FOR%20JOBURG%20CITY%20THEATRES_final.docx" TargetMode="External" Id="rId93"/><Relationship Type="http://schemas.openxmlformats.org/officeDocument/2006/relationships/hyperlink" Target="https://www.etenders.gov.za/home/Download/?blobName=187dacaf-d78e-4820-9f25-2fdc534182ab.docx&amp;downloadedFileName=BID%2000395_26%20Supply%20%20Delivery%20of%20Trophies%20and%20Medals_FINAL.docx" TargetMode="External" Id="rId94"/><Relationship Type="http://schemas.openxmlformats.org/officeDocument/2006/relationships/hyperlink" Target="https://www.etenders.gov.za/home/Download/?blobName=758b8a73-b9e8-4850-b625-ce720a0f6a7c.pdf&amp;downloadedFileName=RFQJW33ZZ26_WIRELESS%20HEADPHONES.pdf" TargetMode="External" Id="rId95"/><Relationship Type="http://schemas.openxmlformats.org/officeDocument/2006/relationships/hyperlink" Target="https://www.etenders.gov.za/home/Download/?blobName=a4be9cad-e32a-47d4-b7d5-daa1e61cd73e.pdf&amp;downloadedFileName=6000080531%20PPE%20Conti%20Suits.pdf" TargetMode="External" Id="rId96"/><Relationship Type="http://schemas.openxmlformats.org/officeDocument/2006/relationships/hyperlink" Target="https://www.etenders.gov.za/home/Download/?blobName=fca74f90-c4b9-4118-ac09-43538e3ea511.pdf&amp;downloadedFileName=COM154-2025%20APPOINTMENT%20OF%20A%20SERVICE%20PROVIDER%20FOR%20THE%20ESTABLISHMENT%20OF%20A%20WAR%20ROOM%20-%20Doc.pdf" TargetMode="External" Id="rId97"/><Relationship Type="http://schemas.openxmlformats.org/officeDocument/2006/relationships/hyperlink" Target="https://www.etenders.gov.za/home/Download/?blobName=aaed067d-90b8-4746-abff-22675b3cd175.pdf&amp;downloadedFileName=E-tendering%20Help%20Manual%20for%20supplier%20-%2027%20January%202025.pdf" TargetMode="External" Id="rId98"/><Relationship Type="http://schemas.openxmlformats.org/officeDocument/2006/relationships/hyperlink" Target="https://www.etenders.gov.za/home/Download/?blobName=bdffdfba-e963-42eb-8380-dc0c8541015a.pdf&amp;downloadedFileName=E-tendering%20Help%20Manual%20for%20supplier%20-%2027%20January%202025.pdf" TargetMode="External" Id="rId99"/><Relationship Type="http://schemas.openxmlformats.org/officeDocument/2006/relationships/hyperlink" Target="https://www.etenders.gov.za/home/Download/?blobName=65fe1100-3ba1-45a8-8f93-0ae5c8aea0ea.pdf&amp;downloadedFileName=1-1-001-2025-26%20Technical%20Assisstance%20and%20Advisory%20Services%20to%20Facilitate%20Transition%20to%20the%20New%20Grap%20104.pdf" TargetMode="External" Id="rId100"/><Relationship Type="http://schemas.openxmlformats.org/officeDocument/2006/relationships/hyperlink" Target="https://www.etenders.gov.za/home/Download/?blobName=8d9bffcb-3a9a-4d7e-9d73-e1bf4619fd78.zip&amp;downloadedFileName=Technical.zip" TargetMode="External" Id="rId101"/><Relationship Type="http://schemas.openxmlformats.org/officeDocument/2006/relationships/hyperlink" Target="https://www.etenders.gov.za/home/Download/?blobName=6780ec56-375b-44d7-9591-c741c843ec8b.pdf&amp;downloadedFileName=SBD%20SOIL%20CONTAMINATION%20AND%20CLASSIFICATION%20TESTS%202.pdf" TargetMode="External" Id="rId102"/><Relationship Type="http://schemas.openxmlformats.org/officeDocument/2006/relationships/hyperlink" Target="https://www.etenders.gov.za/home/Download/?blobName=a7ded721-0edc-43c4-8a1d-fdba4b220140.pdf&amp;downloadedFileName=Eskom%20-%20Standard%20Conditions%20of%20Tender%20-%2030%20January%202025%20(1).pdf" TargetMode="External" Id="rId103"/><Relationship Type="http://schemas.openxmlformats.org/officeDocument/2006/relationships/hyperlink" Target="https://www.etenders.gov.za/home/Download/?blobName=5ea9c450-cb3b-48ae-b384-777e1aef87bd.pdf&amp;downloadedFileName=20260128_C1%202b%20SC3%20Data%20by%20Supplier.pdf" TargetMode="External" Id="rId104"/><Relationship Type="http://schemas.openxmlformats.org/officeDocument/2006/relationships/hyperlink" Target="https://www.etenders.gov.za/home/Download/?blobName=79420ab7-3d08-42d1-a050-f1c4c42887ab.pdf&amp;downloadedFileName=COM64-2026%20SUPPLY%20AND%20DELIVERY%20OF%20SMART%20SCANNER%20DEVICES%20FOR%20CITY%20OF%20MBOMBELA%20-%20Advert.pdf" TargetMode="External" Id="rId105"/><Relationship Type="http://schemas.openxmlformats.org/officeDocument/2006/relationships/hyperlink" Target="https://www.etenders.gov.za/home/Download/?blobName=a0923d37-5367-4f40-b924-5abd77542f6c.pdf&amp;downloadedFileName=COM63-2026%20FILMING%20AND%20MANAGEMENT%20OF%20TV%20PROJECTS%20TO%20SHOW%20CASE%20MBOMBELA%20YOUTH%20TALENT%20IN%20FILMING.pdf" TargetMode="External" Id="rId106"/><Relationship Type="http://schemas.openxmlformats.org/officeDocument/2006/relationships/hyperlink" Target="https://www.etenders.gov.za/home/Download/?blobName=8976a248-9d0d-40f4-9e9c-79080c7bcec9.pdf&amp;downloadedFileName=8-2-2-462%20ADVERT.pdf" TargetMode="External" Id="rId107"/><Relationship Type="http://schemas.openxmlformats.org/officeDocument/2006/relationships/hyperlink" Target="https://www.etenders.gov.za/home/Download/?blobName=928bf0c7-53fa-4a2d-b4e9-12a90e36e647.pdf&amp;downloadedFileName=1-1-002-2025-26%20Landfill%20Sites%20and%20Quarries%20Rehabilitation%20Provision%202025-26.pdf" TargetMode="External" Id="rId108"/><Relationship Type="http://schemas.openxmlformats.org/officeDocument/2006/relationships/hyperlink" Target="https://www.etenders.gov.za/home/Download/?blobName=33603d8d-bbb1-47c8-8b11-85ee1352ce20.pdf&amp;downloadedFileName=TERMS%20OF%20REFERENCE%20POPIA%20RFQ2026-006-001.pdf" TargetMode="External" Id="rId109"/><Relationship Type="http://schemas.openxmlformats.org/officeDocument/2006/relationships/hyperlink" Target="https://www.etenders.gov.za/home/Download/?blobName=2b7ddde6-bdb5-479e-9af4-0aad1ce7258a.pdf&amp;downloadedFileName=SBD-4.pdf" TargetMode="External" Id="rId110"/><Relationship Type="http://schemas.openxmlformats.org/officeDocument/2006/relationships/hyperlink" Target="https://www.etenders.gov.za/home/Download/?blobName=8a30b4b0-c509-4c8f-ade2-81e6da69e622.pdf&amp;downloadedFileName=RFQ%20117256%20-%20Manufacture,%20%20supply%20%20and%20delivery%20of%20heavy-duty%20fabric%20part%20for%20large%20blind%20assembly..pdf" TargetMode="External" Id="rId111"/><Relationship Type="http://schemas.openxmlformats.org/officeDocument/2006/relationships/hyperlink" Target="https://www.etenders.gov.za/home/Download/?blobName=60bf98f0-5b2f-4952-9319-0856d24e91c3.pdf&amp;downloadedFileName=Technical%20Evaluation%20Criteria.pdf" TargetMode="External" Id="rId112"/><Relationship Type="http://schemas.openxmlformats.org/officeDocument/2006/relationships/hyperlink" Target="https://www.etenders.gov.za/home/Download/?blobName=09e208de-af93-4eda-a091-ae1598b9a3dc.pdf&amp;downloadedFileName=RFQ%2034%20-%20PERKA%20PORTAL.pdf" TargetMode="External" Id="rId113"/><Relationship Type="http://schemas.openxmlformats.org/officeDocument/2006/relationships/hyperlink" Target="https://www.etenders.gov.za/home/Download/?blobName=0bca94b7-667e-4ebc-894c-e410d61611d1.pdf&amp;downloadedFileName=Final%20Terms%20of%20Reference%20for%20impact%20assessment.pdf" TargetMode="External" Id="rId114"/><Relationship Type="http://schemas.openxmlformats.org/officeDocument/2006/relationships/hyperlink" Target="https://www.etenders.gov.za/home/Download/?blobName=ad2d4e54-47d8-4556-a191-90af093ef93b.pdf&amp;downloadedFileName=Eskom%20Supplier%20Integrity%20Pact.pdf" TargetMode="External" Id="rId115"/><Relationship Type="http://schemas.openxmlformats.org/officeDocument/2006/relationships/hyperlink" Target="https://www.etenders.gov.za/home/Download/?blobName=3ee93fb3-c066-451c-91b9-bd09f9c6a72b.pdf&amp;downloadedFileName=Invitation%20to%20Tender%20(ITT)%20Cleaning%20FF.pdf" TargetMode="External" Id="rId116"/><Relationship Type="http://schemas.openxmlformats.org/officeDocument/2006/relationships/hyperlink" Target="https://www.etenders.gov.za/home/Download/?blobName=28e62913-f47a-4746-a762-30e8c6b3149e.pdf&amp;downloadedFileName=RFQ%20Insulation%20tester.pdf" TargetMode="External" Id="rId117"/><Relationship Type="http://schemas.openxmlformats.org/officeDocument/2006/relationships/hyperlink" Target="https://www.etenders.gov.za/home/Download/?blobName=efc1a2b8-812e-4bf2-80ce-57623e2aa18f.pdf&amp;downloadedFileName=Public%20Notice%20-%20Scam%20Alert%20(1).pdf" TargetMode="External" Id="rId118"/><Relationship Type="http://schemas.openxmlformats.org/officeDocument/2006/relationships/hyperlink" Target="https://www.etenders.gov.za/home/Download/?blobName=851860c9-4fd6-41d3-8006-aec4759d2069.pdf&amp;downloadedFileName=EMLM%2035_2026%20RE_%20CONSTRUCTION%20OF%20CULVERT%20BRIDGE%20AT%20KWAMPUDULWANA%20VILLAGE.pdf" TargetMode="External" Id="rId119"/><Relationship Type="http://schemas.openxmlformats.org/officeDocument/2006/relationships/hyperlink" Target="https://www.etenders.gov.za/home/Download/?blobName=22d1a70f-96a4-48cd-b385-7d86d3fe1c27.pdf&amp;downloadedFileName=EMLM%2036_2026%20RE_CONSTRUCTION%20OF%20CULVERT%20BRIDGE%20AT%20LUCKAU%20VILLAGE.pdf" TargetMode="External" Id="rId120"/><Relationship Type="http://schemas.openxmlformats.org/officeDocument/2006/relationships/hyperlink" Target="https://www.etenders.gov.za/home/Download/?blobName=60699c19-4723-47d6-9e21-62facebb49d2.docx&amp;downloadedFileName=Annexure%20BR%20-%20RFP%2026-27-02%20Guarding%20Services%20for%20North%20West%20Province-%20NM.docx" TargetMode="External" Id="rId121"/><Relationship Type="http://schemas.openxmlformats.org/officeDocument/2006/relationships/hyperlink" Target="https://www.etenders.gov.za/home/Download/?blobName=024953f7-9e40-4164-b75e-079945eab07e.pdf&amp;downloadedFileName=Bid%20Document%20-%20ManageEngine%20Software%20Renewal.pdf" TargetMode="External" Id="rId122"/><Relationship Type="http://schemas.openxmlformats.org/officeDocument/2006/relationships/hyperlink" Target="https://www.etenders.gov.za/home/Download/?blobName=85f77505-13aa-49b4-a646-071eef1f8f6f.docx&amp;downloadedFileName=Annexure%20BR%20-%20RFP%2026-27-01%20Guarding%20Services%20for%20Free%20State%20Province-%20NM.docx" TargetMode="External" Id="rId123"/><Relationship Type="http://schemas.openxmlformats.org/officeDocument/2006/relationships/hyperlink" Target="https://www.etenders.gov.za/home/Download/?blobName=e82e1b23-f70c-4783-b844-e6a9e1aec67b.pdf&amp;downloadedFileName=Bid%20Document%20-%20SAGE%20Business%20Partner.pdf" TargetMode="External" Id="rId124"/><Relationship Type="http://schemas.openxmlformats.org/officeDocument/2006/relationships/hyperlink" Target="https://www.etenders.gov.za/home/Download/?blobName=81bafc27-7f80-4daf-8911-64a2a65e17c5.pdf&amp;downloadedFileName=RFQ%204484.pdf" TargetMode="External" Id="rId125"/><Relationship Type="http://schemas.openxmlformats.org/officeDocument/2006/relationships/hyperlink" Target="https://www.etenders.gov.za/home/Download/?blobName=78c15961-066b-4024-b096-8712e9eda04c.pdf&amp;downloadedFileName=PUBLIC%20RELATIONS%20MANAGEMENT%20AND%20STRATEGIC%20CORPORATE%20COMMUNICATION%20SERVICES%20TO%20THE%20NATIONAL%20LOTTERIES%20COMMISSION.pdf" TargetMode="External" Id="rId126"/><Relationship Type="http://schemas.openxmlformats.org/officeDocument/2006/relationships/hyperlink" Target="https://www.etenders.gov.za/home/Download/?blobName=e07d42c0-e068-4e48-92f5-19bfb790c41a.doc&amp;downloadedFileName=RFQ.Garden%20Services.doc" TargetMode="External" Id="rId127"/><Relationship Type="http://schemas.openxmlformats.org/officeDocument/2006/relationships/hyperlink" Target="https://www.etenders.gov.za/home/Download/?blobName=c0bdb925-eff9-40bf-9910-a54038998b5a.pdf&amp;downloadedFileName=EDT%20003-26%20RFQ%20for%20Expansion%20of%20Panel%20Catering%20Services%20Bid%20documents%20signed.pdf" TargetMode="External" Id="rId128"/><Relationship Type="http://schemas.openxmlformats.org/officeDocument/2006/relationships/hyperlink" Target="https://www.etenders.gov.za/home/Download/?blobName=be091207-71f9-4c6d-85b9-5a5a226147bb.pdf&amp;downloadedFileName=RFQ%200226%20SAAF%20GYM%20Advert.pdf" TargetMode="External" Id="rId129"/><Relationship Type="http://schemas.openxmlformats.org/officeDocument/2006/relationships/hyperlink" Target="https://www.etenders.gov.za/home/Download/?blobName=16b91939-2e9f-4836-abbb-29e4d325d216.pdf&amp;downloadedFileName=RFQ%204483.pdf" TargetMode="External" Id="rId130"/><Relationship Type="http://schemas.openxmlformats.org/officeDocument/2006/relationships/hyperlink" Target="https://www.etenders.gov.za/home/Download/?blobName=fe092bdc-657d-4105-a16a-08bf8f6262e1.jpg&amp;downloadedFileName=sample3.jpg" TargetMode="External" Id="rId131"/><Relationship Type="http://schemas.openxmlformats.org/officeDocument/2006/relationships/hyperlink" Target="https://www.etenders.gov.za/home/Download/?blobName=b9156aa0-29eb-4bb2-9580-212905457d2e.pdf&amp;downloadedFileName=Special%20Conditions%20of%20a%20Contract.pdf" TargetMode="External" Id="rId132"/><Relationship Type="http://schemas.openxmlformats.org/officeDocument/2006/relationships/hyperlink" Target="https://www.etenders.gov.za/home/Download/?blobName=53dad4e1-744d-45bd-bd0c-fbe79e1e6b5e.pdf&amp;downloadedFileName=RFQ-058-26%2015%20Field%20Guide%20Learners.pdf" TargetMode="External" Id="rId133"/><Relationship Type="http://schemas.openxmlformats.org/officeDocument/2006/relationships/hyperlink" Target="https://www.etenders.gov.za/home/Download/?blobName=ccd8d394-57bb-4d4f-afe1-3a3f66857176.doc&amp;downloadedFileName=Standard%20Bidding%20Document%20(SDB)%204_Annexure%20A.doc" TargetMode="External" Id="rId134"/><Relationship Type="http://schemas.openxmlformats.org/officeDocument/2006/relationships/hyperlink" Target="https://www.etenders.gov.za/home/Download/?blobName=955c7c1e-872e-4090-bbd9-7141f6ff661f.pdf&amp;downloadedFileName=2026APPOINTMENT%20OF%20SERVICE%20PROVIDER%20FOR%20SERVICE%20MAINTENANCE%20REPAIRS%20AND%20SUPPLY%20STAND%20BY%20GENERATORS%20-SABC%20MPUMALANGA%20FOR%20A%20PERIOD%20OF%20(002).pdf" TargetMode="External" Id="rId135"/><Relationship Type="http://schemas.openxmlformats.org/officeDocument/2006/relationships/hyperlink" Target="https://www.etenders.gov.za/home/Download/?blobName=dd02b6c5-49dc-4206-baee-658d269a2ec4.pdf&amp;downloadedFileName=SABC%2014012026%20(003).pdf" TargetMode="External" Id="rId136"/><Relationship Type="http://schemas.openxmlformats.org/officeDocument/2006/relationships/hyperlink" Target="https://www.etenders.gov.za/home/Download/?blobName=856b8949-79e6-4197-b2c5-2df418240a3c.pdf&amp;downloadedFileName=SBD%201%20-%20Customs%20Tariff%20Audidting.pdf" TargetMode="External" Id="rId137"/><Relationship Type="http://schemas.openxmlformats.org/officeDocument/2006/relationships/hyperlink" Target="https://www.etenders.gov.za/home/Download/?blobName=cdc87452-d140-4de1-a3c8-bbebd9bd31d7.pdf&amp;downloadedFileName=TENDER%20DOCUMENT%20-%20PSYCHOMETRICS%20OR%20A%20PERIOD%20OF%20THREE%20(3)%20YEARS%20-%20JUNE%202026.pdf" TargetMode="External" Id="rId138"/><Relationship Type="http://schemas.openxmlformats.org/officeDocument/2006/relationships/hyperlink" Target="https://www.etenders.gov.za/home/Download/?blobName=7f2e4734-f6e6-4720-85a9-171bc9bce71b.pdf&amp;downloadedFileName=Annexure%20D-%20Local%20Content%20Annex%20%20D%20-%20Copy.pdf" TargetMode="External" Id="rId139"/><Relationship Type="http://schemas.openxmlformats.org/officeDocument/2006/relationships/hyperlink" Target="https://www.etenders.gov.za/home/Download/?blobName=a2e0e4eb-ee81-40cc-985e-1e44ac30877f.pdf&amp;downloadedFileName=Q93-2025-26%20QUOTATION%20DOCUMENT.pdf" TargetMode="External" Id="rId140"/><Relationship Type="http://schemas.openxmlformats.org/officeDocument/2006/relationships/hyperlink" Target="https://www.etenders.gov.za/home/Download/?blobName=2ca80959-2e5d-49ba-8286-a5181679996c.pdf&amp;downloadedFileName=IMPACT%20ANALYSIS%20MODEL%20DOT-04-2026-ITP%20(002).pdf" TargetMode="External" Id="rId141"/><Relationship Type="http://schemas.openxmlformats.org/officeDocument/2006/relationships/hyperlink" Target="https://www.etenders.gov.za/home/Download/?blobName=f21a087e-4a6a-412d-9238-1a2f64696d67.pdf&amp;downloadedFileName=SBD%206.1%20IN%20TERMS%20OF%20PPR2022%20(80-20).pdf" TargetMode="External" Id="rId142"/><Relationship Type="http://schemas.openxmlformats.org/officeDocument/2006/relationships/hyperlink" Target="https://www.etenders.gov.za/home/Download/?blobName=01e19c0a-6c50-4794-bb21-30b8332c4937.pdf&amp;downloadedFileName=Tender%20Document%20-%20Organisational%20Structure%20Review%20and%20develop%20a%20revised%20structure%20for%20%20the%20SACAA%20-%20June%202026.pdf" TargetMode="External" Id="rId143"/><Relationship Type="http://schemas.openxmlformats.org/officeDocument/2006/relationships/hyperlink" Target="https://www.etenders.gov.za/home/Download/?blobName=ff290075-14d4-4cf5-872e-13f96b333c26.pdf&amp;downloadedFileName=5.%20Annexure%20D-%20Scope%20of%20Work%20and%20Evaluation.pdf" TargetMode="External" Id="rId144"/><Relationship Type="http://schemas.openxmlformats.org/officeDocument/2006/relationships/hyperlink" Target="https://www.etenders.gov.za/home/Download/?blobName=7157baae-46ce-44f6-a436-4edf7e5389e7.pdf&amp;downloadedFileName=TENDER%20DOCUMENT%20MEDICAL%20SURVEILLANCE%20FOR%20MUNICIPAL%20GENERAL%20WORKERS.pdf" TargetMode="External" Id="rId145"/><Relationship Type="http://schemas.openxmlformats.org/officeDocument/2006/relationships/hyperlink" Target="https://www.etenders.gov.za/home/Download/?blobName=1b3d6437-dbe4-4c23-bfab-77a93303186b.pdf&amp;downloadedFileName=3.%20SBD1%20-%20Invitation%20To%20Bid.pdf" TargetMode="External" Id="rId146"/><Relationship Type="http://schemas.openxmlformats.org/officeDocument/2006/relationships/hyperlink" Target="https://www.etenders.gov.za/home/Download/?blobName=b1cd131d-9c1e-4e8d-b41d-e8e23a3680a9.pdf&amp;downloadedFileName=CCB2026-06-01%20.pdf" TargetMode="External" Id="rId147"/><Relationship Type="http://schemas.openxmlformats.org/officeDocument/2006/relationships/hyperlink" Target="https://www.etenders.gov.za/home/Download/?blobName=c4718ff5-3140-4aa8-915e-7f33e0a99a51.pdf&amp;downloadedFileName=TENDER%20DOCUMENT%20SUPPLY%20AND%20DELIVERY%20OF%20PROTECTIVE%20CLOTHING%20FOR%20STORMWATER%20PROJECT.pdf" TargetMode="External" Id="rId148"/><Relationship Type="http://schemas.openxmlformats.org/officeDocument/2006/relationships/hyperlink" Target="https://www.etenders.gov.za/home/Download/?blobName=f00b9e1b-5747-49ee-8969-3b36176729e2.pdf&amp;downloadedFileName=CCB2026-06-02.pdf" TargetMode="External" Id="rId149"/><Relationship Type="http://schemas.openxmlformats.org/officeDocument/2006/relationships/hyperlink" Target="https://www.etenders.gov.za/home/Download/?blobName=f5e06909-77ef-4d48-a00f-fe5973da348f.pdf&amp;downloadedFileName=Tender%20Document%20SBM%2024%2025%2026.pdf" TargetMode="External" Id="rId150"/><Relationship Type="http://schemas.openxmlformats.org/officeDocument/2006/relationships/hyperlink" Target="https://www.etenders.gov.za/home/Download/?blobName=82e70407-4cf9-4541-ab82-c2e418f01309.pdf&amp;downloadedFileName=SBM%2026%2025%2026%20%20-%20Tender%20Document.pdf" TargetMode="External" Id="rId151"/><Relationship Type="http://schemas.openxmlformats.org/officeDocument/2006/relationships/hyperlink" Target="https://www.etenders.gov.za/home/Download/?blobName=c7112f4f-1b21-4356-888d-4e3dfd62e46b.pdf&amp;downloadedFileName=Tender%20Document%20SBM%2027%2025%2026.pdf" TargetMode="External" Id="rId152"/><Relationship Type="http://schemas.openxmlformats.org/officeDocument/2006/relationships/hyperlink" Target="https://www.etenders.gov.za/home/Download/?blobName=bf2f47e7-cf3f-4d2e-af08-ec02c6f8a2d3.pdf&amp;downloadedFileName=BID%20DOCUMENT-%20APPOINTMENT%20OF%20A%20SERVICE%20PROVIDER%20TO%20RENDER%20AN%20INTEGRATED%20EMPLOYEE%20HEALTH,%20WELLNESS%20&amp;%20WORK-LIFE%20BALANCE%20PROGRAMME%20TO%20THE%20COMMISSION%20FOR%20CONCILIATION,%20MEDIATION%20AND%20ARBITRATION.pdf" TargetMode="External" Id="rId153"/><Relationship Type="http://schemas.openxmlformats.org/officeDocument/2006/relationships/hyperlink" Target="https://www.etenders.gov.za/home/Download/?blobName=4ecb1ced-73df-4616-bf02-8520906d2c0c.pdf&amp;downloadedFileName=SUPPLY%20AND%20DELIVERY%20OF%20FLOOR%20TILES%20AT%20TSHIULUNGOMA%20STORES-05292026095802.pdf" TargetMode="External" Id="rId154"/><Relationship Type="http://schemas.openxmlformats.org/officeDocument/2006/relationships/hyperlink" Target="https://www.etenders.gov.za/home/Download/?blobName=9a944b11-bcd3-4646-a7cf-0dda0dcf86a1.pdf&amp;downloadedFileName=RFP%20%20Document%20-%2001.26.27.pdf" TargetMode="External" Id="rId155"/><Relationship Type="http://schemas.openxmlformats.org/officeDocument/2006/relationships/hyperlink" Target="https://www.etenders.gov.za/home/Download/?blobName=d7bcc6a8-a96e-436d-8a4e-6189fbbf97cc.pdf&amp;downloadedFileName=SBD4.pdf" TargetMode="External" Id="rId156"/><Relationship Type="http://schemas.openxmlformats.org/officeDocument/2006/relationships/hyperlink" Target="https://www.etenders.gov.za/home/Download/?blobName=dba010df-fec4-46e6-8fe4-14680f1678e9.docx&amp;downloadedFileName=RFQ%20Document%20PR10116163%20for%20Personal%20Verification%20Services.docx" TargetMode="External" Id="rId157"/><Relationship Type="http://schemas.openxmlformats.org/officeDocument/2006/relationships/hyperlink" Target="https://www.etenders.gov.za/home/Download/?blobName=1f301ced-021a-46be-956c-21a951fa456d.pdf&amp;downloadedFileName=Annexure%20A%20-%20Security%20Measures.pdf" TargetMode="External" Id="rId158"/><Relationship Type="http://schemas.openxmlformats.org/officeDocument/2006/relationships/hyperlink" Target="https://www.etenders.gov.za/home/Download/?blobName=d3d91e29-8542-414c-a613-8799c1dc4028.pdf&amp;downloadedFileName=DTPRFP05IFR012026%20Advert%20for%20TradeZone%20One%20Rehabilitation%20Project.pdf" TargetMode="External" Id="rId159"/><Relationship Type="http://schemas.openxmlformats.org/officeDocument/2006/relationships/hyperlink" Target="https://www.etenders.gov.za/home/Download/?blobName=29fdc286-768e-4a6d-b3af-f4457f082fdb.pdf&amp;downloadedFileName=Tender%20Document%20-%2002FY27.pdf" TargetMode="External" Id="rId160"/><Relationship Type="http://schemas.openxmlformats.org/officeDocument/2006/relationships/hyperlink" Target="https://www.etenders.gov.za/home/Download/?blobName=8ae124d9-96cb-409c-8ce4-3fdb77177486.docx&amp;downloadedFileName=RFQ%20Document%20-%20Security%20Systems%20Maintenance%202026.docx" TargetMode="External" Id="rId161"/><Relationship Type="http://schemas.openxmlformats.org/officeDocument/2006/relationships/hyperlink" Target="https://www.etenders.gov.za/home/Download/?blobName=a9fc443e-ddbf-4dd6-ac2d-154b6aea01c0.pdf&amp;downloadedFileName=Advert%20-%20PU5610-011%20The%20Supply%20and%20Delivery%20and%20Installation%20of%20Furniture%20and%20All%20Related%20Products%20and%20Services.pdf" TargetMode="External" Id="rId162"/><Relationship Type="http://schemas.openxmlformats.org/officeDocument/2006/relationships/hyperlink" Target="https://www.etenders.gov.za/home/Download/?blobName=13b3d84f-fa5e-4574-9f3e-2f9624d5f049.pdf&amp;downloadedFileName=Minutes%20of%20Scope%20Clarification.pdf" TargetMode="External" Id="rId163"/><Relationship Type="http://schemas.openxmlformats.org/officeDocument/2006/relationships/hyperlink" Target="https://www.etenders.gov.za/home/Download/?blobName=949341b3-9b33-4ffb-aa7d-db4d27186973.pdf&amp;downloadedFileName=0074%20-%20%20DAY%20OLD%20CHICKS%20DOCUMENT%20FINAL.pdf" TargetMode="External" Id="rId164"/><Relationship Type="http://schemas.openxmlformats.org/officeDocument/2006/relationships/hyperlink" Target="https://www.etenders.gov.za/home/Download/?blobName=c1002c5a-c70f-44be-9eac-40e045f49038.pdf&amp;downloadedFileName=0075%20-%20%20PULLETS%20POINT%20OF%20LAYS%20%20DOCUMENT%20final.pdf" TargetMode="External" Id="rId165"/><Relationship Type="http://schemas.openxmlformats.org/officeDocument/2006/relationships/hyperlink" Target="https://www.etenders.gov.za/home/Download/?blobName=da7ed723-1f28-405e-a224-71f490de856d.docx&amp;downloadedFileName=Specification%20for%20structural%20assessment%20at%20PHP%20roodeplaat%2026%20pdf.docx" TargetMode="External" Id="rId166"/><Relationship Type="http://schemas.openxmlformats.org/officeDocument/2006/relationships/hyperlink" Target="https://www.etenders.gov.za/home/Download/?blobName=5593c8ee-76f7-4f64-9e97-22471f493057.pdf&amp;downloadedFileName=4.%20SBD%206.1%20IN%20TERMS%20OF%20PPR2022.pdf" TargetMode="External" Id="rId167"/><Relationship Type="http://schemas.openxmlformats.org/officeDocument/2006/relationships/hyperlink" Target="https://www.etenders.gov.za/home/Download/?blobName=f923ed46-3be2-441a-827b-0188de6b28b7.pdf&amp;downloadedFileName=QUOTE%20PACK%20-%20RFQ00059.pdf" TargetMode="External" Id="rId168"/><Relationship Type="http://schemas.openxmlformats.org/officeDocument/2006/relationships/hyperlink" Target="https://www.etenders.gov.za/home/Download/?blobName=b6b94a21-c6a1-4b75-a057-98fdb7b01c0e.pdf&amp;downloadedFileName=QUOTE%20PACK%20-H004L2706RFQ00058.pdf" TargetMode="External" Id="rId169"/><Relationship Type="http://schemas.openxmlformats.org/officeDocument/2006/relationships/hyperlink" Target="https://www.etenders.gov.za/home/Download/?blobName=7f024768-545c-46c7-a9c9-7e885186e076.pdf&amp;downloadedFileName=TENDER%20DOCUMENT%20FOR%20MASSAGE%20COORDINATOR%20FOR%20100%20EMPLOYEES.pdf" TargetMode="External" Id="rId170"/><Relationship Type="http://schemas.openxmlformats.org/officeDocument/2006/relationships/hyperlink" Target="https://www.etenders.gov.za/home/Download/?blobName=2df6e175-a2e4-42b2-a1db-2578dd9a1b83.pdf&amp;downloadedFileName=Gathering%20of%20Information%20-%20RFI%20-%20360%20Degree%20Employee%20Assessment.pdf" TargetMode="External" Id="rId171"/><Relationship Type="http://schemas.openxmlformats.org/officeDocument/2006/relationships/hyperlink" Target="https://www.etenders.gov.za/home/Download/?blobName=41e42280-eb0a-4796-930e-98b741c9ff0b.pdf&amp;downloadedFileName=IUCMA-001-BULKMETER-2026%20BAC%2020-05-2026.pdf" TargetMode="External" Id="rId172"/><Relationship Type="http://schemas.openxmlformats.org/officeDocument/2006/relationships/hyperlink" Target="https://www.etenders.gov.za/home/Download/?blobName=493a1703-51f9-4b29-b9c4-c616933ca60f.pdf&amp;downloadedFileName=10371257%20-%20REQUEST%20FOR%20QUOTATION%20(RFQ)%20FOR%20THE%20APPOINTMENT%20OF%20A%20SERVICE%20PROVIDER%20TO%20REPAIR%20CONTROL.pdf" TargetMode="External" Id="rId173"/><Relationship Type="http://schemas.openxmlformats.org/officeDocument/2006/relationships/hyperlink" Target="https://www.etenders.gov.za/home/Download/?blobName=1aa64ceb-d852-4d2f-948c-2d187f793091.pdf&amp;downloadedFileName=10371134%20-%20REQUEST%20FOR%20QUOTATION%20(RFQ)%20FOR%20THE%20APPOINTMENT%20OF%20A%20SERVICE%20PROVIDER%20TO%20SUPPLY%20AND%20DELIVER%20GAS.pdf" TargetMode="External" Id="rId174"/><Relationship Type="http://schemas.openxmlformats.org/officeDocument/2006/relationships/hyperlink" Target="https://www.etenders.gov.za/home/Download/?blobName=ad7b30b3-31b1-4115-864d-ff3e68cb4524.pdf&amp;downloadedFileName=6.%20Supplier%20Quality%20Management%20Specification.pdf" TargetMode="External" Id="rId175"/><Relationship Type="http://schemas.openxmlformats.org/officeDocument/2006/relationships/hyperlink" Target="https://www.etenders.gov.za/home/Download/?blobName=8f1abb52-f2a2-4097-a34a-56100640bdfd.pdf&amp;downloadedFileName=Tender%20Cancellation%20Letter%20The%20Supply%20and%20Delivery%20of%20Gas%2004%20May%202026.pdf" TargetMode="External" Id="rId176"/><Relationship Type="http://schemas.openxmlformats.org/officeDocument/2006/relationships/hyperlink" Target="https://www.etenders.gov.za/home/Download/?blobName=f2bf0fa8-4df2-4027-8f77-d2c0c76e579d.pdf&amp;downloadedFileName=COM65-2026%20SUPPLY%20OF%20BRANDED%20TOURISM%20PROMOTIONAL%20EQUIPMENT%20FOR%20THE%20TOURISM%20PRODUCTS%20AND%20ESTABLISHMENTS%20SUPPORT%20PROGRAMME.pdf" TargetMode="External" Id="rId177"/><Relationship Type="http://schemas.openxmlformats.org/officeDocument/2006/relationships/hyperlink" Target="https://www.etenders.gov.za/home/Download/?blobName=58fdb186-30f0-4f24-85c1-407e0a72df14.pdf&amp;downloadedFileName=COM155-2025%20MONITORING,%20RAPID%20RESPONSE,%20MAINTENANCE%20AND%20INSTALLATION%20OF%20....pdf" TargetMode="External" Id="rId178"/><Relationship Type="http://schemas.openxmlformats.org/officeDocument/2006/relationships/hyperlink" Target="https://www.etenders.gov.za/home/Download/?blobName=da4b0db2-b168-4f87-801f-3f443a5f82cc.pdf&amp;downloadedFileName=WTE-0532%20CS%20-%2009MM%20REINFORCED%20POLYPROPYLENE%20GEOMEMBRANE%20AT%20THE%20NAMAKWA%20BWS.pdf" TargetMode="External" Id="rId179"/><Relationship Type="http://schemas.openxmlformats.org/officeDocument/2006/relationships/hyperlink" Target="https://www.etenders.gov.za/home/Download/?blobName=f4dc9cc7-29ab-4723-8d76-744d093dc437.PDF&amp;downloadedFileName=ANNEXU~2.PDF" TargetMode="External" Id="rId180"/><Relationship Type="http://schemas.openxmlformats.org/officeDocument/2006/relationships/hyperlink" Target="https://www.etenders.gov.za/home/Download/?blobName=80d51917-b2e6-47a7-a5a5-a3b3263d944b.docx&amp;downloadedFileName=Notification%20of%20Tender%20Advertised%20and%20Awarded%20-%20Canteen%20Equipment.docx" TargetMode="External" Id="rId181"/><Relationship Type="http://schemas.openxmlformats.org/officeDocument/2006/relationships/hyperlink" Target="https://www.etenders.gov.za/home/Download/?blobName=734ec062-7a67-4383-b106-498ad6961a99.pdf&amp;downloadedFileName=List%20of%20Bidders.pdf" TargetMode="External" Id="rId182"/><Relationship Type="http://schemas.openxmlformats.org/officeDocument/2006/relationships/hyperlink" Target="https://www.etenders.gov.za/home/Download/?blobName=955af9e0-8bf3-4f87-8568-34f73981911c.pdf&amp;downloadedFileName=RFQ%204485.pdf" TargetMode="External" Id="rId183"/><Relationship Type="http://schemas.openxmlformats.org/officeDocument/2006/relationships/hyperlink" Target="https://www.etenders.gov.za/home/Download/?blobName=3bfa9b67-5a1b-4acb-86a5-fd145731541e.pdf&amp;downloadedFileName=THREE%20PANEL%20OF%20SERVICE%20PROVIDERS%20TO%20PROVIDE%20WITH%20ACQUISITION%20OF%20ADDITIONAL%20SOFTWARE%20LICENSES,%20SOFTWARE%20LICENSE%20RENEWALS,%20ICT%20IMPLEMENTATIONS,%20ENHANCEMENTS,%20SUPPORT%20AND%20MAINTENANCE%20ON%20AN%20AS%20AND%20WHEN.pdf" TargetMode="External" Id="rId184"/><Relationship Type="http://schemas.openxmlformats.org/officeDocument/2006/relationships/hyperlink" Target="https://www.etenders.gov.za/home/Download/?blobName=79c909c4-3394-47ff-b297-8c1712570536.pdf&amp;downloadedFileName=APPOINTMENT%20OF%20THREE%20PANEL%20OF%20A%20SERVICE%20PROVIDERS%20FOR%20THE%20REPAIRS%20SERVICING%20AND%20MAINTANCEOF%20THE%20MUNICIPAL%20RESUE%20AND%20FIREFIGHTING%20GENERAL%20EQUIPMENT%20AT%20VICTOR%20KHANYE%20LOCAL%20MUNICIPALITY%20FOR%20A.pdf" TargetMode="External" Id="rId185"/><Relationship Type="http://schemas.openxmlformats.org/officeDocument/2006/relationships/hyperlink" Target="https://www.etenders.gov.za/home/Download/?blobName=5d088367-b6e5-4cb1-b6be-a9f4d666c88d.pdf&amp;downloadedFileName=RFQ-4185%20Installation%20of%20Burglar%20bars%20and%20Aluminium%20door%201.pdf" TargetMode="External" Id="rId186"/><Relationship Type="http://schemas.openxmlformats.org/officeDocument/2006/relationships/hyperlink" Target="https://www.etenders.gov.za/home/Download/?blobName=6a9d00bc-97f9-4b45-88dc-09f68e29141a.pdf&amp;downloadedFileName=Panel%20of%20Legal%20Service%20providers%202026%20edited.pdf" TargetMode="External" Id="rId187"/><Relationship Type="http://schemas.openxmlformats.org/officeDocument/2006/relationships/hyperlink" Target="https://www.etenders.gov.za/home/Download/?blobName=bb4bb6ed-f5b4-432e-b164-6878af1c7e8a.pdf&amp;downloadedFileName=BID%20DOCUMENT%20FOR%20TRAVEL%20AND%20ACCOMODATION%20MANAGEMENT%20SERVICES%20IPID01202627.pdf" TargetMode="External" Id="rId188"/><Relationship Type="http://schemas.openxmlformats.org/officeDocument/2006/relationships/hyperlink" Target="https://www.etenders.gov.za/home/Download/?blobName=1165e77f-d8fc-4651-9db2-7e8772f4f1e1.pdf&amp;downloadedFileName=RFQ%2001%20OF%2006%20OF%202025%20%20ADVERT.pdf" TargetMode="External" Id="rId189"/><Relationship Type="http://schemas.openxmlformats.org/officeDocument/2006/relationships/hyperlink" Target="https://www.etenders.gov.za/home/Download/?blobName=982d9be7-323f-43a6-8925-98a403c72a3a.pdf&amp;downloadedFileName=ADVERT%20FOR%20BAQUQENI%20ACCESS%20ROAD%20MAINTENANCE.pdf" TargetMode="External" Id="rId190"/><Relationship Type="http://schemas.openxmlformats.org/officeDocument/2006/relationships/hyperlink" Target="https://www.etenders.gov.za/home/Download/?blobName=b9bd3add-2ddf-4e81-aa17-75d0985d9d88.pdf&amp;downloadedFileName=ADVERT%20FOR%20SUGARBUSH%20ACCESS%20ROAD%20MAINTENANCE.pdf" TargetMode="External" Id="rId191"/><Relationship Type="http://schemas.openxmlformats.org/officeDocument/2006/relationships/hyperlink" Target="https://www.etenders.gov.za/home/Download/?blobName=43b62313-1692-49be-9fb1-75f52fa01f2a.pdf&amp;downloadedFileName=ADVERT%20FOR%20CONSTRUCTION%20OF%20ZIQUNGWINI%20TO%20NQABENI%20ACCESS%20ROAD.pdf" TargetMode="External" Id="rId192"/><Relationship Type="http://schemas.openxmlformats.org/officeDocument/2006/relationships/hyperlink" Target="https://www.etenders.gov.za/home/Download/?blobName=6b2bde9b-9522-4a1a-ab7d-0b6065462ff7.pdf&amp;downloadedFileName=BSM102%2026%20Supply%20and%20delivery%20of%20replacement%20ICT%20Hardware%20equipment%20period%20ending%2030%20June%202028.pdf" TargetMode="External" Id="rId193"/><Relationship Type="http://schemas.openxmlformats.org/officeDocument/2006/relationships/hyperlink" Target="https://www.etenders.gov.za/home/Download/?blobName=fdce3588-2ca9-41d3-8992-8702051aa10c.docx&amp;downloadedFileName=Standard%20Bidding%20Document%20(SDB)%204_Annexure%20A%20(1).docx" TargetMode="External" Id="rId194"/><Relationship Type="http://schemas.openxmlformats.org/officeDocument/2006/relationships/hyperlink" Target="https://www.etenders.gov.za/home/Download/?blobName=af46c4fb-4a35-4a1f-9079-b81bcd889310.pdf&amp;downloadedFileName=Advert%2003-06-2026._%20(002).pdf" TargetMode="External" Id="rId195"/><Relationship Type="http://schemas.openxmlformats.org/officeDocument/2006/relationships/hyperlink" Target="https://www.etenders.gov.za/home/Download/?blobName=33abc6f1-726c-4f15-9978-53f8b0bf12e6.pdf&amp;downloadedFileName=Advert%2003-06-2026._%20(002).pdf" TargetMode="External" Id="rId196"/><Relationship Type="http://schemas.openxmlformats.org/officeDocument/2006/relationships/hyperlink" Target="https://www.etenders.gov.za/home/Download/?blobName=83486909-49d5-41af-947c-03b771ff9ff0.pdf&amp;downloadedFileName=Advert%2003-06-2026._%20(002).pdf" TargetMode="External" Id="rId197"/><Relationship Type="http://schemas.openxmlformats.org/officeDocument/2006/relationships/hyperlink" Target="https://www.etenders.gov.za/home/Download/?blobName=e43eb197-5c6b-4260-8e92-1b8358ee7f7b.pdf&amp;downloadedFileName=Script%20Guide%20for%20SIU%20TVC.pdf" TargetMode="External" Id="rId198"/><Relationship Type="http://schemas.openxmlformats.org/officeDocument/2006/relationships/hyperlink" Target="https://www.etenders.gov.za/home/Download/?blobName=e49f403b-0f51-44fe-b515-dbfa9498f84f.pdf&amp;downloadedFileName=ADVERT%20FOR%20FOR%20MALENGE%20ACCESS%20ROAD%20MAINTENANCE.pdf" TargetMode="External" Id="rId199"/><Relationship Type="http://schemas.openxmlformats.org/officeDocument/2006/relationships/hyperlink" Target="https://www.etenders.gov.za/home/Download/?blobName=516a92f0-0ec5-43bb-b57f-8cf99c6a41e0.pdf&amp;downloadedFileName=ADVERT%20FOR%20NGWEKAZANA%20ACCESSS%20ROAD%20MAINTENANCE.pdf" TargetMode="External" Id="rId200"/><Relationship Type="http://schemas.openxmlformats.org/officeDocument/2006/relationships/hyperlink" Target="https://www.etenders.gov.za/home/Download/?blobName=90076e25-6b7d-4363-879e-3c7a8d048fef.pdf&amp;downloadedFileName=ADVERT%20FOR%20QADU%20ACCESS%20ROAD%20MAINTENANCE.pdf" TargetMode="External" Id="rId201"/><Relationship Type="http://schemas.openxmlformats.org/officeDocument/2006/relationships/hyperlink" Target="https://www.etenders.gov.za/home/Download/?blobName=5b8410a3-9531-48c8-88b9-c747bb5c75e2.pdf&amp;downloadedFileName=Bid%20Specifications%20{Cardboard%20Home%20Visit%20Ballot%20Box}.pdf" TargetMode="External" Id="rId202"/><Relationship Type="http://schemas.openxmlformats.org/officeDocument/2006/relationships/hyperlink" Target="https://www.etenders.gov.za/home/Download/?blobName=e388c016-5751-4024-af1a-ba4fcaefa661.pdf&amp;downloadedFileName=etender%20advert%2015%20Defy%20stoves.pdf" TargetMode="External" Id="rId203"/><Relationship Type="http://schemas.openxmlformats.org/officeDocument/2006/relationships/hyperlink" Target="https://www.etenders.gov.za/home/Download/?blobName=d04ee8f3-2bfa-4be0-a0a2-d2ad3174c212.pdf&amp;downloadedFileName=RFQ%20,,.pdf" TargetMode="External" Id="rId204"/><Relationship Type="http://schemas.openxmlformats.org/officeDocument/2006/relationships/hyperlink" Target="https://www.etenders.gov.za/home/Download/?blobName=1917be4f-2580-42b9-9902-c83d4d0819ac.pdf&amp;downloadedFileName=SPSC%20B%20003%2026.pdf" TargetMode="External" Id="rId205"/><Relationship Type="http://schemas.openxmlformats.org/officeDocument/2006/relationships/hyperlink" Target="https://www.etenders.gov.za/home/Download/?blobName=baec54a8-e9b0-4073-8e21-17d6649224ac.docx&amp;downloadedFileName=POS9771.docx" TargetMode="External" Id="rId206"/><Relationship Type="http://schemas.openxmlformats.org/officeDocument/2006/relationships/hyperlink" Target="https://www.etenders.gov.za/home/Download/?blobName=d5a6413a-0ecc-4802-b148-1a1b3243e575.docx&amp;downloadedFileName=POS9772.docx" TargetMode="External" Id="rId207"/><Relationship Type="http://schemas.openxmlformats.org/officeDocument/2006/relationships/hyperlink" Target="https://www.etenders.gov.za/home/Download/?blobName=5c12e01d-0566-4132-bdb3-d606049e780b.pdf&amp;downloadedFileName=Verification%20of%20Employees.pdf" TargetMode="External" Id="rId208"/><Relationship Type="http://schemas.openxmlformats.org/officeDocument/2006/relationships/hyperlink" Target="https://www.etenders.gov.za/home/Download/?blobName=5138dbd9-3959-4838-8dcb-5f245c7c5071.pdf&amp;downloadedFileName=RFQ%20for%20Metalise.pdf" TargetMode="External" Id="rId209"/><Relationship Type="http://schemas.openxmlformats.org/officeDocument/2006/relationships/hyperlink" Target="https://www.etenders.gov.za/home/Download/?blobName=85f97308-049f-4dcb-9f54-6e6491329bd7.pdf&amp;downloadedFileName=ADVERT_GMT055%20%2025%2026.pdf" TargetMode="External" Id="rId210"/><Relationship Type="http://schemas.openxmlformats.org/officeDocument/2006/relationships/hyperlink" Target="https://www.etenders.gov.za/home/Download/?blobName=2fbc572d-7dda-40be-b0b7-00ff5b7ff2cb.docx&amp;downloadedFileName=POS9805.docx" TargetMode="External" Id="rId211"/><Relationship Type="http://schemas.openxmlformats.org/officeDocument/2006/relationships/hyperlink" Target="https://www.etenders.gov.za/home/Download/?blobName=4731765a-dbf2-4e3e-bdcc-4501634cadff.pdf&amp;downloadedFileName=RFQ%20Proceedings%20Kruger%202026.pdf" TargetMode="External" Id="rId212"/><Relationship Type="http://schemas.openxmlformats.org/officeDocument/2006/relationships/hyperlink" Target="https://www.etenders.gov.za/home/Download/?blobName=3dcd4efc-9264-48e2-93cb-80a86551b764.zip&amp;downloadedFileName=INVITATION%20TO%20BID%20SASSA%2001-26-GA-FS.zip" TargetMode="External" Id="rId213"/><Relationship Type="http://schemas.openxmlformats.org/officeDocument/2006/relationships/hyperlink" Target="https://www.etenders.gov.za/home/Download/?blobName=353c25ab-e5a2-4456-8079-7fd1afbefb04.pdf&amp;downloadedFileName=RFP%20-%20Supply%20and%20Delivery%20of%20stationery%20to%20the%20GMA%20operated%20driving%20licence%20testing%20centres%20(DLTCs).pdf" TargetMode="External" Id="rId214"/><Relationship Type="http://schemas.openxmlformats.org/officeDocument/2006/relationships/hyperlink" Target="https://www.etenders.gov.za/home/Download/?blobName=7a1a0ba2-e104-4071-8405-db22111cafa8.pdf&amp;downloadedFileName=TENDER%20NOTICE%20AND%20INVITATION%20TO%20BID%20-%20FBC%20T4-2026.pdf" TargetMode="External" Id="rId215"/><Relationship Type="http://schemas.openxmlformats.org/officeDocument/2006/relationships/hyperlink" Target="https://www.etenders.gov.za/home/Download/?blobName=d18abe94-6d87-4192-bc22-df28002e43e3.pdf&amp;downloadedFileName=RFQ201985%20Walk%20in%20freezer.pdf" TargetMode="External" Id="rId216"/><Relationship Type="http://schemas.openxmlformats.org/officeDocument/2006/relationships/hyperlink" Target="https://www.etenders.gov.za/home/Download/?blobName=c1539d0d-fb83-4d5e-9045-f0bc0ce06f9c.pdf&amp;downloadedFileName=SUPPLY%20AND%20DELIVERY%20OF%20ELECTRICAL%20SUPPLIES.pdf" TargetMode="External" Id="rId217"/><Relationship Type="http://schemas.openxmlformats.org/officeDocument/2006/relationships/hyperlink" Target="https://www.etenders.gov.za/home/Download/?blobName=46b220e0-1a7f-40a6-b8dc-201419abad06.docx&amp;downloadedFileName=ADDENDUM%204%20-%20TEMPLATE%20-%20SWORN%20AFFIDAVIT%20OF%20BOTH%20EME%20AND%20QSE%20-.docx" TargetMode="External" Id="rId218"/><Relationship Type="http://schemas.openxmlformats.org/officeDocument/2006/relationships/hyperlink" Target="https://www.etenders.gov.za/home/Download/?blobName=8a49c342-55ac-435d-ac84-3c80a923cb82.docx&amp;downloadedFileName=QUOTATION%20DOC%20FOR%20TRAVEL%20MAN%20SERVICE%20CONTRACT%20IN%20RESPECT%20OF%20ACCOMMODATION.docx" TargetMode="External" Id="rId219"/><Relationship Type="http://schemas.openxmlformats.org/officeDocument/2006/relationships/hyperlink" Target="https://www.etenders.gov.za/home/Download/?blobName=83410004-9a63-47a2-9ed1-2eaf89194f96.pdf&amp;downloadedFileName=QUOTATION%20DOC%20FOR%20COFIMVABA%20BUILDING%20TOOLS.pdf" TargetMode="External" Id="rId220"/><Relationship Type="http://schemas.openxmlformats.org/officeDocument/2006/relationships/hyperlink" Target="https://www.etenders.gov.za/home/Download/?blobName=9ff435cb-fc84-4792-9a75-41cee0079785.pdf&amp;downloadedFileName=Annexure%20A_%20Template%20indicating%20the%20region%20selection.pdf" TargetMode="External" Id="rId221"/><Relationship Type="http://schemas.openxmlformats.org/officeDocument/2006/relationships/hyperlink" Target="https://www.etenders.gov.za/home/Download/?blobName=6c87cb20-a357-48e5-a8b2-3d98bb0d6ea0.pdf&amp;downloadedFileName=CS004%20Advert%20Word.pdf" TargetMode="External" Id="rId222"/><Relationship Type="http://schemas.openxmlformats.org/officeDocument/2006/relationships/hyperlink" Target="https://www.etenders.gov.za/home/Download/?blobName=bd9264f6-91c3-4360-9b92-a414231d5171.pdf&amp;downloadedFileName=QUOTE%20PACK%20-H004L2706RFQ00063.pdf" TargetMode="External" Id="rId223"/><Relationship Type="http://schemas.openxmlformats.org/officeDocument/2006/relationships/hyperlink" Target="https://www.etenders.gov.za/home/Download/?blobName=4af77131-e5f4-468f-9648-bd4e03080b23.pdf&amp;downloadedFileName=FACT%20-%20RFQ%20for%20Fuel%20-%20Re-Advert.pdf" TargetMode="External" Id="rId224"/><Relationship Type="http://schemas.openxmlformats.org/officeDocument/2006/relationships/hyperlink" Target="https://www.etenders.gov.za/home/Download/?blobName=56aa25ec-f24f-4f63-a12f-301ab9447326.pdf&amp;downloadedFileName=Scope%20of%20work.pdf" TargetMode="External" Id="rId225"/><Relationship Type="http://schemas.openxmlformats.org/officeDocument/2006/relationships/hyperlink" Target="https://www.etenders.gov.za/home/Download/?blobName=aedaea3e-ebd4-40f6-883e-1043a2a3d402.docx&amp;downloadedFileName=Annexure%20E%20-%20Business%20Requirements%20compliance%20response%20document.docx" TargetMode="External" Id="rId226"/><Relationship Type="http://schemas.openxmlformats.org/officeDocument/2006/relationships/hyperlink" Target="https://www.etenders.gov.za/home/Download/?blobName=6cd8fff6-b6fa-453f-b283-d8bd46eb69d3.pdf&amp;downloadedFileName=RFQ0001221.pdf" TargetMode="External" Id="rId227"/><Relationship Type="http://schemas.openxmlformats.org/officeDocument/2006/relationships/hyperlink" Target="https://www.etenders.gov.za/home/Download/?blobName=97cae45b-345e-44ce-8f08-4cf5aab9f67e.pdf&amp;downloadedFileName=RFQ0001222.pdf" TargetMode="External" Id="rId228"/><Relationship Type="http://schemas.openxmlformats.org/officeDocument/2006/relationships/hyperlink" Target="https://www.etenders.gov.za/home/Download/?blobName=3ef273bd-745f-44cb-a5e1-dd82b7745c4f.pdf&amp;downloadedFileName=RFQ0001218.pdf" TargetMode="External" Id="rId229"/><Relationship Type="http://schemas.openxmlformats.org/officeDocument/2006/relationships/hyperlink" Target="https://www.etenders.gov.za/home/Download/?blobName=1a2d8f32-a26d-4360-9586-5f1094a7620c.pdf&amp;downloadedFileName=RFQ0001220.pdf" TargetMode="External" Id="rId230"/><Relationship Type="http://schemas.openxmlformats.org/officeDocument/2006/relationships/hyperlink" Target="https://www.etenders.gov.za/home/Download/?blobName=0ced8151-0c67-489e-8549-4caa46f0b716.pdf&amp;downloadedFileName=ADVERTS%20for%20June%202026.pdf" TargetMode="External" Id="rId231"/><Relationship Type="http://schemas.openxmlformats.org/officeDocument/2006/relationships/hyperlink" Target="https://www.etenders.gov.za/home/Download/?blobName=80c53f31-6a07-4530-b06c-1301dc600d87.pdf&amp;downloadedFileName=RFQ24%20STAFF%20ADDRESS%2010%20JUNE%202026.pdf" TargetMode="External" Id="rId232"/><Relationship Type="http://schemas.openxmlformats.org/officeDocument/2006/relationships/hyperlink" Target="https://www.etenders.gov.za/home/Download/?blobName=6576eaef-18a3-4724-8187-4528f5ae6e13.pdf&amp;downloadedFileName=Tender%20advert%20-%20Stormwater.pdf" TargetMode="External" Id="rId233"/><Relationship Type="http://schemas.openxmlformats.org/officeDocument/2006/relationships/hyperlink" Target="https://www.etenders.gov.za/home/Download/?blobName=33cb4b7e-3b44-425c-91c2-ffa4468edf7d.pdf&amp;downloadedFileName=RFI%20document%20for%20ERP.pdf" TargetMode="External" Id="rId234"/><Relationship Type="http://schemas.openxmlformats.org/officeDocument/2006/relationships/hyperlink" Target="https://www.etenders.gov.za/home/Download/?blobName=c84d6e22-f7d9-4a46-99f0-1b075fbed8e4.pdf&amp;downloadedFileName=Tender%20Document%20-%20Cyber%20Security%20Monitoring%20Services%20-%20June%202026.pdf" TargetMode="External" Id="rId235"/><Relationship Type="http://schemas.openxmlformats.org/officeDocument/2006/relationships/hyperlink" Target="https://www.etenders.gov.za/home/Download/?blobName=836b0323-cf1a-48c4-85f3-0a5d54f0637c.pdf&amp;downloadedFileName=RFP%20-%20Property%20Leasing%20Malmesbury%20%20LO.pdf" TargetMode="External" Id="rId236"/><Relationship Type="http://schemas.openxmlformats.org/officeDocument/2006/relationships/hyperlink" Target="https://www.etenders.gov.za/home/Download/?blobName=78ef0180-00af-4006-9529-a9450c4b3cf7.pdf&amp;downloadedFileName=RFQ_12312%20-%20Replacement%20of%20faulty%20cable%20at%20Persues%20TM.pdf" TargetMode="External" Id="rId237"/><Relationship Type="http://schemas.openxmlformats.org/officeDocument/2006/relationships/hyperlink" Target="https://www.etenders.gov.za/home/Download/?blobName=6031aa8d-3881-4df0-aa92-3fd3bb929207.pdf&amp;downloadedFileName=Advert%20ZNQ22.26.27.pdf" TargetMode="External" Id="rId238"/><Relationship Type="http://schemas.openxmlformats.org/officeDocument/2006/relationships/hyperlink" Target="https://www.etenders.gov.za/home/Download/?blobName=c1dc4177-ea10-44e6-a387-c874f0f9035b.pdf&amp;downloadedFileName=QUOTATION%20DOCUMENT%20FOR%20ZNQP%2001-05-2026%20BOXES%20%20LIDS.pdf" TargetMode="External" Id="rId239"/><Relationship Type="http://schemas.openxmlformats.org/officeDocument/2006/relationships/hyperlink" Target="https://www.etenders.gov.za/home/Download/?blobName=b7d5bb36-e26f-4502-8f99-86e42118669c.pdf&amp;downloadedFileName=Tender%20Cancellation%20Letter%20-%20Mini%20Subs.pdf" TargetMode="External" Id="rId240"/><Relationship Type="http://schemas.openxmlformats.org/officeDocument/2006/relationships/hyperlink" Target="https://www.etenders.gov.za/home/Download/?blobName=375bf6dc-19c9-45e8-b181-c36d24f62946.zip&amp;downloadedFileName=Tender%20Documents.zip" TargetMode="External" Id="rId241"/><Relationship Type="http://schemas.openxmlformats.org/officeDocument/2006/relationships/hyperlink" Target="https://www.etenders.gov.za/home/Download/?blobName=fa69eb6e-9840-45d3-b2c5-20d161ed24b9.pdf&amp;downloadedFileName=240-68099512%20Form%20A_Cat%203_%20Rev%209.pdf" TargetMode="External" Id="rId242"/><Relationship Type="http://schemas.openxmlformats.org/officeDocument/2006/relationships/hyperlink" Target="https://www.etenders.gov.za/home/Download/?blobName=117862cd-1b36-4dd8-9300-0b3b6b8384df.pdf&amp;downloadedFileName=Annexure%20K%20-%20Driver%20Camera.pdf" TargetMode="External" Id="rId243"/><Relationship Type="http://schemas.openxmlformats.org/officeDocument/2006/relationships/hyperlink" Target="https://www.etenders.gov.za/home/Download/?blobName=5947a5c7-f6f0-408f-9078-fd669b1c0578.zip&amp;downloadedFileName=Tender%20Documents.zip" TargetMode="External" Id="rId244"/><Relationship Type="http://schemas.openxmlformats.org/officeDocument/2006/relationships/hyperlink" Target="https://www.etenders.gov.za/home/Download/?blobName=dae572ca-046d-4153-9329-05e530c955d1.docx&amp;downloadedFileName=RFQ%20Document%20-%20PR10116259%20Pest%20Control%20Service%20Contract%202026.docx" TargetMode="External" Id="rId245"/><Relationship Type="http://schemas.openxmlformats.org/officeDocument/2006/relationships/hyperlink" Target="https://www.etenders.gov.za/home/Download/?blobName=ef121137-5df2-47cb-9a2a-3eaabd627d48.pdf&amp;downloadedFileName=COJ0080.25.26%20CALIBRATION%20OF%20SOUND%20RE%20ADVERT.pdf" TargetMode="External" Id="rId246"/><Relationship Type="http://schemas.openxmlformats.org/officeDocument/2006/relationships/hyperlink" Target="https://www.etenders.gov.za/home/Download/?blobName=e8f462a0-ae96-432b-987e-a28b4dc791b7.pdf&amp;downloadedFileName=COJ0109-25-26%20BRANDED%20RECOGNITION%20ITEMS.pdf" TargetMode="External" Id="rId247"/><Relationship Type="http://schemas.openxmlformats.org/officeDocument/2006/relationships/hyperlink" Target="https://www.etenders.gov.za/home/Download/?blobName=7e2e7498-c32c-48a1-a8c5-087753fba91c.pdf&amp;downloadedFileName=COJ0110-25-26%20VAGINAL%20SPECULUMS.pdf" TargetMode="External" Id="rId248"/><Relationship Type="http://schemas.openxmlformats.org/officeDocument/2006/relationships/hyperlink" Target="https://www.etenders.gov.za/home/Download/?blobName=3ec1f533-cf68-47ce-a584-068ce3a305f8.pdf&amp;downloadedFileName=Annexure%20D%20%E2%80%93%20Standard%20Bidding%20Document%20(SBD)%204.pdf" TargetMode="External" Id="rId249"/></Relationships>
</file>

<file path=xl/worksheets/sheet1.xml><?xml version="1.0" encoding="utf-8"?>
<worksheet xmlns="http://schemas.openxmlformats.org/spreadsheetml/2006/main">
  <sheetPr>
    <outlinePr summaryBelow="1" summaryRight="1"/>
    <pageSetUpPr/>
  </sheetPr>
  <dimension ref="A1:V250"/>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COMPULSORY_BRIEFING</t>
        </is>
      </c>
      <c r="P1" s="1" t="inlineStr">
        <is>
          <t>BRIEFING_SESSION_VENUE</t>
        </is>
      </c>
      <c r="Q1" s="1" t="inlineStr">
        <is>
          <t>LINK</t>
        </is>
      </c>
      <c r="R1" s="1" t="inlineStr">
        <is>
          <t>SOE</t>
        </is>
      </c>
      <c r="S1" s="1" t="inlineStr">
        <is>
          <t>COST_OF_SALES_ESTIMATE</t>
        </is>
      </c>
      <c r="T1" s="1" t="inlineStr">
        <is>
          <t>CAPABILITY_AVAILABLE</t>
        </is>
      </c>
      <c r="U1" s="1" t="inlineStr">
        <is>
          <t>CAPABILITY_GROUP</t>
        </is>
      </c>
      <c r="V1" s="1" t="inlineStr">
        <is>
          <t>REQUIREMENTS</t>
        </is>
      </c>
    </row>
    <row r="2">
      <c r="A2" s="2" t="n">
        <v>46174</v>
      </c>
      <c r="B2" t="n">
        <v>249</v>
      </c>
      <c r="C2" t="inlineStr">
        <is>
          <t>LNW 03/25/26</t>
        </is>
      </c>
      <c r="D2" s="2" t="n">
        <v>46174</v>
      </c>
      <c r="E2" s="2" t="n">
        <v>46196</v>
      </c>
      <c r="F2" t="inlineStr">
        <is>
          <t>11:00</t>
        </is>
      </c>
      <c r="G2" t="inlineStr">
        <is>
          <t>Request for Bid(Open-Tender)</t>
        </is>
      </c>
      <c r="H2" t="inlineStr">
        <is>
          <t>ADVERT FOR THE PANEL FOR SUPPLYING AND DELIVERING OF ARGON BASELINE GAS, HELIUM BASELINE GAS, NITROGEN BASELINE GAS AND SYNTHETIC AIR FOR A PERIOD OF FIVE YEARS - TENDER NO. LNW 03/25/26</t>
        </is>
      </c>
      <c r="I2" t="inlineStr">
        <is>
          <t>ETENDERS.GOV.ZA</t>
        </is>
      </c>
      <c r="J2" t="inlineStr">
        <is>
          <t>Lepelle Northern Water</t>
        </is>
      </c>
      <c r="K2" t="inlineStr">
        <is>
          <t>Limpopo</t>
        </is>
      </c>
      <c r="L2" t="inlineStr">
        <is>
          <t>No</t>
        </is>
      </c>
      <c r="M2" t="inlineStr">
        <is>
          <t>Electricity, gas, steam and air conditioning</t>
        </is>
      </c>
      <c r="N2" t="inlineStr">
        <is>
          <t>Yes</t>
        </is>
      </c>
      <c r="O2" t="inlineStr">
        <is>
          <t>No</t>
        </is>
      </c>
      <c r="P2" t="inlineStr">
        <is>
          <t>Ebenezer Pla Cordinates -23,944133 29,9837166</t>
        </is>
      </c>
      <c r="Q2" s="3" t="inlineStr">
        <is>
          <t>https://www.etenders.gov.za/home/Download/?blobName=196dd11d-1cc1-41ed-aaca-09fdc109918c.pdf&amp;downloadedFileName=TENDER%20LNW%2003-25-26%20PANEL%20FOR%20SUPPLYING%20AND%20DELIVERING%20OF%20ARGON%20BASELINE,%20HELIUM%20BASELINE,%20NITROGEN%20GAS.pdf</t>
        </is>
      </c>
      <c r="R2" t="inlineStr"/>
      <c r="S2" t="inlineStr"/>
      <c r="T2" t="inlineStr"/>
      <c r="U2" t="inlineStr"/>
      <c r="V2" t="inlineStr"/>
    </row>
    <row r="3">
      <c r="A3" s="2" t="n">
        <v>46174</v>
      </c>
      <c r="B3" t="n">
        <v>248</v>
      </c>
      <c r="C3" t="inlineStr">
        <is>
          <t>CRAC-KDS-56504</t>
        </is>
      </c>
      <c r="D3" s="2" t="n">
        <v>46174</v>
      </c>
      <c r="E3" s="2" t="n">
        <v>46195</v>
      </c>
      <c r="F3" t="inlineStr">
        <is>
          <t>10:00</t>
        </is>
      </c>
      <c r="G3" t="inlineStr">
        <is>
          <t>Request for Quotation</t>
        </is>
      </c>
      <c r="H3" t="inlineStr">
        <is>
          <t>SUPPLY, DELIVERING AND INSTALLATION OF 120M -150M HORIZONTAL DIRECTIONAL PIPE DRILLING AT KOEDOESPOORT TRANSNET ENGINEERING DEPOT.</t>
        </is>
      </c>
      <c r="I3" t="inlineStr">
        <is>
          <t>ETENDERS.GOV.ZA</t>
        </is>
      </c>
      <c r="J3" t="inlineStr">
        <is>
          <t>Transnet SOC Ltd</t>
        </is>
      </c>
      <c r="K3" t="inlineStr">
        <is>
          <t>Gauteng</t>
        </is>
      </c>
      <c r="L3" t="inlineStr">
        <is>
          <t>No</t>
        </is>
      </c>
      <c r="M3" t="inlineStr">
        <is>
          <t>Construction</t>
        </is>
      </c>
      <c r="N3" t="inlineStr">
        <is>
          <t>No</t>
        </is>
      </c>
      <c r="O3" t="inlineStr">
        <is>
          <t>No</t>
        </is>
      </c>
      <c r="P3" t="inlineStr">
        <is>
          <t>N/A</t>
        </is>
      </c>
      <c r="Q3" s="3" t="inlineStr">
        <is>
          <t>https://www.etenders.gov.za/home/Download/?blobName=7cb20c0d-d5d3-4249-84c7-2fd29c0827d3.pdf&amp;downloadedFileName=RFQ%20FOR%20KOEDOESPOORT.pdf</t>
        </is>
      </c>
      <c r="R3" t="inlineStr"/>
      <c r="S3" t="inlineStr"/>
      <c r="T3" t="inlineStr"/>
      <c r="U3" t="inlineStr"/>
      <c r="V3" t="inlineStr"/>
    </row>
    <row r="4">
      <c r="A4" s="2" t="n">
        <v>46174</v>
      </c>
      <c r="B4" t="n">
        <v>247</v>
      </c>
      <c r="C4" t="inlineStr">
        <is>
          <t>BPDM/SCM/TECH/RRAMS/ROADS/T/</t>
        </is>
      </c>
      <c r="D4" s="2" t="n">
        <v>46174</v>
      </c>
      <c r="E4" s="2" t="n">
        <v>46203</v>
      </c>
      <c r="F4" t="inlineStr">
        <is>
          <t>12:00</t>
        </is>
      </c>
      <c r="G4" t="inlineStr">
        <is>
          <t>Request for Bid(Open-Tender)</t>
        </is>
      </c>
      <c r="H4" t="inlineStr">
        <is>
          <t>APPOINTMENT OF A SERVICE PROVIDER FOR THE DEVELOPMENT AND IMPLEMENTATION OF RURAL ROADS MANAGEMENT SYSTEM (RRAMS) FOR BOJANALA PLATINUM DISTRICT MUNICIPALITY FOR A PERIOD OF THREE (3) YEARS</t>
        </is>
      </c>
      <c r="I4" t="inlineStr">
        <is>
          <t>ETENDERS.GOV.ZA</t>
        </is>
      </c>
      <c r="J4" t="inlineStr">
        <is>
          <t>Bojanala District Municipality</t>
        </is>
      </c>
      <c r="K4" t="inlineStr">
        <is>
          <t>North West</t>
        </is>
      </c>
      <c r="L4" t="inlineStr">
        <is>
          <t>No</t>
        </is>
      </c>
      <c r="M4" t="inlineStr">
        <is>
          <t>Civil engineering</t>
        </is>
      </c>
      <c r="N4" t="inlineStr">
        <is>
          <t>No</t>
        </is>
      </c>
      <c r="O4" t="inlineStr">
        <is>
          <t>No</t>
        </is>
      </c>
      <c r="P4" t="inlineStr">
        <is>
          <t>N/A</t>
        </is>
      </c>
      <c r="Q4" s="3" t="inlineStr">
        <is>
          <t>https://www.etenders.gov.za/home/Download/?blobName=314c9c9d-4b51-4da7-a657-6290e49cd255.pdf&amp;downloadedFileName=TENDER%20ADVERT%20DRAFT%2031%20may.pdf</t>
        </is>
      </c>
      <c r="R4" t="inlineStr"/>
      <c r="S4" t="inlineStr"/>
      <c r="T4" t="inlineStr"/>
      <c r="U4" t="inlineStr"/>
      <c r="V4" t="inlineStr"/>
    </row>
    <row r="5">
      <c r="A5" s="2" t="n">
        <v>46174</v>
      </c>
      <c r="B5" t="n">
        <v>246</v>
      </c>
      <c r="C5" t="inlineStr">
        <is>
          <t>BPDM/SCM/HES/SUPPLY/PPE/T/23/2025/26 RE-ADVERT</t>
        </is>
      </c>
      <c r="D5" s="2" t="n">
        <v>46174</v>
      </c>
      <c r="E5" s="2" t="n">
        <v>46190</v>
      </c>
      <c r="F5" t="inlineStr">
        <is>
          <t>12:00</t>
        </is>
      </c>
      <c r="G5" t="inlineStr">
        <is>
          <t>Request for Bid(Open-Tender)</t>
        </is>
      </c>
      <c r="H5" t="inlineStr">
        <is>
          <t>APPOINTMENT OF A SERVICE PROVIDER FOR THE SUPPLY AND DELIVERY OF UNIFORM AND PPE FOR HEALTH AND ENVIRONMENTAL SERVICES OFFICIALS</t>
        </is>
      </c>
      <c r="I5" t="inlineStr">
        <is>
          <t>ETENDERS.GOV.ZA</t>
        </is>
      </c>
      <c r="J5" t="inlineStr">
        <is>
          <t>Bojanala District Municipality</t>
        </is>
      </c>
      <c r="K5" t="inlineStr">
        <is>
          <t>North West</t>
        </is>
      </c>
      <c r="L5" t="inlineStr">
        <is>
          <t>No</t>
        </is>
      </c>
      <c r="M5" t="inlineStr">
        <is>
          <t>Supplies: Clothing/Textiles/Footwear</t>
        </is>
      </c>
      <c r="N5" t="inlineStr">
        <is>
          <t>No</t>
        </is>
      </c>
      <c r="O5" t="inlineStr">
        <is>
          <t>No</t>
        </is>
      </c>
      <c r="P5" t="inlineStr">
        <is>
          <t>Bojanala District Municipality, CNR BEYERS NAUDE &amp; FATIMA BHAYAT Street Rustenburg</t>
        </is>
      </c>
      <c r="Q5" s="3" t="inlineStr">
        <is>
          <t>https://www.etenders.gov.za/home/Download/?blobName=8363b701-ceb8-4bb1-8dea-40f46e9f0d67.pdf&amp;downloadedFileName=TENDER%20ADVERT%20DRAFT%2031%20may.pdf</t>
        </is>
      </c>
      <c r="R5" t="inlineStr"/>
      <c r="S5" t="inlineStr"/>
      <c r="T5" t="inlineStr"/>
      <c r="U5" t="inlineStr"/>
      <c r="V5" t="inlineStr"/>
    </row>
    <row r="6">
      <c r="A6" s="2" t="n">
        <v>46174</v>
      </c>
      <c r="B6" t="n">
        <v>245</v>
      </c>
      <c r="C6" t="inlineStr">
        <is>
          <t>BPDM/SCM/CSS/REPROGRAPHIC/T/24/2025/26</t>
        </is>
      </c>
      <c r="D6" s="2" t="n">
        <v>46174</v>
      </c>
      <c r="E6" s="2" t="n">
        <v>46203</v>
      </c>
      <c r="F6" t="inlineStr">
        <is>
          <t>11:00</t>
        </is>
      </c>
      <c r="G6" t="inlineStr">
        <is>
          <t>Request for Bid(Open-Tender)</t>
        </is>
      </c>
      <c r="H6" t="inlineStr">
        <is>
          <t>APPOINTMENT OF A SERVICE PROVIDER FOR REPAIR AND MAINTENANCE OF BPDM EXISITNG REPROGRAPHIC EQUIPMENT IN THE MUNICIPALITY FOR A PERIOD OF THIRTY (36) MONTHS</t>
        </is>
      </c>
      <c r="I6" t="inlineStr">
        <is>
          <t>ETENDERS.GOV.ZA</t>
        </is>
      </c>
      <c r="J6" t="inlineStr">
        <is>
          <t>Bojanala District Municipality</t>
        </is>
      </c>
      <c r="K6" t="inlineStr">
        <is>
          <t>North West</t>
        </is>
      </c>
      <c r="L6" t="inlineStr">
        <is>
          <t>No</t>
        </is>
      </c>
      <c r="M6" t="inlineStr">
        <is>
          <t>Information and communication</t>
        </is>
      </c>
      <c r="N6" t="inlineStr">
        <is>
          <t>Yes</t>
        </is>
      </c>
      <c r="O6" t="inlineStr">
        <is>
          <t>Yes</t>
        </is>
      </c>
      <c r="P6" t="inlineStr">
        <is>
          <t>Bojanala District Municipality, CNR BEYERS NAUDE &amp; FATIMA BHAYAT Street Rustenburg</t>
        </is>
      </c>
      <c r="Q6" s="3" t="inlineStr">
        <is>
          <t>https://www.etenders.gov.za/home/Download/?blobName=1b759f79-f921-4c9b-b92d-89ee4d10d6f5.pdf&amp;downloadedFileName=TENDER%20ADVERT%20DRAFT%2031%20may.pdf</t>
        </is>
      </c>
      <c r="R6" t="inlineStr"/>
      <c r="S6" t="inlineStr"/>
      <c r="T6" t="inlineStr"/>
      <c r="U6" t="inlineStr"/>
      <c r="V6" t="inlineStr"/>
    </row>
    <row r="7">
      <c r="A7" s="2" t="n">
        <v>46174</v>
      </c>
      <c r="B7" t="n">
        <v>244</v>
      </c>
      <c r="C7" t="inlineStr">
        <is>
          <t>BPDM/SCM/WATER/CARRIERS/T/25/2025/2026</t>
        </is>
      </c>
      <c r="D7" s="2" t="n">
        <v>46174</v>
      </c>
      <c r="E7" s="2" t="n">
        <v>46191</v>
      </c>
      <c r="F7" t="inlineStr">
        <is>
          <t>12:00</t>
        </is>
      </c>
      <c r="G7" t="inlineStr">
        <is>
          <t>Request for Bid(Open-Tender)</t>
        </is>
      </c>
      <c r="H7" t="inlineStr">
        <is>
          <t>APPOINTMENT OF A SERVICE PROVIDER TO SUPPLY AND DELIVER ONE FIREWATER CARRIER</t>
        </is>
      </c>
      <c r="I7" t="inlineStr">
        <is>
          <t>ETENDERS.GOV.ZA</t>
        </is>
      </c>
      <c r="J7" t="inlineStr">
        <is>
          <t>Bojanala District Municipality</t>
        </is>
      </c>
      <c r="K7" t="inlineStr">
        <is>
          <t>North West</t>
        </is>
      </c>
      <c r="L7" t="inlineStr">
        <is>
          <t>No</t>
        </is>
      </c>
      <c r="M7" t="inlineStr">
        <is>
          <t>Manufacture of motor vehicles, trailers and semi-trailers</t>
        </is>
      </c>
      <c r="N7" t="inlineStr">
        <is>
          <t>Yes</t>
        </is>
      </c>
      <c r="O7" t="inlineStr">
        <is>
          <t>Yes</t>
        </is>
      </c>
      <c r="P7" t="inlineStr">
        <is>
          <t>Bojanala District Municipality, CNR BEYERS NAUDE &amp; FATIMA BHAYAT Street Rustenburg</t>
        </is>
      </c>
      <c r="Q7" s="3" t="inlineStr">
        <is>
          <t>https://www.etenders.gov.za/home/Download/?blobName=1c79fe73-5e68-40e4-b364-3a4831fffcaf.pdf&amp;downloadedFileName=TENDER%20DOCUMENT%20WATER%20CARRIER%20TRUCK%2018.06.2026.pdf</t>
        </is>
      </c>
      <c r="R7" t="inlineStr"/>
      <c r="S7" t="inlineStr"/>
      <c r="T7" t="inlineStr"/>
      <c r="U7" t="inlineStr"/>
      <c r="V7" t="inlineStr"/>
    </row>
    <row r="8">
      <c r="A8" s="2" t="n">
        <v>46174</v>
      </c>
      <c r="B8" t="n">
        <v>243</v>
      </c>
      <c r="C8" t="inlineStr">
        <is>
          <t>E2782GXMPLETR</t>
        </is>
      </c>
      <c r="D8" s="2" t="n">
        <v>46174</v>
      </c>
      <c r="E8" s="2" t="n">
        <v>46185</v>
      </c>
      <c r="F8" t="inlineStr">
        <is>
          <t>11:00</t>
        </is>
      </c>
      <c r="G8" t="inlineStr">
        <is>
          <t>Request for Bid(Open-Tender)</t>
        </is>
      </c>
      <c r="H8" t="inlineStr">
        <is>
          <t>Loading of SRO CIP Chemicals at Lethabo Power Station</t>
        </is>
      </c>
      <c r="I8" t="inlineStr">
        <is>
          <t>ETENDERS.GOV.ZA</t>
        </is>
      </c>
      <c r="J8" t="inlineStr">
        <is>
          <t>ESKOM</t>
        </is>
      </c>
      <c r="K8" t="inlineStr">
        <is>
          <t>Free State</t>
        </is>
      </c>
      <c r="L8" t="inlineStr">
        <is>
          <t>No</t>
        </is>
      </c>
      <c r="M8" t="inlineStr">
        <is>
          <t>Services: General</t>
        </is>
      </c>
      <c r="N8" t="inlineStr">
        <is>
          <t>Yes</t>
        </is>
      </c>
      <c r="O8" t="inlineStr">
        <is>
          <t>Yes</t>
        </is>
      </c>
      <c r="P8" t="inlineStr">
        <is>
          <t>MS TEAMS</t>
        </is>
      </c>
      <c r="Q8" s="3" t="inlineStr">
        <is>
          <t>https://www.etenders.gov.za/home/Download/?blobName=b7715b5d-8f3a-47b1-a594-10ecc0290cf3.pdf&amp;downloadedFileName=Eskom%20Standard%20Conditions%20of%20Tender.pdf</t>
        </is>
      </c>
      <c r="R8" t="inlineStr"/>
      <c r="S8" t="inlineStr"/>
      <c r="T8" t="inlineStr"/>
      <c r="U8" t="inlineStr"/>
      <c r="V8" t="inlineStr"/>
    </row>
    <row r="9">
      <c r="A9" s="2" t="n">
        <v>46174</v>
      </c>
      <c r="B9" t="n">
        <v>242</v>
      </c>
      <c r="C9" t="inlineStr">
        <is>
          <t>E2957NTCSAMWP</t>
        </is>
      </c>
      <c r="D9" s="2" t="n">
        <v>46174</v>
      </c>
      <c r="E9" s="2" t="n">
        <v>46209</v>
      </c>
      <c r="F9" t="inlineStr">
        <is>
          <t>10:00</t>
        </is>
      </c>
      <c r="G9" t="inlineStr">
        <is>
          <t>Request for Bid(Limited-Tender</t>
        </is>
      </c>
      <c r="H9" t="inlineStr">
        <is>
          <t>THE PROVISION OF THE SUPPLY, DELIVERY, INSTALLATION AND MAINTENANCE OF OFFICE FURNITURE AND CHAIRS ON AN AS AND WHEN REQUIRED BASIS TO NTCSA BUILDINGS NATIONWIDE FOR A PERIOD OF FIVE (05) YEARS</t>
        </is>
      </c>
      <c r="I9" t="inlineStr">
        <is>
          <t>ETENDERS.GOV.ZA</t>
        </is>
      </c>
      <c r="J9" t="inlineStr">
        <is>
          <t>ESKOM</t>
        </is>
      </c>
      <c r="K9" t="inlineStr">
        <is>
          <t>National</t>
        </is>
      </c>
      <c r="L9" t="inlineStr">
        <is>
          <t>No</t>
        </is>
      </c>
      <c r="M9" t="inlineStr">
        <is>
          <t>Real estate activities</t>
        </is>
      </c>
      <c r="N9" t="inlineStr">
        <is>
          <t>Yes</t>
        </is>
      </c>
      <c r="O9" t="inlineStr">
        <is>
          <t>No</t>
        </is>
      </c>
      <c r="P9" t="inlineStr">
        <is>
          <t>Refer to invitation to tender document - Link attached</t>
        </is>
      </c>
      <c r="Q9" s="3" t="inlineStr">
        <is>
          <t>https://www.etenders.gov.za/home/Download/?blobName=4788f7ce-c144-4e2e-9c20-fb409a532d9d.XLS&amp;downloadedFileName=202602~1.XLS</t>
        </is>
      </c>
      <c r="R9" t="inlineStr"/>
      <c r="S9" t="inlineStr"/>
      <c r="T9" t="inlineStr"/>
      <c r="U9" t="inlineStr"/>
      <c r="V9" t="inlineStr"/>
    </row>
    <row r="10">
      <c r="A10" s="2" t="n">
        <v>46174</v>
      </c>
      <c r="B10" t="n">
        <v>241</v>
      </c>
      <c r="C10" t="inlineStr">
        <is>
          <t>33 AM (26/27)</t>
        </is>
      </c>
      <c r="D10" s="2" t="n">
        <v>46174</v>
      </c>
      <c r="E10" s="2" t="n">
        <v>46178</v>
      </c>
      <c r="F10" t="inlineStr">
        <is>
          <t>11:00</t>
        </is>
      </c>
      <c r="G10" t="inlineStr">
        <is>
          <t>Request for Quotation</t>
        </is>
      </c>
      <c r="H10" t="inlineStr">
        <is>
          <t>33 AM (26/27) Request a quotation for a Motivational Speaker during the Departmental Learning Network for ASD, MMS, and Senior Managers</t>
        </is>
      </c>
      <c r="I10" t="inlineStr">
        <is>
          <t>ETENDERS.GOV.ZA</t>
        </is>
      </c>
      <c r="J10" t="inlineStr">
        <is>
          <t>National - Environment, Forestry and Fisheries</t>
        </is>
      </c>
      <c r="K10" t="inlineStr">
        <is>
          <t>National</t>
        </is>
      </c>
      <c r="L10" t="inlineStr">
        <is>
          <t>No</t>
        </is>
      </c>
      <c r="M10" t="inlineStr">
        <is>
          <t>Other personal service activities</t>
        </is>
      </c>
      <c r="N10" t="inlineStr">
        <is>
          <t>No</t>
        </is>
      </c>
      <c r="O10" t="inlineStr">
        <is>
          <t>No</t>
        </is>
      </c>
      <c r="P10" t="inlineStr">
        <is>
          <t>N/A</t>
        </is>
      </c>
      <c r="Q10" s="3" t="inlineStr">
        <is>
          <t>https://www.etenders.gov.za/home/Download/?blobName=7893d0a3-515c-4425-be01-75d7821607b5.pdf&amp;downloadedFileName=RFQ-%20Motivational%20Speaker.pdf</t>
        </is>
      </c>
      <c r="R10" t="inlineStr"/>
      <c r="S10" t="inlineStr"/>
      <c r="T10" t="inlineStr"/>
      <c r="U10" t="inlineStr"/>
      <c r="V10" t="inlineStr"/>
    </row>
    <row r="11">
      <c r="A11" s="2" t="n">
        <v>46174</v>
      </c>
      <c r="B11" t="n">
        <v>240</v>
      </c>
      <c r="C11" t="inlineStr">
        <is>
          <t>E2629GXMPMATR</t>
        </is>
      </c>
      <c r="D11" s="2" t="n">
        <v>46174</v>
      </c>
      <c r="E11" s="2" t="n">
        <v>46192</v>
      </c>
      <c r="F11" t="inlineStr">
        <is>
          <t>10:00</t>
        </is>
      </c>
      <c r="G11" t="inlineStr">
        <is>
          <t>Request for Bid(Open-Tender)</t>
        </is>
      </c>
      <c r="H11" t="inlineStr">
        <is>
          <t>Provision of Grounds Maintenance, Horticultural, Alien and Invasive Plants Removal and Control Services at Matla Power Station at Matla Power station and Kriel Town Eskom Offices and Flats for a period of 36 months.</t>
        </is>
      </c>
      <c r="I11" t="inlineStr">
        <is>
          <t>ETENDERS.GOV.ZA</t>
        </is>
      </c>
      <c r="J11" t="inlineStr">
        <is>
          <t>ESKOM</t>
        </is>
      </c>
      <c r="K11" t="inlineStr">
        <is>
          <t>Mpumalanga</t>
        </is>
      </c>
      <c r="L11" t="inlineStr">
        <is>
          <t>No</t>
        </is>
      </c>
      <c r="M11" t="inlineStr">
        <is>
          <t>Services to buildings and landscape activities</t>
        </is>
      </c>
      <c r="N11" t="inlineStr">
        <is>
          <t>Yes</t>
        </is>
      </c>
      <c r="O11" t="inlineStr">
        <is>
          <t>No</t>
        </is>
      </c>
      <c r="P11" t="inlineStr">
        <is>
          <t>Microsoft Teams</t>
        </is>
      </c>
      <c r="Q11" s="3" t="inlineStr">
        <is>
          <t>https://www.etenders.gov.za/home/Download/?blobName=f1fcd926-3111-472b-9155-ee2f09325f95.pdf&amp;downloadedFileName=Standard%20Bidding%20Document%20(SDB)%204_Annexure%20A.pdf</t>
        </is>
      </c>
      <c r="R11" t="inlineStr"/>
      <c r="S11" t="inlineStr"/>
      <c r="T11" t="inlineStr"/>
      <c r="U11" t="inlineStr"/>
      <c r="V11" t="inlineStr"/>
    </row>
    <row r="12">
      <c r="A12" s="2" t="n">
        <v>46174</v>
      </c>
      <c r="B12" t="n">
        <v>239</v>
      </c>
      <c r="C12" t="inlineStr">
        <is>
          <t>E2387GXMPKUSR</t>
        </is>
      </c>
      <c r="D12" s="2" t="n">
        <v>46174</v>
      </c>
      <c r="E12" s="2" t="n">
        <v>46184</v>
      </c>
      <c r="F12" t="inlineStr">
        <is>
          <t>10:00</t>
        </is>
      </c>
      <c r="G12" t="inlineStr">
        <is>
          <t>Request for Quotation</t>
        </is>
      </c>
      <c r="H12" t="inlineStr">
        <is>
          <t>For the Supply and Delivery of Ash dam rehabilitation topsoil at Duvha Power Station for a period of Thirty-Six (36) months</t>
        </is>
      </c>
      <c r="I12" t="inlineStr">
        <is>
          <t>ETENDERS.GOV.ZA</t>
        </is>
      </c>
      <c r="J12" t="inlineStr">
        <is>
          <t>ESKOM</t>
        </is>
      </c>
      <c r="K12" t="inlineStr">
        <is>
          <t>Mpumalanga</t>
        </is>
      </c>
      <c r="L12" t="inlineStr">
        <is>
          <t>No</t>
        </is>
      </c>
      <c r="M12" t="inlineStr">
        <is>
          <t>Supplies: General</t>
        </is>
      </c>
      <c r="N12" t="inlineStr">
        <is>
          <t>No</t>
        </is>
      </c>
      <c r="O12" t="inlineStr">
        <is>
          <t>No</t>
        </is>
      </c>
      <c r="P12" t="inlineStr">
        <is>
          <t>N/A</t>
        </is>
      </c>
      <c r="Q12" s="3" t="inlineStr">
        <is>
          <t>https://www.etenders.gov.za/home/Download/?blobName=c1bb2423-6d0f-4e5c-bd55-e0ba2e95ec24.zip&amp;downloadedFileName=Enquiry%20documents.zip</t>
        </is>
      </c>
      <c r="R12" t="inlineStr"/>
      <c r="S12" t="inlineStr"/>
      <c r="T12" t="inlineStr"/>
      <c r="U12" t="inlineStr"/>
      <c r="V12" t="inlineStr"/>
    </row>
    <row r="13">
      <c r="A13" s="2" t="n">
        <v>46174</v>
      </c>
      <c r="B13" t="n">
        <v>238</v>
      </c>
      <c r="C13" t="inlineStr">
        <is>
          <t>E3005NTCSAMWP</t>
        </is>
      </c>
      <c r="D13" s="2" t="n">
        <v>46174</v>
      </c>
      <c r="E13" s="2" t="n">
        <v>46220</v>
      </c>
      <c r="F13" t="inlineStr">
        <is>
          <t>10:00</t>
        </is>
      </c>
      <c r="G13" t="inlineStr">
        <is>
          <t>Request for Bid(Open-Tender)</t>
        </is>
      </c>
      <c r="H13" t="inlineStr">
        <is>
          <t>Design and construction of system operating control (SOC) building at Emkhiweni</t>
        </is>
      </c>
      <c r="I13" t="inlineStr">
        <is>
          <t>ETENDERS.GOV.ZA</t>
        </is>
      </c>
      <c r="J13" t="inlineStr">
        <is>
          <t>ESKOM</t>
        </is>
      </c>
      <c r="K13" t="inlineStr">
        <is>
          <t>Mpumalanga</t>
        </is>
      </c>
      <c r="L13" t="inlineStr">
        <is>
          <t>No</t>
        </is>
      </c>
      <c r="M13" t="inlineStr">
        <is>
          <t>Services: Professional</t>
        </is>
      </c>
      <c r="N13" t="inlineStr">
        <is>
          <t>Yes</t>
        </is>
      </c>
      <c r="O13" t="inlineStr">
        <is>
          <t>Yes</t>
        </is>
      </c>
      <c r="P13" t="inlineStr">
        <is>
          <t>Emkhiweni site – Rietfontein 314 JS, Portion 14, Mpumalanga</t>
        </is>
      </c>
      <c r="Q13" s="3" t="inlineStr">
        <is>
          <t>https://www.etenders.gov.za/home/Download/?blobName=c083868d-c459-4851-a4e0-fcb64fe2b237.zip&amp;downloadedFileName=Health%20&amp;%20Safety.zip</t>
        </is>
      </c>
      <c r="R13" t="inlineStr"/>
      <c r="S13" t="inlineStr"/>
      <c r="T13" t="inlineStr"/>
      <c r="U13" t="inlineStr"/>
      <c r="V13" t="inlineStr"/>
    </row>
    <row r="14">
      <c r="A14" s="2" t="n">
        <v>46174</v>
      </c>
      <c r="B14" t="n">
        <v>237</v>
      </c>
      <c r="C14" t="inlineStr">
        <is>
          <t>MWP2989DX AWARD</t>
        </is>
      </c>
      <c r="D14" s="2" t="n">
        <v>46174</v>
      </c>
      <c r="E14" s="2" t="n">
        <v>46203</v>
      </c>
      <c r="F14" t="inlineStr">
        <is>
          <t>11:00</t>
        </is>
      </c>
      <c r="G14" t="inlineStr">
        <is>
          <t>Request for Bid(Open-Tender)</t>
        </is>
      </c>
      <c r="H14" t="inlineStr">
        <is>
          <t>NOTIFICATION OF AWARD: MWP2989DX - Manufacture, supply and delivery of Phase Conductors Cables, Aerial Bundled Conductors with Bare or Neutral Supporting Conductors (ABC), Low Voltage (LV) Power &amp; Control Cables, Medium Voltage (MV) Cables and Concentric Cables on an “as and when required” basis for the Gauteng Cluster for a period of 3 years</t>
        </is>
      </c>
      <c r="I14" t="inlineStr">
        <is>
          <t>ETENDERS.GOV.ZA</t>
        </is>
      </c>
      <c r="J14" t="inlineStr">
        <is>
          <t>ESKOM</t>
        </is>
      </c>
      <c r="K14" t="inlineStr">
        <is>
          <t>Gauteng</t>
        </is>
      </c>
      <c r="L14" t="inlineStr">
        <is>
          <t>No</t>
        </is>
      </c>
      <c r="M14" t="inlineStr">
        <is>
          <t>Supplies: Electrical Equipment</t>
        </is>
      </c>
      <c r="N14" t="inlineStr">
        <is>
          <t>No</t>
        </is>
      </c>
      <c r="O14" t="inlineStr">
        <is>
          <t>No</t>
        </is>
      </c>
      <c r="P14" t="inlineStr">
        <is>
          <t>N/A</t>
        </is>
      </c>
      <c r="Q14" s="3" t="inlineStr">
        <is>
          <t>https://www.etenders.gov.za/home/Download/?blobName=38cadc0f-2407-44fc-a3dd-4747d8cda4ae.pdf&amp;downloadedFileName=Regret%20Letter%20Template%20for%20Unsuccessful%20Suppliers%20-%20MWP2989DX.pdf</t>
        </is>
      </c>
      <c r="R14" t="inlineStr"/>
      <c r="S14" t="inlineStr"/>
      <c r="T14" t="inlineStr"/>
      <c r="U14" t="inlineStr"/>
      <c r="V14" t="inlineStr"/>
    </row>
    <row r="15">
      <c r="A15" s="2" t="n">
        <v>46174</v>
      </c>
      <c r="B15" t="n">
        <v>236</v>
      </c>
      <c r="C15" t="inlineStr">
        <is>
          <t>PU8411/086</t>
        </is>
      </c>
      <c r="D15" s="2" t="n">
        <v>46174</v>
      </c>
      <c r="E15" s="2" t="n">
        <v>46196</v>
      </c>
      <c r="F15" t="inlineStr">
        <is>
          <t>11:00</t>
        </is>
      </c>
      <c r="G15" t="inlineStr">
        <is>
          <t>Request for Bid(Open-Tender)</t>
        </is>
      </c>
      <c r="H15" t="inlineStr">
        <is>
          <t>REQUEST POTENTIAL BIDDERS FOR PROPOSALS (RFP) FOR THE PROVISION OF INTERNAL AUDIT SERVICES FOR FIVE (5) YEARS CONTRACT PERIOD: FIVE (5) YEARS</t>
        </is>
      </c>
      <c r="I15" t="inlineStr">
        <is>
          <t>ETENDERS.GOV.ZA</t>
        </is>
      </c>
      <c r="J15" t="inlineStr">
        <is>
          <t>Nkangala TVET College</t>
        </is>
      </c>
      <c r="K15" t="inlineStr">
        <is>
          <t>Mpumalanga</t>
        </is>
      </c>
      <c r="L15" t="inlineStr">
        <is>
          <t>No</t>
        </is>
      </c>
      <c r="M15" t="inlineStr">
        <is>
          <t>Services: Professional</t>
        </is>
      </c>
      <c r="N15" t="inlineStr">
        <is>
          <t>Yes</t>
        </is>
      </c>
      <c r="O15" t="inlineStr">
        <is>
          <t>No</t>
        </is>
      </c>
      <c r="P15" t="inlineStr">
        <is>
          <t>online (PURCO SA website: www.purcosa.co.za ) to attend information session.</t>
        </is>
      </c>
      <c r="Q15" s="3" t="inlineStr">
        <is>
          <t>https://www.etenders.gov.za/home/Download/?blobName=7c2f9be4-2626-45ec-b422-bf6813ffe1a1.pdf&amp;downloadedFileName=FINAL%20DRAFT%20ADVERT.pdf</t>
        </is>
      </c>
      <c r="R15" t="inlineStr"/>
      <c r="S15" t="inlineStr"/>
      <c r="T15" t="inlineStr"/>
      <c r="U15" t="inlineStr"/>
      <c r="V15" t="inlineStr"/>
    </row>
    <row r="16">
      <c r="A16" s="2" t="n">
        <v>46174</v>
      </c>
      <c r="B16" t="n">
        <v>235</v>
      </c>
      <c r="C16" t="inlineStr">
        <is>
          <t>E2406GXMPMAJR1</t>
        </is>
      </c>
      <c r="D16" s="2" t="n">
        <v>46174</v>
      </c>
      <c r="E16" s="2" t="n">
        <v>46196</v>
      </c>
      <c r="F16" t="inlineStr">
        <is>
          <t>10:00</t>
        </is>
      </c>
      <c r="G16" t="inlineStr">
        <is>
          <t>Request for Bid(Open-Tender)</t>
        </is>
      </c>
      <c r="H16" t="inlineStr">
        <is>
          <t>Courier Services and Legionella analysis services REISSUE</t>
        </is>
      </c>
      <c r="I16" t="inlineStr">
        <is>
          <t>ETENDERS.GOV.ZA</t>
        </is>
      </c>
      <c r="J16" t="inlineStr">
        <is>
          <t>ESKOM</t>
        </is>
      </c>
      <c r="K16" t="inlineStr">
        <is>
          <t>Mpumalanga</t>
        </is>
      </c>
      <c r="L16" t="inlineStr">
        <is>
          <t>No</t>
        </is>
      </c>
      <c r="M16" t="inlineStr">
        <is>
          <t>Manufacture of chemicals and chemical products</t>
        </is>
      </c>
      <c r="N16" t="inlineStr">
        <is>
          <t>No</t>
        </is>
      </c>
      <c r="O16" t="inlineStr">
        <is>
          <t>No</t>
        </is>
      </c>
      <c r="P16" t="inlineStr">
        <is>
          <t>N/A</t>
        </is>
      </c>
      <c r="Q16" s="3" t="inlineStr">
        <is>
          <t>https://www.etenders.gov.za/home/Download/?blobName=67aa67c2-8cef-49a0-a7c9-6586e27ee325.xlsx&amp;downloadedFileName=240-70044602%20Occupational%20Health%20and%20Safety%20Risk%20Assessment%20Template%20(3).xlsx</t>
        </is>
      </c>
      <c r="R16" t="inlineStr"/>
      <c r="S16" t="inlineStr"/>
      <c r="T16" t="inlineStr"/>
      <c r="U16" t="inlineStr"/>
      <c r="V16" t="inlineStr"/>
    </row>
    <row r="17">
      <c r="A17" s="2" t="n">
        <v>46174</v>
      </c>
      <c r="B17" t="n">
        <v>234</v>
      </c>
      <c r="C17" t="inlineStr">
        <is>
          <t>E2997GXLPMAT</t>
        </is>
      </c>
      <c r="D17" s="2" t="n">
        <v>46174</v>
      </c>
      <c r="E17" s="2" t="n">
        <v>46203</v>
      </c>
      <c r="F17" t="inlineStr">
        <is>
          <t>10:00</t>
        </is>
      </c>
      <c r="G17" t="inlineStr">
        <is>
          <t>Request for Bid(Open-Tender)</t>
        </is>
      </c>
      <c r="H17" t="inlineStr">
        <is>
          <t>Supply and delivery of bolts and nuts on an as and when required basis at Matimba Power Station over a period of 60 months</t>
        </is>
      </c>
      <c r="I17" t="inlineStr">
        <is>
          <t>ETENDERS.GOV.ZA</t>
        </is>
      </c>
      <c r="J17" t="inlineStr">
        <is>
          <t>ESKOM</t>
        </is>
      </c>
      <c r="K17" t="inlineStr">
        <is>
          <t>Limpopo</t>
        </is>
      </c>
      <c r="L17" t="inlineStr">
        <is>
          <t>No</t>
        </is>
      </c>
      <c r="M17" t="inlineStr">
        <is>
          <t>Supplies: General</t>
        </is>
      </c>
      <c r="N17" t="inlineStr">
        <is>
          <t>Yes</t>
        </is>
      </c>
      <c r="O17" t="inlineStr">
        <is>
          <t>No</t>
        </is>
      </c>
      <c r="P17" t="inlineStr">
        <is>
          <t>MS Teams</t>
        </is>
      </c>
      <c r="Q17" s="3" t="inlineStr">
        <is>
          <t>https://www.etenders.gov.za/home/Download/?blobName=31c6dee1-f6cc-49bf-a63c-6bbea2528f51.docx&amp;downloadedFileName=Acknowledgement%20Form%20for%20Eskom%20SHE%20Rules%20and%20other%20Requirements.docx</t>
        </is>
      </c>
      <c r="R17" t="inlineStr"/>
      <c r="S17" t="inlineStr"/>
      <c r="T17" t="inlineStr"/>
      <c r="U17" t="inlineStr"/>
      <c r="V17" t="inlineStr"/>
    </row>
    <row r="18">
      <c r="A18" s="2" t="n">
        <v>46174</v>
      </c>
      <c r="B18" t="n">
        <v>233</v>
      </c>
      <c r="C18" t="inlineStr">
        <is>
          <t>ZNQP 15/05/2026</t>
        </is>
      </c>
      <c r="D18" s="2" t="n">
        <v>46174</v>
      </c>
      <c r="E18" s="2" t="n">
        <v>46181</v>
      </c>
      <c r="F18" t="inlineStr">
        <is>
          <t>11:00</t>
        </is>
      </c>
      <c r="G18" t="inlineStr">
        <is>
          <t>Request for Bid(Open-Tender)</t>
        </is>
      </c>
      <c r="H18" t="inlineStr">
        <is>
          <t>DEPARTMENT OF PUBLIC WORKS &amp; INFRASTRUCTURE ETHEKWINI DISTRICT:PROCUREMENT OF CLEANING SERVICES FOR PERIOD OF 12 MONTHS</t>
        </is>
      </c>
      <c r="I18" t="inlineStr">
        <is>
          <t>ETENDERS.GOV.ZA</t>
        </is>
      </c>
      <c r="J18" t="inlineStr">
        <is>
          <t>Kwazulu Natal - Public Works (Head Office)</t>
        </is>
      </c>
      <c r="K18" t="inlineStr">
        <is>
          <t>KwaZulu-Natal</t>
        </is>
      </c>
      <c r="L18" t="inlineStr">
        <is>
          <t>No</t>
        </is>
      </c>
      <c r="M18" t="inlineStr">
        <is>
          <t>Services: Functional (Including Cleaning and Security Services)</t>
        </is>
      </c>
      <c r="N18" t="inlineStr">
        <is>
          <t>No</t>
        </is>
      </c>
      <c r="O18" t="inlineStr">
        <is>
          <t>No</t>
        </is>
      </c>
      <c r="P18" t="inlineStr">
        <is>
          <t>N/A</t>
        </is>
      </c>
      <c r="Q18" s="3" t="inlineStr">
        <is>
          <t>https://www.etenders.gov.za/home/Download/?blobName=5c8cf513-5cfa-4ff3-b41c-1b87cc6e6cbf.pdf&amp;downloadedFileName=ZNQP%2015-05-2026%20CORRECT%20ONE%20WITH%20SPEFICATION.pdf</t>
        </is>
      </c>
      <c r="R18" t="inlineStr"/>
      <c r="S18" t="inlineStr"/>
      <c r="T18" t="inlineStr"/>
      <c r="U18" t="inlineStr"/>
      <c r="V18" t="inlineStr"/>
    </row>
    <row r="19">
      <c r="A19" s="2" t="n">
        <v>46174</v>
      </c>
      <c r="B19" t="n">
        <v>232</v>
      </c>
      <c r="C19" t="inlineStr">
        <is>
          <t>RFQ BB 34/2026</t>
        </is>
      </c>
      <c r="D19" s="2" t="n">
        <v>46174</v>
      </c>
      <c r="E19" s="2" t="n">
        <v>46192</v>
      </c>
      <c r="F19" t="inlineStr">
        <is>
          <t>11:00</t>
        </is>
      </c>
      <c r="G19" t="inlineStr">
        <is>
          <t>Request for Quotation</t>
        </is>
      </c>
      <c r="H19" t="inlineStr">
        <is>
          <t>THE APPOINTMENT OF A SERVICE PROVIDER FOR THE SUPPLY, DELIVERY AND INSTALLATION OF WALLPAPER BRANDING AT THE 4IR BUILDING, MOSSEL BAY CAMPUS, SOUTH CAPE TVET COLLEGE.</t>
        </is>
      </c>
      <c r="I19" t="inlineStr">
        <is>
          <t>ETENDERS.GOV.ZA</t>
        </is>
      </c>
      <c r="J19" t="inlineStr">
        <is>
          <t>South Cape TVET College</t>
        </is>
      </c>
      <c r="K19" t="inlineStr">
        <is>
          <t>Western Cape</t>
        </is>
      </c>
      <c r="L19" t="inlineStr">
        <is>
          <t>No</t>
        </is>
      </c>
      <c r="M19" t="inlineStr">
        <is>
          <t>Printing and reproduction of recorded media</t>
        </is>
      </c>
      <c r="N19" t="inlineStr">
        <is>
          <t>Yes</t>
        </is>
      </c>
      <c r="O19" t="inlineStr">
        <is>
          <t>Yes</t>
        </is>
      </c>
      <c r="P19" t="inlineStr">
        <is>
          <t>Kreupelhout Street Heiderand Mossel Bay 6511</t>
        </is>
      </c>
      <c r="Q19" s="3" t="inlineStr">
        <is>
          <t>https://www.etenders.gov.za/home/Download/?blobName=5e80e395-3a84-4091-ab48-495583b3d6cb.pdf&amp;downloadedFileName=RFQ%20BB%2034_2026.pdf</t>
        </is>
      </c>
      <c r="R19" t="inlineStr"/>
      <c r="S19" t="inlineStr"/>
      <c r="T19" t="inlineStr"/>
      <c r="U19" t="inlineStr"/>
      <c r="V19" t="inlineStr"/>
    </row>
    <row r="20">
      <c r="A20" s="2" t="n">
        <v>46174</v>
      </c>
      <c r="B20" t="n">
        <v>231</v>
      </c>
      <c r="C20" t="inlineStr">
        <is>
          <t>ZNTD 01/03/2026</t>
        </is>
      </c>
      <c r="D20" s="2" t="n">
        <v>46174</v>
      </c>
      <c r="E20" s="2" t="n">
        <v>46204</v>
      </c>
      <c r="F20" t="inlineStr">
        <is>
          <t>11:00</t>
        </is>
      </c>
      <c r="G20" t="inlineStr">
        <is>
          <t>Request for Bid(Open-Tender)</t>
        </is>
      </c>
      <c r="H20" t="inlineStr">
        <is>
          <t>Rendering of security services for Department of Public Works and Infrastructure: eThekwini Region at Amawele building for a period of thirty six (36)months.</t>
        </is>
      </c>
      <c r="I20" t="inlineStr">
        <is>
          <t>ETENDERS.GOV.ZA</t>
        </is>
      </c>
      <c r="J20" t="inlineStr">
        <is>
          <t>Kwazulu Natal - Public Works (Head Office)</t>
        </is>
      </c>
      <c r="K20" t="inlineStr">
        <is>
          <t>KwaZulu-Natal</t>
        </is>
      </c>
      <c r="L20" t="inlineStr">
        <is>
          <t>No</t>
        </is>
      </c>
      <c r="M20" t="inlineStr">
        <is>
          <t>Services: Functional (Including Cleaning and Security Services)</t>
        </is>
      </c>
      <c r="N20" t="inlineStr">
        <is>
          <t>Yes</t>
        </is>
      </c>
      <c r="O20" t="inlineStr">
        <is>
          <t>Yes</t>
        </is>
      </c>
      <c r="P20" t="inlineStr">
        <is>
          <t>Department of Public Works, Mayville (eThekwini Regional Office, Conference Centre)</t>
        </is>
      </c>
      <c r="Q20" s="3" t="inlineStr">
        <is>
          <t>https://www.etenders.gov.za/home/Download/?blobName=3486b4be-8d6e-4b9c-857a-68c6c6f2b07c.pdf&amp;downloadedFileName=BID%20DOCUMENT%20AMAWELE%2036%20MOMTHS%20ZNTD%2001-03-2026..pdf</t>
        </is>
      </c>
      <c r="R20" t="inlineStr"/>
      <c r="S20" t="inlineStr"/>
      <c r="T20" t="inlineStr"/>
      <c r="U20" t="inlineStr"/>
      <c r="V20" t="inlineStr"/>
    </row>
    <row r="21">
      <c r="A21" s="2" t="n">
        <v>46174</v>
      </c>
      <c r="B21" t="n">
        <v>230</v>
      </c>
      <c r="C21" t="inlineStr">
        <is>
          <t>ZNTD 03/02/2026</t>
        </is>
      </c>
      <c r="D21" s="2" t="n">
        <v>46174</v>
      </c>
      <c r="E21" s="2" t="n">
        <v>46204</v>
      </c>
      <c r="F21" t="inlineStr">
        <is>
          <t>11:00</t>
        </is>
      </c>
      <c r="G21" t="inlineStr">
        <is>
          <t>Request for Bid(Open-Tender)</t>
        </is>
      </c>
      <c r="H21" t="inlineStr">
        <is>
          <t>Rendering security services for Department of Public Works and Infrastructure: eThekwini Region for a period of thirty-six (36) months at eThekwini Regional Office.</t>
        </is>
      </c>
      <c r="I21" t="inlineStr">
        <is>
          <t>ETENDERS.GOV.ZA</t>
        </is>
      </c>
      <c r="J21" t="inlineStr">
        <is>
          <t>Kwazulu Natal - Public Works (Head Office)</t>
        </is>
      </c>
      <c r="K21" t="inlineStr">
        <is>
          <t>KwaZulu-Natal</t>
        </is>
      </c>
      <c r="L21" t="inlineStr">
        <is>
          <t>No</t>
        </is>
      </c>
      <c r="M21" t="inlineStr">
        <is>
          <t>Services: Functional (Including Cleaning and Security Services)</t>
        </is>
      </c>
      <c r="N21" t="inlineStr">
        <is>
          <t>Yes</t>
        </is>
      </c>
      <c r="O21" t="inlineStr">
        <is>
          <t>Yes</t>
        </is>
      </c>
      <c r="P21" t="inlineStr">
        <is>
          <t>Department of Public Works, Mayville (eThekwini Regional Office, Conference Centre)</t>
        </is>
      </c>
      <c r="Q21" s="3" t="inlineStr">
        <is>
          <t>https://www.etenders.gov.za/home/Download/?blobName=c1a4d6c8-9a09-41f8-a54c-1dd12651422a.pdf&amp;downloadedFileName=BID%20DOCUMENT%20FOR%20SECURITY%20SERVICES%20ZNTD%2003-02-2026%20ETHEKWINI%20REGIONAL%20OFFICE..pdf</t>
        </is>
      </c>
      <c r="R21" t="inlineStr"/>
      <c r="S21" t="inlineStr"/>
      <c r="T21" t="inlineStr"/>
      <c r="U21" t="inlineStr"/>
      <c r="V21" t="inlineStr"/>
    </row>
    <row r="22">
      <c r="A22" s="2" t="n">
        <v>46174</v>
      </c>
      <c r="B22" t="n">
        <v>229</v>
      </c>
      <c r="C22" t="inlineStr">
        <is>
          <t>ZNQSRO06-2026/2027</t>
        </is>
      </c>
      <c r="D22" s="2" t="n">
        <v>46174</v>
      </c>
      <c r="E22" s="2" t="n">
        <v>46181</v>
      </c>
      <c r="F22" t="inlineStr">
        <is>
          <t>11:00</t>
        </is>
      </c>
      <c r="G22" t="inlineStr">
        <is>
          <t>Request for Quotation</t>
        </is>
      </c>
      <c r="H22" t="inlineStr">
        <is>
          <t>Appointment of a service provider for the grass cutting services on State owned property for Southern Region, 66 Trelawney Road, Grange, Erf 1174, Pietermaritzburg</t>
        </is>
      </c>
      <c r="I22" t="inlineStr">
        <is>
          <t>ETENDERS.GOV.ZA</t>
        </is>
      </c>
      <c r="J22" t="inlineStr">
        <is>
          <t>Kwazulu Natal - Public Works (Head Office)</t>
        </is>
      </c>
      <c r="K22" t="inlineStr">
        <is>
          <t>KwaZulu-Natal</t>
        </is>
      </c>
      <c r="L22" t="inlineStr">
        <is>
          <t>No</t>
        </is>
      </c>
      <c r="M22" t="inlineStr">
        <is>
          <t>Services: General</t>
        </is>
      </c>
      <c r="N22" t="inlineStr">
        <is>
          <t>No</t>
        </is>
      </c>
      <c r="O22" t="inlineStr">
        <is>
          <t>No</t>
        </is>
      </c>
      <c r="P22" t="inlineStr">
        <is>
          <t>N/A</t>
        </is>
      </c>
      <c r="Q22" s="3" t="inlineStr">
        <is>
          <t>https://www.etenders.gov.za/home/Download/?blobName=8ea45769-68a5-4132-8884-1e18f3a893e9.pdf&amp;downloadedFileName=Advert%20%20ZNQSRO06%20%202026-2027%20%20Grass%20cutting%20%2066%20Trelawney%20rd,%20Grange.pdf</t>
        </is>
      </c>
      <c r="R22" t="inlineStr"/>
      <c r="S22" t="inlineStr"/>
      <c r="T22" t="inlineStr"/>
      <c r="U22" t="inlineStr"/>
      <c r="V22" t="inlineStr"/>
    </row>
    <row r="23">
      <c r="A23" s="2" t="n">
        <v>46174</v>
      </c>
      <c r="B23" t="n">
        <v>228</v>
      </c>
      <c r="C23" t="inlineStr">
        <is>
          <t>PU8110/072</t>
        </is>
      </c>
      <c r="D23" s="2" t="n">
        <v>46174</v>
      </c>
      <c r="E23" s="2" t="n">
        <v>46196</v>
      </c>
      <c r="F23" t="inlineStr">
        <is>
          <t>11:00</t>
        </is>
      </c>
      <c r="G23" t="inlineStr">
        <is>
          <t>Request for Bid(Open-Tender)</t>
        </is>
      </c>
      <c r="H23" t="inlineStr">
        <is>
          <t>REQUEST POTENTIAL BIDDERS FOR PROPOSALS (RFP) FOR THE APPOINTMENT OF A PRINCIPAL AGENT IN THE BUILT-ENVIRONMENT FOR A PERIOD OF FIVE (5) YEARS</t>
        </is>
      </c>
      <c r="I23" t="inlineStr">
        <is>
          <t>ETENDERS.GOV.ZA</t>
        </is>
      </c>
      <c r="J23" t="inlineStr">
        <is>
          <t>Nkangala TVET College</t>
        </is>
      </c>
      <c r="K23" t="inlineStr">
        <is>
          <t>Mpumalanga</t>
        </is>
      </c>
      <c r="L23" t="inlineStr">
        <is>
          <t>No</t>
        </is>
      </c>
      <c r="M23" t="inlineStr">
        <is>
          <t>Services: Professional</t>
        </is>
      </c>
      <c r="N23" t="inlineStr">
        <is>
          <t>Yes</t>
        </is>
      </c>
      <c r="O23" t="inlineStr">
        <is>
          <t>No</t>
        </is>
      </c>
      <c r="P23" t="inlineStr">
        <is>
          <t>online (PURCO SA website: www.purcosa.co.za ) to attend information session.</t>
        </is>
      </c>
      <c r="Q23" s="3" t="inlineStr">
        <is>
          <t>https://www.etenders.gov.za/home/Download/?blobName=58ea8ac4-0761-4c3f-8f3a-0f1acc608573.pdf&amp;downloadedFileName=FINAL%20DRAFT%20ADVERT.pdf</t>
        </is>
      </c>
      <c r="R23" t="inlineStr"/>
      <c r="S23" t="inlineStr"/>
      <c r="T23" t="inlineStr"/>
      <c r="U23" t="inlineStr"/>
      <c r="V23" t="inlineStr"/>
    </row>
    <row r="24">
      <c r="A24" s="2" t="n">
        <v>46174</v>
      </c>
      <c r="B24" t="n">
        <v>227</v>
      </c>
      <c r="C24" t="inlineStr">
        <is>
          <t>WTE1007CE</t>
        </is>
      </c>
      <c r="D24" s="2" t="n">
        <v>46174</v>
      </c>
      <c r="E24" s="2" t="n">
        <v>46188</v>
      </c>
      <c r="F24" t="inlineStr">
        <is>
          <t>11:00</t>
        </is>
      </c>
      <c r="G24" t="inlineStr">
        <is>
          <t>Request for Quotation</t>
        </is>
      </c>
      <c r="H24" t="inlineStr">
        <is>
          <t>SUPPLY AND DELIVERY OF G7 GRAVEL MATERIAL TO MZIMVUBU WATER PROJECT NEAR MACLEAR IN THE EASTERN CAPE PROVINCE.</t>
        </is>
      </c>
      <c r="I24" t="inlineStr">
        <is>
          <t>ETENDERS.GOV.ZA</t>
        </is>
      </c>
      <c r="J24" t="inlineStr">
        <is>
          <t>Water and Sanitation</t>
        </is>
      </c>
      <c r="K24" t="inlineStr">
        <is>
          <t>Eastern Cape</t>
        </is>
      </c>
      <c r="L24" t="inlineStr">
        <is>
          <t>No</t>
        </is>
      </c>
      <c r="M24" t="inlineStr">
        <is>
          <t>Construction</t>
        </is>
      </c>
      <c r="N24" t="inlineStr">
        <is>
          <t>Yes</t>
        </is>
      </c>
      <c r="O24" t="inlineStr">
        <is>
          <t>Yes</t>
        </is>
      </c>
      <c r="P24" t="inlineStr">
        <is>
          <t>Ntabelanga Dam – Access Road close to Maclear in Eastern Cape Province Co-ordinates: 31°07’19.2’’S,</t>
        </is>
      </c>
      <c r="Q24" s="3" t="inlineStr">
        <is>
          <t>https://www.etenders.gov.za/home/Download/?blobName=3b337dd6-6439-4f5a-bcd9-76bbb27f4e7d.pdf&amp;downloadedFileName=WTE1007CE.pdf</t>
        </is>
      </c>
      <c r="R24" t="inlineStr"/>
      <c r="S24" t="inlineStr"/>
      <c r="T24" t="inlineStr"/>
      <c r="U24" t="inlineStr"/>
      <c r="V24" t="inlineStr"/>
    </row>
    <row r="25">
      <c r="A25" s="2" t="n">
        <v>46174</v>
      </c>
      <c r="B25" t="n">
        <v>226</v>
      </c>
      <c r="C25" t="inlineStr">
        <is>
          <t>WTE1008CE</t>
        </is>
      </c>
      <c r="D25" s="2" t="n">
        <v>46174</v>
      </c>
      <c r="E25" s="2" t="n">
        <v>46188</v>
      </c>
      <c r="F25" t="inlineStr">
        <is>
          <t>11:00</t>
        </is>
      </c>
      <c r="G25" t="inlineStr">
        <is>
          <t>Request for Quotation</t>
        </is>
      </c>
      <c r="H25" t="inlineStr">
        <is>
          <t>SUPPLY AND DELIVERY OF LOCAL CONTENT 600MM DIAMETER CONCRETE STORMWATER PIPE CLASS 100D FOR MZIMVUBU WATER PROJECT – ACCESS ROAD NEAR MACLEAR IN EASTERN CAPE PROVINCE</t>
        </is>
      </c>
      <c r="I25" t="inlineStr">
        <is>
          <t>ETENDERS.GOV.ZA</t>
        </is>
      </c>
      <c r="J25" t="inlineStr">
        <is>
          <t>Water and Sanitation</t>
        </is>
      </c>
      <c r="K25" t="inlineStr">
        <is>
          <t>Eastern Cape</t>
        </is>
      </c>
      <c r="L25" t="inlineStr">
        <is>
          <t>No</t>
        </is>
      </c>
      <c r="M25" t="inlineStr">
        <is>
          <t>Construction of buildings</t>
        </is>
      </c>
      <c r="N25" t="inlineStr">
        <is>
          <t>Yes</t>
        </is>
      </c>
      <c r="O25" t="inlineStr">
        <is>
          <t>Yes</t>
        </is>
      </c>
      <c r="P25" t="inlineStr">
        <is>
          <t>Ntabelanga Dam – Access Road close to Maclear in Eastern Cape Province Co-ordinates: 31°07’19.2’’S,</t>
        </is>
      </c>
      <c r="Q25" s="3" t="inlineStr">
        <is>
          <t>https://www.etenders.gov.za/home/Download/?blobName=ea3b8e7c-d84a-4d26-a097-dc450088fbc2.pdf&amp;downloadedFileName=WTE1008CE.pdf</t>
        </is>
      </c>
      <c r="R25" t="inlineStr"/>
      <c r="S25" t="inlineStr"/>
      <c r="T25" t="inlineStr"/>
      <c r="U25" t="inlineStr"/>
      <c r="V25" t="inlineStr"/>
    </row>
    <row r="26">
      <c r="A26" s="2" t="n">
        <v>46174</v>
      </c>
      <c r="B26" t="n">
        <v>225</v>
      </c>
      <c r="C26" t="inlineStr">
        <is>
          <t>WTE1002CE</t>
        </is>
      </c>
      <c r="D26" s="2" t="n">
        <v>46174</v>
      </c>
      <c r="E26" s="2" t="n">
        <v>46188</v>
      </c>
      <c r="F26" t="inlineStr">
        <is>
          <t>11:00</t>
        </is>
      </c>
      <c r="G26" t="inlineStr">
        <is>
          <t>Request for Quotation</t>
        </is>
      </c>
      <c r="H26" t="inlineStr">
        <is>
          <t>SUPPLY AND DELIVERY OF 50KG (CEMII/A-L42.5N) LOCAL CONTENT CEMENT BAGS TO MZIMVUBU WATER PROJECT – ACCESS ROAD NEAR MACLEAR IN THE EASTERN CAPE PROVINCE.</t>
        </is>
      </c>
      <c r="I26" t="inlineStr">
        <is>
          <t>ETENDERS.GOV.ZA</t>
        </is>
      </c>
      <c r="J26" t="inlineStr">
        <is>
          <t>Water and Sanitation</t>
        </is>
      </c>
      <c r="K26" t="inlineStr">
        <is>
          <t>Eastern Cape</t>
        </is>
      </c>
      <c r="L26" t="inlineStr">
        <is>
          <t>No</t>
        </is>
      </c>
      <c r="M26" t="inlineStr">
        <is>
          <t>Construction</t>
        </is>
      </c>
      <c r="N26" t="inlineStr">
        <is>
          <t>Yes</t>
        </is>
      </c>
      <c r="O26" t="inlineStr">
        <is>
          <t>Yes</t>
        </is>
      </c>
      <c r="P26" t="inlineStr">
        <is>
          <t>Ntabelanga Dam – Access Road close to Maclear in Eastern Cape Province Co-ordinates: 31°07’19.2’’S,</t>
        </is>
      </c>
      <c r="Q26" s="3" t="inlineStr">
        <is>
          <t>https://www.etenders.gov.za/home/Download/?blobName=3391ba27-97bf-4be7-a31e-dad983a02797.pdf&amp;downloadedFileName=WTE1002CE.pdf</t>
        </is>
      </c>
      <c r="R26" t="inlineStr"/>
      <c r="S26" t="inlineStr"/>
      <c r="T26" t="inlineStr"/>
      <c r="U26" t="inlineStr"/>
      <c r="V26" t="inlineStr"/>
    </row>
    <row r="27">
      <c r="A27" s="2" t="n">
        <v>46174</v>
      </c>
      <c r="B27" t="n">
        <v>224</v>
      </c>
      <c r="C27" t="inlineStr">
        <is>
          <t>WTE1003CE</t>
        </is>
      </c>
      <c r="D27" s="2" t="n">
        <v>46174</v>
      </c>
      <c r="E27" s="2" t="n">
        <v>46190</v>
      </c>
      <c r="F27" t="inlineStr">
        <is>
          <t>11:00</t>
        </is>
      </c>
      <c r="G27" t="inlineStr">
        <is>
          <t>Request for Quotation</t>
        </is>
      </c>
      <c r="H27" t="inlineStr">
        <is>
          <t>SUPPLY, DELIVER AND SERVICE 6-FLUSHABLE CHEMICAL TOILETS IN MIDMAR ACCESS ROADS PROJECT FOR 7 MONTHS IN MIDMAR DAM NEAR HOWICK TOWN, KWAZULU NATAL PROVINCE.</t>
        </is>
      </c>
      <c r="I27" t="inlineStr">
        <is>
          <t>ETENDERS.GOV.ZA</t>
        </is>
      </c>
      <c r="J27" t="inlineStr">
        <is>
          <t>Water and Sanitation</t>
        </is>
      </c>
      <c r="K27" t="inlineStr">
        <is>
          <t>KwaZulu-Natal</t>
        </is>
      </c>
      <c r="L27" t="inlineStr">
        <is>
          <t>No</t>
        </is>
      </c>
      <c r="M27" t="inlineStr">
        <is>
          <t>Construction</t>
        </is>
      </c>
      <c r="N27" t="inlineStr">
        <is>
          <t>Yes</t>
        </is>
      </c>
      <c r="O27" t="inlineStr">
        <is>
          <t>Yes</t>
        </is>
      </c>
      <c r="P27" t="inlineStr">
        <is>
          <t>Midmar dam near Howick</t>
        </is>
      </c>
      <c r="Q27" s="3" t="inlineStr">
        <is>
          <t>https://www.etenders.gov.za/home/Download/?blobName=1e048f78-9574-42bc-9b04-6d0253db8ceb.pdf&amp;downloadedFileName=Chemical%20toilets%20midmar.pdf</t>
        </is>
      </c>
      <c r="R27" t="inlineStr"/>
      <c r="S27" t="inlineStr"/>
      <c r="T27" t="inlineStr"/>
      <c r="U27" t="inlineStr"/>
      <c r="V27" t="inlineStr"/>
    </row>
    <row r="28">
      <c r="A28" s="2" t="n">
        <v>46174</v>
      </c>
      <c r="B28" t="n">
        <v>223</v>
      </c>
      <c r="C28" t="inlineStr">
        <is>
          <t>IZIKO-RFQ-CSM- 04/2026/R</t>
        </is>
      </c>
      <c r="D28" s="2" t="n">
        <v>46174</v>
      </c>
      <c r="E28" s="2" t="n">
        <v>46196</v>
      </c>
      <c r="F28" t="inlineStr">
        <is>
          <t>11:00</t>
        </is>
      </c>
      <c r="G28" t="inlineStr">
        <is>
          <t>Request for Quotation</t>
        </is>
      </c>
      <c r="H28" t="inlineStr">
        <is>
          <t>REQUEST FOR QUOTATION (RFQ) FOR APPOINTMENT OF A SERVICE PROVIDER FOR THE PROVISION OF AD-HOC EMPLOYEEE TRANSPORT SERVICES FOR IZIKO MUSEUMS OF SOUTH AFRICA’S STAFF MEMBERS RESIDING AT VARIOUS LOCATIONS FOR A PERIOD OF 1 YEAR (12 MONTHS)</t>
        </is>
      </c>
      <c r="I28" t="inlineStr">
        <is>
          <t>ETENDERS.GOV.ZA</t>
        </is>
      </c>
      <c r="J28" t="inlineStr">
        <is>
          <t>Iziko Museums of Cape Town</t>
        </is>
      </c>
      <c r="K28" t="inlineStr">
        <is>
          <t>Western Cape</t>
        </is>
      </c>
      <c r="L28" t="inlineStr">
        <is>
          <t>No</t>
        </is>
      </c>
      <c r="M28" t="inlineStr">
        <is>
          <t>Travel agency, tour operator, reservation service and related activities</t>
        </is>
      </c>
      <c r="N28" t="inlineStr">
        <is>
          <t>No</t>
        </is>
      </c>
      <c r="O28" t="inlineStr">
        <is>
          <t>No</t>
        </is>
      </c>
      <c r="P28" t="inlineStr">
        <is>
          <t>N/A</t>
        </is>
      </c>
      <c r="Q28" s="3" t="inlineStr">
        <is>
          <t>https://www.etenders.gov.za/home/Download/?blobName=5846f36a-3105-4ad6-892e-b0ac5f7f1aab.pdf&amp;downloadedFileName=RFQ%20Staff%20Transport%20R.pdf</t>
        </is>
      </c>
      <c r="R28" t="inlineStr"/>
      <c r="S28" t="inlineStr"/>
      <c r="T28" t="inlineStr"/>
      <c r="U28" t="inlineStr"/>
      <c r="V28" t="inlineStr"/>
    </row>
    <row r="29">
      <c r="A29" s="2" t="n">
        <v>46174</v>
      </c>
      <c r="B29" t="n">
        <v>222</v>
      </c>
      <c r="C29" t="inlineStr">
        <is>
          <t>IHLM/199/2025-26/FLEET</t>
        </is>
      </c>
      <c r="D29" s="2" t="n">
        <v>46174</v>
      </c>
      <c r="E29" s="2" t="n">
        <v>46191</v>
      </c>
      <c r="F29" t="inlineStr">
        <is>
          <t>12:00</t>
        </is>
      </c>
      <c r="G29" t="inlineStr">
        <is>
          <t>Request for Bid(Open-Tender)</t>
        </is>
      </c>
      <c r="H29" t="inlineStr">
        <is>
          <t>SUPPLY AND DELIVERY OF ONE EXTENDED CAB BAKKIE</t>
        </is>
      </c>
      <c r="I29" t="inlineStr">
        <is>
          <t>ETENDERS.GOV.ZA</t>
        </is>
      </c>
      <c r="J29" t="inlineStr">
        <is>
          <t>Ingquza Hill Local Municipality</t>
        </is>
      </c>
      <c r="K29" t="inlineStr">
        <is>
          <t>Eastern Cape</t>
        </is>
      </c>
      <c r="L29" t="inlineStr">
        <is>
          <t>No</t>
        </is>
      </c>
      <c r="M29" t="inlineStr">
        <is>
          <t>Services: General</t>
        </is>
      </c>
      <c r="N29" t="inlineStr">
        <is>
          <t>No</t>
        </is>
      </c>
      <c r="O29" t="inlineStr">
        <is>
          <t>No</t>
        </is>
      </c>
      <c r="P29" t="inlineStr">
        <is>
          <t>N/A</t>
        </is>
      </c>
      <c r="Q29" s="3" t="inlineStr">
        <is>
          <t>https://www.etenders.gov.za/home/Download/?blobName=57cf7e0f-31b4-496e-8e9d-36af8167a49b.pdf&amp;downloadedFileName=BID%20DOCUMENT%20FOR%20SUPPLY%20AND%20DELIVERY%20OF%20ONE%20EXTENDED%20CAB%20BAKKIE.pdf</t>
        </is>
      </c>
      <c r="R29" t="inlineStr"/>
      <c r="S29" t="inlineStr"/>
      <c r="T29" t="inlineStr"/>
      <c r="U29" t="inlineStr"/>
      <c r="V29" t="inlineStr"/>
    </row>
    <row r="30">
      <c r="A30" s="2" t="n">
        <v>46174</v>
      </c>
      <c r="B30" t="n">
        <v>221</v>
      </c>
      <c r="C30" t="inlineStr">
        <is>
          <t>ITB/01/06/2026</t>
        </is>
      </c>
      <c r="D30" s="2" t="n">
        <v>46174</v>
      </c>
      <c r="E30" s="2" t="n">
        <v>46178</v>
      </c>
      <c r="F30" t="inlineStr">
        <is>
          <t>12:00</t>
        </is>
      </c>
      <c r="G30" t="inlineStr">
        <is>
          <t>Request for Quotation</t>
        </is>
      </c>
      <c r="H30" t="inlineStr">
        <is>
          <t>APPOINTMENT OF A SERVICE PROVIDER TO UNDERTAKE A DISTRICT SITUATIONAL ANALYSIS FOR THE INGONYAMA TRUST (IT) INVESTMENT SUMMIT</t>
        </is>
      </c>
      <c r="I30" t="inlineStr">
        <is>
          <t>ETENDERS.GOV.ZA</t>
        </is>
      </c>
      <c r="J30" t="inlineStr">
        <is>
          <t>Ingonyama Trust Board</t>
        </is>
      </c>
      <c r="K30" t="inlineStr">
        <is>
          <t>KwaZulu-Natal</t>
        </is>
      </c>
      <c r="L30" t="inlineStr">
        <is>
          <t>No</t>
        </is>
      </c>
      <c r="M30" t="inlineStr">
        <is>
          <t>Activities of head offices; management consultancy activities</t>
        </is>
      </c>
      <c r="N30" t="inlineStr">
        <is>
          <t>No</t>
        </is>
      </c>
      <c r="O30" t="inlineStr">
        <is>
          <t>No</t>
        </is>
      </c>
      <c r="P30" t="inlineStr">
        <is>
          <t>N/A</t>
        </is>
      </c>
      <c r="Q30" s="3" t="inlineStr">
        <is>
          <t>https://www.etenders.gov.za/home/Download/?blobName=bfae2c16-f7b7-4104-a42c-f71d4bc4f0e7.pdf&amp;downloadedFileName=RFQ-APPOINTMENT%20OF%20A%20SERVICE%20PROVIDER%20TO%20UNDERTAKE%20A%20DISTRICT%20SITUATIONAL%20ANALYSIS%20FOR%20THE%20INGONYAMA%20TRUST%20(IT)%20INVESTMENT%20SUMMIT.pdf</t>
        </is>
      </c>
      <c r="R30" t="inlineStr"/>
      <c r="S30" t="inlineStr"/>
      <c r="T30" t="inlineStr"/>
      <c r="U30" t="inlineStr"/>
      <c r="V30" t="inlineStr"/>
    </row>
    <row r="31">
      <c r="A31" s="2" t="n">
        <v>46174</v>
      </c>
      <c r="B31" t="n">
        <v>220</v>
      </c>
      <c r="C31" t="inlineStr">
        <is>
          <t>74135</t>
        </is>
      </c>
      <c r="D31" s="2" t="n">
        <v>46174</v>
      </c>
      <c r="E31" s="2" t="n">
        <v>46195</v>
      </c>
      <c r="F31" t="inlineStr">
        <is>
          <t>14:00</t>
        </is>
      </c>
      <c r="G31" t="inlineStr">
        <is>
          <t>Request for Quotation</t>
        </is>
      </c>
      <c r="H31" t="inlineStr">
        <is>
          <t>REQUEST QUOTATION FOR THE APPOINTMENT OF A PROFESSIONAL SERVICE PROVIDER TO UNDERTAKE THE DESIGN AND DEVELOPMENT OF STAGES 1–6 FOR AIR HANDLING UNITS (AHU) AND FAN COIL UNITS (FCU) FOR A PERIOD NOT EXCEEDING THIRTY-SIX (36) MONTHS AT CAPETOWN INTERNATIONAL AIRPORT</t>
        </is>
      </c>
      <c r="I31" t="inlineStr">
        <is>
          <t>ETENDERS.GOV.ZA</t>
        </is>
      </c>
      <c r="J31" t="inlineStr">
        <is>
          <t>Airports Company of South Africa</t>
        </is>
      </c>
      <c r="K31" t="inlineStr">
        <is>
          <t>Western Cape</t>
        </is>
      </c>
      <c r="L31" t="inlineStr">
        <is>
          <t>No</t>
        </is>
      </c>
      <c r="M31" t="inlineStr">
        <is>
          <t>Services: Professional</t>
        </is>
      </c>
      <c r="N31" t="inlineStr">
        <is>
          <t>No</t>
        </is>
      </c>
      <c r="O31" t="inlineStr">
        <is>
          <t>No</t>
        </is>
      </c>
      <c r="P31" t="inlineStr">
        <is>
          <t>N/A</t>
        </is>
      </c>
      <c r="Q31" s="3" t="inlineStr">
        <is>
          <t>https://www.etenders.gov.za/home/Download/?blobName=8b693bf7-9d2e-40f4-8ec4-6d0382e4c4de.pdf&amp;downloadedFileName=NEC%20CONTRACT%20_AIR%20HANDLING%20UNITS%20UPGRADES%2074156.pdf</t>
        </is>
      </c>
      <c r="R31" t="inlineStr"/>
      <c r="S31" t="inlineStr"/>
      <c r="T31" t="inlineStr"/>
      <c r="U31" t="inlineStr"/>
      <c r="V31" t="inlineStr"/>
    </row>
    <row r="32">
      <c r="A32" s="2" t="n">
        <v>46174</v>
      </c>
      <c r="B32" t="n">
        <v>219</v>
      </c>
      <c r="C32" t="inlineStr">
        <is>
          <t>IZIKO-RFQ-R&amp;E- 06/2026</t>
        </is>
      </c>
      <c r="D32" s="2" t="n">
        <v>46174</v>
      </c>
      <c r="E32" s="2" t="n">
        <v>46181</v>
      </c>
      <c r="F32" t="inlineStr">
        <is>
          <t>11:00</t>
        </is>
      </c>
      <c r="G32" t="inlineStr">
        <is>
          <t>Request for Quotation</t>
        </is>
      </c>
      <c r="H32" t="inlineStr">
        <is>
          <t>REQUEST FOR QUOTATION (RFQ) FOR APPOINTMENT OF THE SERVICE PROVIDER TO PROVIDE CONSERVATOR SERVICES AT IZIKO MUSEUMS OF SOUTH AFRICA SITES FOR A PERIOD OF TEN (10) MONTHS</t>
        </is>
      </c>
      <c r="I32" t="inlineStr">
        <is>
          <t>ETENDERS.GOV.ZA</t>
        </is>
      </c>
      <c r="J32" t="inlineStr">
        <is>
          <t>Iziko Museums of Cape Town</t>
        </is>
      </c>
      <c r="K32" t="inlineStr">
        <is>
          <t>Western Cape</t>
        </is>
      </c>
      <c r="L32" t="inlineStr">
        <is>
          <t>No</t>
        </is>
      </c>
      <c r="M32" t="inlineStr">
        <is>
          <t>Arts, entertainment and recreation</t>
        </is>
      </c>
      <c r="N32" t="inlineStr">
        <is>
          <t>No</t>
        </is>
      </c>
      <c r="O32" t="inlineStr">
        <is>
          <t>No</t>
        </is>
      </c>
      <c r="P32" t="inlineStr">
        <is>
          <t>N/A</t>
        </is>
      </c>
      <c r="Q32" s="3" t="inlineStr">
        <is>
          <t>https://www.etenders.gov.za/home/Download/?blobName=54431fba-9b51-4751-a2b5-7b23c58f1705.pdf&amp;downloadedFileName=IZIKO-RFQ-R&amp;E%20Conservator.pdf</t>
        </is>
      </c>
      <c r="R32" t="inlineStr"/>
      <c r="S32" t="inlineStr"/>
      <c r="T32" t="inlineStr"/>
      <c r="U32" t="inlineStr"/>
      <c r="V32" t="inlineStr"/>
    </row>
    <row r="33">
      <c r="A33" s="2" t="n">
        <v>46174</v>
      </c>
      <c r="B33" t="n">
        <v>218</v>
      </c>
      <c r="C33" t="inlineStr">
        <is>
          <t>SCM NO: 016/2025/26</t>
        </is>
      </c>
      <c r="D33" s="2" t="n">
        <v>46174</v>
      </c>
      <c r="E33" s="2" t="n">
        <v>46211</v>
      </c>
      <c r="F33" t="inlineStr">
        <is>
          <t>12:00</t>
        </is>
      </c>
      <c r="G33" t="inlineStr">
        <is>
          <t>Request for Bid(Open-Tender)</t>
        </is>
      </c>
      <c r="H33" t="inlineStr">
        <is>
          <t>Supply and delivery of electrical toolboxes and electrical testing equipment for a period two (02) years. (Re-advert)</t>
        </is>
      </c>
      <c r="I33" t="inlineStr">
        <is>
          <t>ETENDERS.GOV.ZA</t>
        </is>
      </c>
      <c r="J33" t="inlineStr">
        <is>
          <t>King Sabata Dalindyebo Local Municipality</t>
        </is>
      </c>
      <c r="K33" t="inlineStr">
        <is>
          <t>Eastern Cape</t>
        </is>
      </c>
      <c r="L33" t="inlineStr">
        <is>
          <t>No</t>
        </is>
      </c>
      <c r="M33" t="inlineStr">
        <is>
          <t>Other service activities</t>
        </is>
      </c>
      <c r="N33" t="inlineStr">
        <is>
          <t>No</t>
        </is>
      </c>
      <c r="O33" t="inlineStr">
        <is>
          <t>No</t>
        </is>
      </c>
      <c r="P33" t="inlineStr">
        <is>
          <t>N/A</t>
        </is>
      </c>
      <c r="Q33" s="3" t="inlineStr">
        <is>
          <t>https://www.etenders.gov.za/home/Download/?blobName=39f607e9-f6dc-44e9-af11-e5079b44d08b.pdf&amp;downloadedFileName=ADVERT%20FOR%20JUNE.pdf</t>
        </is>
      </c>
      <c r="R33" t="inlineStr"/>
      <c r="S33" t="inlineStr"/>
      <c r="T33" t="inlineStr"/>
      <c r="U33" t="inlineStr"/>
      <c r="V33" t="inlineStr"/>
    </row>
    <row r="34">
      <c r="A34" s="2" t="n">
        <v>46174</v>
      </c>
      <c r="B34" t="n">
        <v>217</v>
      </c>
      <c r="C34" t="inlineStr">
        <is>
          <t>SCM NO: 013-2025/26</t>
        </is>
      </c>
      <c r="D34" s="2" t="n">
        <v>46174</v>
      </c>
      <c r="E34" s="2" t="n">
        <v>46212</v>
      </c>
      <c r="F34" t="inlineStr">
        <is>
          <t>12:00</t>
        </is>
      </c>
      <c r="G34" t="inlineStr">
        <is>
          <t>Request for Bid(Open-Tender)</t>
        </is>
      </c>
      <c r="H34" t="inlineStr">
        <is>
          <t>Development of Electricity infrastructure database planning and design for a period four (04) months. (Re-advert)</t>
        </is>
      </c>
      <c r="I34" t="inlineStr">
        <is>
          <t>ETENDERS.GOV.ZA</t>
        </is>
      </c>
      <c r="J34" t="inlineStr">
        <is>
          <t>King Sabata Dalindyebo Local Municipality</t>
        </is>
      </c>
      <c r="K34" t="inlineStr">
        <is>
          <t>Eastern Cape</t>
        </is>
      </c>
      <c r="L34" t="inlineStr">
        <is>
          <t>No</t>
        </is>
      </c>
      <c r="M34" t="inlineStr">
        <is>
          <t>Other service activities</t>
        </is>
      </c>
      <c r="N34" t="inlineStr">
        <is>
          <t>No</t>
        </is>
      </c>
      <c r="O34" t="inlineStr">
        <is>
          <t>No</t>
        </is>
      </c>
      <c r="P34" t="inlineStr">
        <is>
          <t>N/A</t>
        </is>
      </c>
      <c r="Q34" s="3" t="inlineStr">
        <is>
          <t>https://www.etenders.gov.za/home/Download/?blobName=97fb9f2d-7092-4c0f-8827-d36d4eeb3725.pdf&amp;downloadedFileName=ADVERT%20FOR%20JUNE.pdf</t>
        </is>
      </c>
      <c r="R34" t="inlineStr"/>
      <c r="S34" t="inlineStr"/>
      <c r="T34" t="inlineStr"/>
      <c r="U34" t="inlineStr"/>
      <c r="V34" t="inlineStr"/>
    </row>
    <row r="35">
      <c r="A35" s="2" t="n">
        <v>46174</v>
      </c>
      <c r="B35" t="n">
        <v>216</v>
      </c>
      <c r="C35" t="inlineStr">
        <is>
          <t>SCM NO: 025-2025/26</t>
        </is>
      </c>
      <c r="D35" s="2" t="n">
        <v>46174</v>
      </c>
      <c r="E35" s="2" t="n">
        <v>46212</v>
      </c>
      <c r="F35" t="inlineStr">
        <is>
          <t>12:00</t>
        </is>
      </c>
      <c r="G35" t="inlineStr">
        <is>
          <t>Request for Bid(Open-Tender)</t>
        </is>
      </c>
      <c r="H35" t="inlineStr">
        <is>
          <t>Supply, Installation, Testing, and Commissioning of the Schweitzer Engineering Laboratories (SEL- 487E) Protection Scheme for the 20 MVA 66/11 kV Transformer No. 3 at Unitra Substation, including H-Frame and Low Voltage (LV) Bus Support for a period of six (06) months Unitra Substation, including H-Frame and Low Voltage (LV) Bus Support for a period of six (06) months. (Re-advert)</t>
        </is>
      </c>
      <c r="I35" t="inlineStr">
        <is>
          <t>ETENDERS.GOV.ZA</t>
        </is>
      </c>
      <c r="J35" t="inlineStr">
        <is>
          <t>King Sabata Dalindyebo Local Municipality</t>
        </is>
      </c>
      <c r="K35" t="inlineStr">
        <is>
          <t>Eastern Cape</t>
        </is>
      </c>
      <c r="L35" t="inlineStr">
        <is>
          <t>No</t>
        </is>
      </c>
      <c r="M35" t="inlineStr">
        <is>
          <t>Other service activities</t>
        </is>
      </c>
      <c r="N35" t="inlineStr">
        <is>
          <t>No</t>
        </is>
      </c>
      <c r="O35" t="inlineStr">
        <is>
          <t>No</t>
        </is>
      </c>
      <c r="P35" t="inlineStr">
        <is>
          <t>N/A</t>
        </is>
      </c>
      <c r="Q35" s="3" t="inlineStr">
        <is>
          <t>https://www.etenders.gov.za/home/Download/?blobName=d55cc8f0-9d78-4d15-aa95-ed61a2698ea5.pdf&amp;downloadedFileName=ADVERT%20FOR%20JUNE.pdf</t>
        </is>
      </c>
      <c r="R35" t="inlineStr"/>
      <c r="S35" t="inlineStr"/>
      <c r="T35" t="inlineStr"/>
      <c r="U35" t="inlineStr"/>
      <c r="V35" t="inlineStr"/>
    </row>
    <row r="36">
      <c r="A36" s="2" t="n">
        <v>46174</v>
      </c>
      <c r="B36" t="n">
        <v>215</v>
      </c>
      <c r="C36" t="inlineStr">
        <is>
          <t>WTE1009CE</t>
        </is>
      </c>
      <c r="D36" s="2" t="n">
        <v>46174</v>
      </c>
      <c r="E36" s="2" t="n">
        <v>46188</v>
      </c>
      <c r="F36" t="inlineStr">
        <is>
          <t>11:00</t>
        </is>
      </c>
      <c r="G36" t="inlineStr">
        <is>
          <t>Request for Quotation</t>
        </is>
      </c>
      <c r="H36" t="inlineStr">
        <is>
          <t>SUPPLY AND DELIVERY OF 19MM CONCRETE AGGREGATES TO MZIMVUBU WATERPROJECT – ACCESS ROAD NEAR MACLEAR IN THE EASTERN CAPE PROVINCE.</t>
        </is>
      </c>
      <c r="I36" t="inlineStr">
        <is>
          <t>ETENDERS.GOV.ZA</t>
        </is>
      </c>
      <c r="J36" t="inlineStr">
        <is>
          <t>Water and Sanitation</t>
        </is>
      </c>
      <c r="K36" t="inlineStr">
        <is>
          <t>Eastern Cape</t>
        </is>
      </c>
      <c r="L36" t="inlineStr">
        <is>
          <t>No</t>
        </is>
      </c>
      <c r="M36" t="inlineStr">
        <is>
          <t>Services: Building</t>
        </is>
      </c>
      <c r="N36" t="inlineStr">
        <is>
          <t>Yes</t>
        </is>
      </c>
      <c r="O36" t="inlineStr">
        <is>
          <t>Yes</t>
        </is>
      </c>
      <c r="P36" t="inlineStr">
        <is>
          <t>Ntabelanga Dam – Access Road close to Maclear in Eastern Cape Province Co-ordinates: 31°07’19.2’’S,</t>
        </is>
      </c>
      <c r="Q36" s="3" t="inlineStr">
        <is>
          <t>https://www.etenders.gov.za/home/Download/?blobName=7369802f-c496-4db9-8aad-ff2a16d5926a.pdf&amp;downloadedFileName=WTE1009CE.pdf</t>
        </is>
      </c>
      <c r="R36" t="inlineStr"/>
      <c r="S36" t="inlineStr"/>
      <c r="T36" t="inlineStr"/>
      <c r="U36" t="inlineStr"/>
      <c r="V36" t="inlineStr"/>
    </row>
    <row r="37">
      <c r="A37" s="2" t="n">
        <v>46174</v>
      </c>
      <c r="B37" t="n">
        <v>214</v>
      </c>
      <c r="C37" t="inlineStr">
        <is>
          <t>MLRF219/26</t>
        </is>
      </c>
      <c r="D37" s="2" t="n">
        <v>46174</v>
      </c>
      <c r="E37" s="2" t="n">
        <v>46216</v>
      </c>
      <c r="F37" t="inlineStr">
        <is>
          <t>11:00</t>
        </is>
      </c>
      <c r="G37" t="inlineStr">
        <is>
          <t>Request for Bid(Open-Tender)</t>
        </is>
      </c>
      <c r="H37" t="inlineStr">
        <is>
          <t>THE APPOINTMENT OF A SERVICE PROVIDER/S TO MANAGE THE MARINE LIVING RESOURCES FUND (MLRF) / THE DEPARTMENT OF FORESTRY, FISHERIES AND THE ENVIRONMENT(DFFE) FLEET OF FISHERIES PROTECTION AND RESEARCH VESSELS FOR A PERIOD OF FIVE (5) YEARS.</t>
        </is>
      </c>
      <c r="I37" t="inlineStr">
        <is>
          <t>ETENDERS.GOV.ZA</t>
        </is>
      </c>
      <c r="J37" t="inlineStr">
        <is>
          <t>Marine Living Resources Fund</t>
        </is>
      </c>
      <c r="K37" t="inlineStr">
        <is>
          <t>Western Cape</t>
        </is>
      </c>
      <c r="L37" t="inlineStr">
        <is>
          <t>No</t>
        </is>
      </c>
      <c r="M37" t="inlineStr">
        <is>
          <t>Scientific research and development</t>
        </is>
      </c>
      <c r="N37" t="inlineStr">
        <is>
          <t>Yes</t>
        </is>
      </c>
      <c r="O37" t="inlineStr">
        <is>
          <t>Yes</t>
        </is>
      </c>
      <c r="P37" t="inlineStr">
        <is>
          <t>MS Teams, link can be requested from MLRFTENDERS@DFFE.GOV.ZA</t>
        </is>
      </c>
      <c r="Q37" s="3" t="inlineStr">
        <is>
          <t>https://www.etenders.gov.za/home/Download/?blobName=6a82a1b3-123e-4558-82e4-389152c4f935.pdf&amp;downloadedFileName=MLRF219-26%20ADVERT%20PACK.pdf</t>
        </is>
      </c>
      <c r="R37" t="inlineStr"/>
      <c r="S37" t="inlineStr"/>
      <c r="T37" t="inlineStr"/>
      <c r="U37" t="inlineStr"/>
      <c r="V37" t="inlineStr"/>
    </row>
    <row r="38">
      <c r="A38" s="2" t="n">
        <v>46174</v>
      </c>
      <c r="B38" t="n">
        <v>213</v>
      </c>
      <c r="C38" t="inlineStr">
        <is>
          <t>DLRRD-MP0001(2026/2027)</t>
        </is>
      </c>
      <c r="D38" s="2" t="n">
        <v>46174</v>
      </c>
      <c r="E38" s="2" t="n">
        <v>46198</v>
      </c>
      <c r="F38" t="inlineStr">
        <is>
          <t>11:00</t>
        </is>
      </c>
      <c r="G38" t="inlineStr">
        <is>
          <t>Request for Bid(Open-Tender)</t>
        </is>
      </c>
      <c r="H38" t="inlineStr">
        <is>
          <t>APPOINTMENT OF A SERVICE PROVIDER TO RENDER CLEANING AND HYGIENE SERVICES FOR THE DEPARTMENT OF LAND REFORM AND RURAL DEVELOPMENT – REGIONAL LAND CLAIMS COMMISSION AND LODGEMENT OFFICES FOR A PERIOD OF 36 MONTHS.</t>
        </is>
      </c>
      <c r="I38" t="inlineStr">
        <is>
          <t>ETENDERS.GOV.ZA</t>
        </is>
      </c>
      <c r="J38" t="inlineStr">
        <is>
          <t>Department of Rural Development &amp; Land Reform</t>
        </is>
      </c>
      <c r="K38" t="inlineStr">
        <is>
          <t>Mpumalanga</t>
        </is>
      </c>
      <c r="L38" t="inlineStr">
        <is>
          <t>No</t>
        </is>
      </c>
      <c r="M38" t="inlineStr">
        <is>
          <t>Services: Functional (Including Cleaning and Security Services)</t>
        </is>
      </c>
      <c r="N38" t="inlineStr">
        <is>
          <t>Yes</t>
        </is>
      </c>
      <c r="O38" t="inlineStr">
        <is>
          <t>Yes</t>
        </is>
      </c>
      <c r="P38" t="inlineStr">
        <is>
          <t>30 SAMORA MACHEL DRIVE,ENTERTAINMENT AREA,3RD FLOOR RLCC (OPPOSITE SHOPRITE) NELSPRUIT, 1200</t>
        </is>
      </c>
      <c r="Q38" s="3" t="inlineStr">
        <is>
          <t>https://www.etenders.gov.za/home/Download/?blobName=e5a27a85-5c74-4090-8c98-7510c130c9a9.pdf&amp;downloadedFileName=DOCUMENT.pdf</t>
        </is>
      </c>
      <c r="R38" t="inlineStr"/>
      <c r="S38" t="inlineStr"/>
      <c r="T38" t="inlineStr"/>
      <c r="U38" t="inlineStr"/>
      <c r="V38" t="inlineStr"/>
    </row>
    <row r="39">
      <c r="A39" s="2" t="n">
        <v>46174</v>
      </c>
      <c r="B39" t="n">
        <v>212</v>
      </c>
      <c r="C39" t="inlineStr">
        <is>
          <t>DEV/SASSETA/26272</t>
        </is>
      </c>
      <c r="D39" s="2" t="n">
        <v>46174</v>
      </c>
      <c r="E39" s="2" t="n">
        <v>46188</v>
      </c>
      <c r="F39" t="inlineStr">
        <is>
          <t>11:00</t>
        </is>
      </c>
      <c r="G39" t="inlineStr">
        <is>
          <t>Sole source bidding</t>
        </is>
      </c>
      <c r="H39" t="inlineStr">
        <is>
          <t>Service Provider to print Occupational Certificates until 31 March 2030</t>
        </is>
      </c>
      <c r="I39" t="inlineStr">
        <is>
          <t>ETENDERS.GOV.ZA</t>
        </is>
      </c>
      <c r="J39" t="inlineStr">
        <is>
          <t>Safety and Security Sector Education and Training Authority (Sasseta)</t>
        </is>
      </c>
      <c r="K39" t="inlineStr">
        <is>
          <t>National</t>
        </is>
      </c>
      <c r="L39" t="inlineStr">
        <is>
          <t>No</t>
        </is>
      </c>
      <c r="M39" t="inlineStr">
        <is>
          <t>Services: Professional</t>
        </is>
      </c>
      <c r="N39" t="inlineStr">
        <is>
          <t>Yes</t>
        </is>
      </c>
      <c r="O39" t="inlineStr">
        <is>
          <t>Yes</t>
        </is>
      </c>
      <c r="P39" t="inlineStr">
        <is>
          <t>N/A</t>
        </is>
      </c>
      <c r="Q39" s="3" t="inlineStr">
        <is>
          <t>https://www.etenders.gov.za/home/Download/?blobName=ed61cf3b-268e-436d-bbcb-2f45620228ed.pdf&amp;downloadedFileName=Reporting%20of%20procurement%20by%20other%20means.pdf</t>
        </is>
      </c>
      <c r="R39" t="inlineStr"/>
      <c r="S39" t="inlineStr"/>
      <c r="T39" t="inlineStr"/>
      <c r="U39" t="inlineStr"/>
      <c r="V39" t="inlineStr"/>
    </row>
    <row r="40">
      <c r="A40" s="2" t="n">
        <v>46174</v>
      </c>
      <c r="B40" t="n">
        <v>211</v>
      </c>
      <c r="C40" t="inlineStr">
        <is>
          <t>5623</t>
        </is>
      </c>
      <c r="D40" s="2" t="n">
        <v>46174</v>
      </c>
      <c r="E40" s="2" t="n">
        <v>46195</v>
      </c>
      <c r="F40" t="inlineStr">
        <is>
          <t>14:00</t>
        </is>
      </c>
      <c r="G40" t="inlineStr">
        <is>
          <t>Request for Quotation</t>
        </is>
      </c>
      <c r="H40" t="inlineStr">
        <is>
          <t>REQUEST QUOTATION FOR PAPI’s VERIFICATION AND CALIBRATION FOR A PERIOD OF 12 MONTHS AT KIMBERLEY AIRPORT</t>
        </is>
      </c>
      <c r="I40" t="inlineStr">
        <is>
          <t>ETENDERS.GOV.ZA</t>
        </is>
      </c>
      <c r="J40" t="inlineStr">
        <is>
          <t>Airports Company of South Africa</t>
        </is>
      </c>
      <c r="K40" t="inlineStr">
        <is>
          <t>Northern Cape</t>
        </is>
      </c>
      <c r="L40" t="inlineStr">
        <is>
          <t>No</t>
        </is>
      </c>
      <c r="M40" t="inlineStr">
        <is>
          <t>Services: Professional</t>
        </is>
      </c>
      <c r="N40" t="inlineStr">
        <is>
          <t>No</t>
        </is>
      </c>
      <c r="O40" t="inlineStr">
        <is>
          <t>No</t>
        </is>
      </c>
      <c r="P40" t="inlineStr">
        <is>
          <t>N/A</t>
        </is>
      </c>
      <c r="Q40" s="3" t="inlineStr">
        <is>
          <t>https://www.etenders.gov.za/home/Download/?blobName=e406873b-fc5a-406b-b208-fc1e844ca8ea.pdf&amp;downloadedFileName=RFQ%20PAPI%20VERIFICATION%20CALIBRATION%20FOR%20A%20PERIOD%20OF%2012%20MONTHS%20AT%20KIMBERLEY%20AIRPORT%205623.pdf</t>
        </is>
      </c>
      <c r="R40" t="inlineStr"/>
      <c r="S40" t="inlineStr"/>
      <c r="T40" t="inlineStr"/>
      <c r="U40" t="inlineStr"/>
      <c r="V40" t="inlineStr"/>
    </row>
    <row r="41">
      <c r="A41" s="2" t="n">
        <v>46174</v>
      </c>
      <c r="B41" t="n">
        <v>210</v>
      </c>
      <c r="C41" t="inlineStr">
        <is>
          <t>SCM: 032/2025/26</t>
        </is>
      </c>
      <c r="D41" s="2" t="n">
        <v>46174</v>
      </c>
      <c r="E41" s="2" t="n">
        <v>46210</v>
      </c>
      <c r="F41" t="inlineStr">
        <is>
          <t>12:00</t>
        </is>
      </c>
      <c r="G41" t="inlineStr">
        <is>
          <t>Request for Bid(Open-Tender)</t>
        </is>
      </c>
      <c r="H41" t="inlineStr">
        <is>
          <t>Panel of six (06) contractors for building maintenance, alterations, extensions and new building structures for a period of three (03) years, as and when required.</t>
        </is>
      </c>
      <c r="I41" t="inlineStr">
        <is>
          <t>ETENDERS.GOV.ZA</t>
        </is>
      </c>
      <c r="J41" t="inlineStr">
        <is>
          <t>King Sabata Dalindyebo Local Municipality</t>
        </is>
      </c>
      <c r="K41" t="inlineStr">
        <is>
          <t>Eastern Cape</t>
        </is>
      </c>
      <c r="L41" t="inlineStr">
        <is>
          <t>No</t>
        </is>
      </c>
      <c r="M41" t="inlineStr">
        <is>
          <t>Other service activities</t>
        </is>
      </c>
      <c r="N41" t="inlineStr">
        <is>
          <t>No</t>
        </is>
      </c>
      <c r="O41" t="inlineStr">
        <is>
          <t>No</t>
        </is>
      </c>
      <c r="P41" t="inlineStr">
        <is>
          <t>N/A</t>
        </is>
      </c>
      <c r="Q41" s="3" t="inlineStr">
        <is>
          <t>https://www.etenders.gov.za/home/Download/?blobName=b05fca72-8e92-462a-a532-25550f57175c.pdf&amp;downloadedFileName=ADVERT%20FOR%20JUNE.pdf</t>
        </is>
      </c>
      <c r="R41" t="inlineStr"/>
      <c r="S41" t="inlineStr"/>
      <c r="T41" t="inlineStr"/>
      <c r="U41" t="inlineStr"/>
      <c r="V41" t="inlineStr"/>
    </row>
    <row r="42">
      <c r="A42" s="2" t="n">
        <v>46174</v>
      </c>
      <c r="B42" t="n">
        <v>209</v>
      </c>
      <c r="C42" t="inlineStr">
        <is>
          <t>SCM NO: 023/2025/26</t>
        </is>
      </c>
      <c r="D42" s="2" t="n">
        <v>46174</v>
      </c>
      <c r="E42" s="2" t="n">
        <v>46210</v>
      </c>
      <c r="F42" t="inlineStr">
        <is>
          <t>12:00</t>
        </is>
      </c>
      <c r="G42" t="inlineStr">
        <is>
          <t>Request for Bid(Open-Tender)</t>
        </is>
      </c>
      <c r="H42" t="inlineStr">
        <is>
          <t>Panel of eight (08) electrical engineering consultants to provide professional engineering services for King Sabata Dalindyebo Municipality for a period of three (03) years. (Four additional) (Re-advert)</t>
        </is>
      </c>
      <c r="I42" t="inlineStr">
        <is>
          <t>ETENDERS.GOV.ZA</t>
        </is>
      </c>
      <c r="J42" t="inlineStr">
        <is>
          <t>King Sabata Dalindyebo Local Municipality</t>
        </is>
      </c>
      <c r="K42" t="inlineStr">
        <is>
          <t>Eastern Cape</t>
        </is>
      </c>
      <c r="L42" t="inlineStr">
        <is>
          <t>No</t>
        </is>
      </c>
      <c r="M42" t="inlineStr">
        <is>
          <t>Other manufacturing</t>
        </is>
      </c>
      <c r="N42" t="inlineStr">
        <is>
          <t>No</t>
        </is>
      </c>
      <c r="O42" t="inlineStr">
        <is>
          <t>No</t>
        </is>
      </c>
      <c r="P42" t="inlineStr">
        <is>
          <t>N/A</t>
        </is>
      </c>
      <c r="Q42" s="3" t="inlineStr">
        <is>
          <t>https://www.etenders.gov.za/home/Download/?blobName=3732403c-a56a-4554-b08e-2af118f26f8d.pdf&amp;downloadedFileName=ADVERT%20FOR%20JUNE.pdf</t>
        </is>
      </c>
      <c r="R42" t="inlineStr"/>
      <c r="S42" t="inlineStr"/>
      <c r="T42" t="inlineStr"/>
      <c r="U42" t="inlineStr"/>
      <c r="V42" t="inlineStr"/>
    </row>
    <row r="43">
      <c r="A43" s="2" t="n">
        <v>46174</v>
      </c>
      <c r="B43" t="n">
        <v>208</v>
      </c>
      <c r="C43" t="inlineStr">
        <is>
          <t>SCM NO:004./2025/26</t>
        </is>
      </c>
      <c r="D43" s="2" t="n">
        <v>46174</v>
      </c>
      <c r="E43" s="2" t="n">
        <v>46211</v>
      </c>
      <c r="F43" t="inlineStr">
        <is>
          <t>12:00</t>
        </is>
      </c>
      <c r="G43" t="inlineStr">
        <is>
          <t>Request for Bid(Open-Tender)</t>
        </is>
      </c>
      <c r="H43" t="inlineStr">
        <is>
          <t>Panel of three (3) service providers to supply and deliver of bitumen material for a period of two years. (Two additional) (Re-advert</t>
        </is>
      </c>
      <c r="I43" t="inlineStr">
        <is>
          <t>ETENDERS.GOV.ZA</t>
        </is>
      </c>
      <c r="J43" t="inlineStr">
        <is>
          <t>King Sabata Dalindyebo Local Municipality</t>
        </is>
      </c>
      <c r="K43" t="inlineStr">
        <is>
          <t>Eastern Cape</t>
        </is>
      </c>
      <c r="L43" t="inlineStr">
        <is>
          <t>No</t>
        </is>
      </c>
      <c r="M43" t="inlineStr">
        <is>
          <t>Other service activities</t>
        </is>
      </c>
      <c r="N43" t="inlineStr">
        <is>
          <t>Yes</t>
        </is>
      </c>
      <c r="O43" t="inlineStr">
        <is>
          <t>Yes</t>
        </is>
      </c>
      <c r="P43" t="inlineStr">
        <is>
          <t>N/A</t>
        </is>
      </c>
      <c r="Q43" s="3" t="inlineStr">
        <is>
          <t>https://www.etenders.gov.za/home/Download/?blobName=cad50064-7f4d-425a-87db-fda411e4ac53.pdf&amp;downloadedFileName=ADVERT%20FOR%20JUNE.pdf</t>
        </is>
      </c>
      <c r="R43" t="inlineStr"/>
      <c r="S43" t="inlineStr"/>
      <c r="T43" t="inlineStr"/>
      <c r="U43" t="inlineStr"/>
      <c r="V43" t="inlineStr"/>
    </row>
    <row r="44">
      <c r="A44" s="2" t="n">
        <v>46174</v>
      </c>
      <c r="B44" t="n">
        <v>207</v>
      </c>
      <c r="C44" t="inlineStr">
        <is>
          <t>RFQJW062KM26</t>
        </is>
      </c>
      <c r="D44" s="2" t="n">
        <v>46174</v>
      </c>
      <c r="E44" s="2" t="n">
        <v>46181</v>
      </c>
      <c r="F44" t="inlineStr">
        <is>
          <t>16:00</t>
        </is>
      </c>
      <c r="G44" t="inlineStr">
        <is>
          <t>Request for Quotation</t>
        </is>
      </c>
      <c r="H44" t="inlineStr">
        <is>
          <t>SUPPLY, DELIVERY, OFF-LOADING, SERVICING, REMOVAL AND DISPOSAL OF WASTE SKIP BINS</t>
        </is>
      </c>
      <c r="I44" t="inlineStr">
        <is>
          <t>ETENDERS.GOV.ZA</t>
        </is>
      </c>
      <c r="J44" t="inlineStr">
        <is>
          <t>Johannesburg Water</t>
        </is>
      </c>
      <c r="K44" t="inlineStr">
        <is>
          <t>Gauteng</t>
        </is>
      </c>
      <c r="L44" t="inlineStr">
        <is>
          <t>No</t>
        </is>
      </c>
      <c r="M44" t="inlineStr">
        <is>
          <t>Services: General</t>
        </is>
      </c>
      <c r="N44" t="inlineStr">
        <is>
          <t>Yes</t>
        </is>
      </c>
      <c r="O44" t="inlineStr">
        <is>
          <t>Yes</t>
        </is>
      </c>
      <c r="P44" t="inlineStr">
        <is>
          <t>Northern Wastewater Treatment Works</t>
        </is>
      </c>
      <c r="Q44" s="3" t="inlineStr">
        <is>
          <t>https://www.etenders.gov.za/home/Download/?blobName=2574bf57-a867-4522-8048-141ad80ced55.pdf&amp;downloadedFileName=RFQJW062KM26.pdf</t>
        </is>
      </c>
      <c r="R44" t="inlineStr"/>
      <c r="S44" t="inlineStr"/>
      <c r="T44" t="inlineStr"/>
      <c r="U44" t="inlineStr"/>
      <c r="V44" t="inlineStr"/>
    </row>
    <row r="45">
      <c r="A45" s="2" t="n">
        <v>46174</v>
      </c>
      <c r="B45" t="n">
        <v>206</v>
      </c>
      <c r="C45" t="inlineStr">
        <is>
          <t>KH38-25/26</t>
        </is>
      </c>
      <c r="D45" s="2" t="n">
        <v>46174</v>
      </c>
      <c r="E45" s="2" t="n">
        <v>46190</v>
      </c>
      <c r="F45" t="inlineStr">
        <is>
          <t>11:00</t>
        </is>
      </c>
      <c r="G45" t="inlineStr">
        <is>
          <t>Request for Bid(Open-Tender)</t>
        </is>
      </c>
      <c r="H45" t="inlineStr">
        <is>
          <t>COMPLETION OF OUTSTANDING WORKS FOR THE MICROGRID PORJECT IN POFADDER</t>
        </is>
      </c>
      <c r="I45" t="inlineStr">
        <is>
          <t>ETENDERS.GOV.ZA</t>
        </is>
      </c>
      <c r="J45" t="inlineStr">
        <is>
          <t>Khai-Ma Local Municipality</t>
        </is>
      </c>
      <c r="K45" t="inlineStr">
        <is>
          <t>Northern Cape</t>
        </is>
      </c>
      <c r="L45" t="inlineStr">
        <is>
          <t>No</t>
        </is>
      </c>
      <c r="M45" t="inlineStr">
        <is>
          <t>Construction</t>
        </is>
      </c>
      <c r="N45" t="inlineStr">
        <is>
          <t>No</t>
        </is>
      </c>
      <c r="O45" t="inlineStr">
        <is>
          <t>No</t>
        </is>
      </c>
      <c r="P45" t="inlineStr">
        <is>
          <t>N/A</t>
        </is>
      </c>
      <c r="Q45" s="3" t="inlineStr">
        <is>
          <t>https://www.etenders.gov.za/home/Download/?blobName=96548b07-f422-40b2-b4d9-121c2a549e94.pdf&amp;downloadedFileName=3094-Tender%20Drawings%20-%20KH38%20-%2025-26.pdf</t>
        </is>
      </c>
      <c r="R45" t="inlineStr"/>
      <c r="S45" t="inlineStr"/>
      <c r="T45" t="inlineStr"/>
      <c r="U45" t="inlineStr"/>
      <c r="V45" t="inlineStr"/>
    </row>
    <row r="46">
      <c r="A46" s="2" t="n">
        <v>46174</v>
      </c>
      <c r="B46" t="n">
        <v>205</v>
      </c>
      <c r="C46" t="inlineStr">
        <is>
          <t>PU4619/016</t>
        </is>
      </c>
      <c r="D46" s="2" t="n">
        <v>46174</v>
      </c>
      <c r="E46" s="2" t="n">
        <v>46196</v>
      </c>
      <c r="F46" t="inlineStr">
        <is>
          <t>23:30</t>
        </is>
      </c>
      <c r="G46" t="inlineStr">
        <is>
          <t>Request for Proposal</t>
        </is>
      </c>
      <c r="H46" t="inlineStr">
        <is>
          <t>The Supply and Maintenance of Fire Equipment Services and All Related Products and Services for a period of three (3) years for the PURCO SA Membership</t>
        </is>
      </c>
      <c r="I46" t="inlineStr">
        <is>
          <t>ETENDERS.GOV.ZA</t>
        </is>
      </c>
      <c r="J46" t="inlineStr">
        <is>
          <t>Purchasing Consortium Southern Africa (PURCOSA)</t>
        </is>
      </c>
      <c r="K46" t="inlineStr">
        <is>
          <t>National</t>
        </is>
      </c>
      <c r="L46" t="inlineStr">
        <is>
          <t>No</t>
        </is>
      </c>
      <c r="M46" t="inlineStr">
        <is>
          <t>Other service activities</t>
        </is>
      </c>
      <c r="N46" t="inlineStr">
        <is>
          <t>No</t>
        </is>
      </c>
      <c r="O46" t="inlineStr">
        <is>
          <t>No</t>
        </is>
      </c>
      <c r="P46" t="inlineStr">
        <is>
          <t>N/A</t>
        </is>
      </c>
      <c r="Q46" s="3" t="inlineStr">
        <is>
          <t>https://www.etenders.gov.za/home/Download/?blobName=737f2a39-a4c9-4b33-9b4a-5cd7fff39be0.pdf&amp;downloadedFileName=Advert%20-%20PU4619-016%20The%20Supply%20and%20Maintenance%20of%20Fire%20Equipment%20Services%20and%20All%20Related%20Products%20and%20Services.pdf</t>
        </is>
      </c>
      <c r="R46" t="inlineStr"/>
      <c r="S46" t="inlineStr"/>
      <c r="T46" t="inlineStr"/>
      <c r="U46" t="inlineStr"/>
      <c r="V46" t="inlineStr"/>
    </row>
    <row r="47">
      <c r="A47" s="2" t="n">
        <v>46174</v>
      </c>
      <c r="B47" t="n">
        <v>204</v>
      </c>
      <c r="C47" t="inlineStr">
        <is>
          <t>RFQJW060TN26 (RE-ADVERT)</t>
        </is>
      </c>
      <c r="D47" s="2" t="n">
        <v>46174</v>
      </c>
      <c r="E47" s="2" t="n">
        <v>46181</v>
      </c>
      <c r="F47" t="inlineStr">
        <is>
          <t>16:00</t>
        </is>
      </c>
      <c r="G47" t="inlineStr">
        <is>
          <t>Request for Quotation</t>
        </is>
      </c>
      <c r="H47" t="inlineStr">
        <is>
          <t>RFQJW060TN26 - LABORATORY CHAIRS (RE-ADVERT)</t>
        </is>
      </c>
      <c r="I47" t="inlineStr">
        <is>
          <t>ETENDERS.GOV.ZA</t>
        </is>
      </c>
      <c r="J47" t="inlineStr">
        <is>
          <t>Johannesburg Water</t>
        </is>
      </c>
      <c r="K47" t="inlineStr">
        <is>
          <t>Gauteng</t>
        </is>
      </c>
      <c r="L47" t="inlineStr">
        <is>
          <t>No</t>
        </is>
      </c>
      <c r="M47" t="inlineStr">
        <is>
          <t>Services: General</t>
        </is>
      </c>
      <c r="N47" t="inlineStr">
        <is>
          <t>No</t>
        </is>
      </c>
      <c r="O47" t="inlineStr">
        <is>
          <t>No</t>
        </is>
      </c>
      <c r="P47" t="inlineStr">
        <is>
          <t>N/A</t>
        </is>
      </c>
      <c r="Q47" s="3" t="inlineStr">
        <is>
          <t>https://www.etenders.gov.za/home/Download/?blobName=4d7b4a65-6ef9-463a-9760-9427433b416c.pdf&amp;downloadedFileName=RFQJW060TN26%20-%20LABORATORY%20CHAIRS%20(RE-ADVERT).pdf</t>
        </is>
      </c>
      <c r="R47" t="inlineStr"/>
      <c r="S47" t="inlineStr"/>
      <c r="T47" t="inlineStr"/>
      <c r="U47" t="inlineStr"/>
      <c r="V47" t="inlineStr"/>
    </row>
    <row r="48">
      <c r="A48" s="2" t="n">
        <v>46174</v>
      </c>
      <c r="B48" t="n">
        <v>203</v>
      </c>
      <c r="C48" t="inlineStr">
        <is>
          <t>SCMU10- 2026/27-0006</t>
        </is>
      </c>
      <c r="D48" s="2" t="n">
        <v>46174</v>
      </c>
      <c r="E48" s="2" t="n">
        <v>46199</v>
      </c>
      <c r="F48" t="inlineStr">
        <is>
          <t>11:00</t>
        </is>
      </c>
      <c r="G48" t="inlineStr">
        <is>
          <t>Request for Bid(Open-Tender)</t>
        </is>
      </c>
      <c r="H48" t="inlineStr">
        <is>
          <t>INVITATION TO THE BUILT ENVIRONMENT PROFESSIONALS FOR THE ESTABLISHMENT OF A PANEL OF CONSULTANTS FOR THE EASTERN CAPE DEPARTMENT OF TRANSPORT FOR A PERIOD OF THIRTY-SIX (36) MONTHS.</t>
        </is>
      </c>
      <c r="I48" t="inlineStr">
        <is>
          <t>ETENDERS.GOV.ZA</t>
        </is>
      </c>
      <c r="J48" t="inlineStr">
        <is>
          <t>Eastern Cape - Transport</t>
        </is>
      </c>
      <c r="K48" t="inlineStr">
        <is>
          <t>Eastern Cape</t>
        </is>
      </c>
      <c r="L48" t="inlineStr">
        <is>
          <t>No</t>
        </is>
      </c>
      <c r="M48" t="inlineStr">
        <is>
          <t>Construction</t>
        </is>
      </c>
      <c r="N48" t="inlineStr">
        <is>
          <t>Yes</t>
        </is>
      </c>
      <c r="O48" t="inlineStr">
        <is>
          <t>Yes</t>
        </is>
      </c>
      <c r="P48" t="inlineStr">
        <is>
          <t>ERF 5000 basement, Department of Transport, Bisho.</t>
        </is>
      </c>
      <c r="Q48" s="3" t="inlineStr">
        <is>
          <t>https://www.etenders.gov.za/home/Download/?blobName=7809a04f-6842-4a68-923b-959ddf24eb2b.pdf&amp;downloadedFileName=SCMU10-2627-0006%20-%20BUILT%20ENVIRONMENT%20PROFESSIONALS.pdf</t>
        </is>
      </c>
      <c r="R48" t="inlineStr"/>
      <c r="S48" t="inlineStr"/>
      <c r="T48" t="inlineStr"/>
      <c r="U48" t="inlineStr"/>
      <c r="V48" t="inlineStr"/>
    </row>
    <row r="49">
      <c r="A49" s="2" t="n">
        <v>46174</v>
      </c>
      <c r="B49" t="n">
        <v>202</v>
      </c>
      <c r="C49" t="inlineStr">
        <is>
          <t>RFQ NUMBER: KZN/PRASA/2026/06/01/Q</t>
        </is>
      </c>
      <c r="D49" s="2" t="n">
        <v>46174</v>
      </c>
      <c r="E49" s="2" t="n">
        <v>46190</v>
      </c>
      <c r="F49" t="inlineStr">
        <is>
          <t>12:00</t>
        </is>
      </c>
      <c r="G49" t="inlineStr">
        <is>
          <t>Request for Quotation</t>
        </is>
      </c>
      <c r="H49" t="inlineStr">
        <is>
          <t>REQUEST FOR QUOTATION (RFQ) FOR THE AGREEMENT / CONTRACT NEEDED FOR A PERIOD OF 36 MONTHS FOR THE REPAIRS OF AN S1 REMOTE CONTROL EQUIPMENT (SIGNAL) IN THE KZN REGION ON AN AS AND WHEN REQUIRED BASIS</t>
        </is>
      </c>
      <c r="I49" t="inlineStr">
        <is>
          <t>ETENDERS.GOV.ZA</t>
        </is>
      </c>
      <c r="J49" t="inlineStr">
        <is>
          <t>Passenger Rail Agency of South Africa</t>
        </is>
      </c>
      <c r="K49" t="inlineStr">
        <is>
          <t>KwaZulu-Natal</t>
        </is>
      </c>
      <c r="L49" t="inlineStr">
        <is>
          <t>No</t>
        </is>
      </c>
      <c r="M49" t="inlineStr">
        <is>
          <t>Services: General</t>
        </is>
      </c>
      <c r="N49" t="inlineStr">
        <is>
          <t>Yes</t>
        </is>
      </c>
      <c r="O49" t="inlineStr">
        <is>
          <t>Yes</t>
        </is>
      </c>
      <c r="P49" t="inlineStr">
        <is>
          <t>65 MASABALALA YENGWA AVENUE PRASA REGIONAL OFFICE FOYER AREA HELPDESK PRASA SCM KWAZULU NATAL</t>
        </is>
      </c>
      <c r="Q49" s="3" t="inlineStr">
        <is>
          <t>https://www.etenders.gov.za/home/Download/?blobName=92443b4d-e4ff-4b38-bae6-cfae48368367.pdf&amp;downloadedFileName=KZN-PRASA-2026-06-01%20Q-REPAIRS%20OF%20AN%20S1%20EQUIPMENT%20IN%20THE%20KZN%20REGION.pdf</t>
        </is>
      </c>
      <c r="R49" t="inlineStr"/>
      <c r="S49" t="inlineStr"/>
      <c r="T49" t="inlineStr"/>
      <c r="U49" t="inlineStr"/>
      <c r="V49" t="inlineStr"/>
    </row>
    <row r="50">
      <c r="A50" s="2" t="n">
        <v>46174</v>
      </c>
      <c r="B50" t="n">
        <v>201</v>
      </c>
      <c r="C50" t="inlineStr">
        <is>
          <t>RFQ: GSM033/2026</t>
        </is>
      </c>
      <c r="D50" s="2" t="n">
        <v>46174</v>
      </c>
      <c r="E50" s="2" t="n">
        <v>46182</v>
      </c>
      <c r="F50" t="inlineStr">
        <is>
          <t>16:00</t>
        </is>
      </c>
      <c r="G50" t="inlineStr">
        <is>
          <t>Request for Quotation</t>
        </is>
      </c>
      <c r="H50" t="inlineStr">
        <is>
          <t>Request for quotation for a service provider that will assist with the removal of electronic waste and other hazardous substances from SAA premises</t>
        </is>
      </c>
      <c r="I50" t="inlineStr">
        <is>
          <t>ETENDERS.GOV.ZA</t>
        </is>
      </c>
      <c r="J50" t="inlineStr">
        <is>
          <t>South African Airways (Pty) Limited</t>
        </is>
      </c>
      <c r="K50" t="inlineStr">
        <is>
          <t>National</t>
        </is>
      </c>
      <c r="L50" t="inlineStr">
        <is>
          <t>No</t>
        </is>
      </c>
      <c r="M50" t="inlineStr">
        <is>
          <t>Waste collection, treatment and disposal activities; materials recovery</t>
        </is>
      </c>
      <c r="N50" t="inlineStr">
        <is>
          <t>No</t>
        </is>
      </c>
      <c r="O50" t="inlineStr">
        <is>
          <t>No</t>
        </is>
      </c>
      <c r="P50" t="inlineStr">
        <is>
          <t>N/A</t>
        </is>
      </c>
      <c r="Q50" s="3" t="inlineStr">
        <is>
          <t>https://www.etenders.gov.za/home/Download/?blobName=4c3a887d-202c-4908-b85a-35682345266b.pdf&amp;downloadedFileName=SAA%20SBD%204%20Standard%20Bidding%20Document%20Updated.pdf</t>
        </is>
      </c>
      <c r="R50" t="inlineStr"/>
      <c r="S50" t="inlineStr"/>
      <c r="T50" t="inlineStr"/>
      <c r="U50" t="inlineStr"/>
      <c r="V50" t="inlineStr"/>
    </row>
    <row r="51">
      <c r="A51" s="2" t="n">
        <v>46174</v>
      </c>
      <c r="B51" t="n">
        <v>200</v>
      </c>
      <c r="C51" t="inlineStr">
        <is>
          <t>SVMU8 26/27-0055</t>
        </is>
      </c>
      <c r="D51" s="2" t="n">
        <v>46174</v>
      </c>
      <c r="E51" s="2" t="n">
        <v>46203</v>
      </c>
      <c r="F51" t="inlineStr">
        <is>
          <t>11:00</t>
        </is>
      </c>
      <c r="G51" t="inlineStr">
        <is>
          <t>Request for Bid(Open-Tender)</t>
        </is>
      </c>
      <c r="H51" t="inlineStr">
        <is>
          <t>Supply and Delivery of Animal Feed (Poultry And Piggery) For Alfred Nzo District.</t>
        </is>
      </c>
      <c r="I51" t="inlineStr">
        <is>
          <t>ETENDERS.GOV.ZA</t>
        </is>
      </c>
      <c r="J51" t="inlineStr">
        <is>
          <t>Eastern Cape - Rural Development and Agrarian Reform</t>
        </is>
      </c>
      <c r="K51" t="inlineStr">
        <is>
          <t>Eastern Cape</t>
        </is>
      </c>
      <c r="L51" t="inlineStr">
        <is>
          <t>No</t>
        </is>
      </c>
      <c r="M51" t="inlineStr">
        <is>
          <t>Agricultural Products and Services</t>
        </is>
      </c>
      <c r="N51" t="inlineStr">
        <is>
          <t>No</t>
        </is>
      </c>
      <c r="O51" t="inlineStr">
        <is>
          <t>No</t>
        </is>
      </c>
      <c r="P51" t="inlineStr">
        <is>
          <t>N/A</t>
        </is>
      </c>
      <c r="Q51" s="3" t="inlineStr">
        <is>
          <t>https://www.etenders.gov.za/home/Download/?blobName=7d1afa1c-f0c6-42a3-aca1-712e8fac3fc2.pdf&amp;downloadedFileName=ANIMAL%20FEED%20ALFRED%20NZO%20DISTRICT.pdf</t>
        </is>
      </c>
      <c r="R51" t="inlineStr"/>
      <c r="S51" t="inlineStr"/>
      <c r="T51" t="inlineStr"/>
      <c r="U51" t="inlineStr"/>
      <c r="V51" t="inlineStr"/>
    </row>
    <row r="52">
      <c r="A52" s="2" t="n">
        <v>46174</v>
      </c>
      <c r="B52" t="n">
        <v>199</v>
      </c>
      <c r="C52" t="inlineStr">
        <is>
          <t>DEV 01/2026/27</t>
        </is>
      </c>
      <c r="D52" s="2" t="n">
        <v>46174</v>
      </c>
      <c r="E52" s="2" t="n">
        <v>46206</v>
      </c>
      <c r="F52" t="inlineStr">
        <is>
          <t>12:00</t>
        </is>
      </c>
      <c r="G52" t="inlineStr">
        <is>
          <t>Request for Bid(Open-Tender)</t>
        </is>
      </c>
      <c r="H52" t="inlineStr">
        <is>
          <t>CIVIL ENGINEERING SERVICES FOR THE ROOIDAKKE HOUSING PROJECT PHASE 5-6, GRABOUW</t>
        </is>
      </c>
      <c r="I52" t="inlineStr">
        <is>
          <t>ETENDERS.GOV.ZA</t>
        </is>
      </c>
      <c r="J52" t="inlineStr">
        <is>
          <t>Theewaterkloof Municipality</t>
        </is>
      </c>
      <c r="K52" t="inlineStr">
        <is>
          <t>Western Cape</t>
        </is>
      </c>
      <c r="L52" t="inlineStr">
        <is>
          <t>No</t>
        </is>
      </c>
      <c r="M52" t="inlineStr">
        <is>
          <t>Civil engineering</t>
        </is>
      </c>
      <c r="N52" t="inlineStr">
        <is>
          <t>Yes</t>
        </is>
      </c>
      <c r="O52" t="inlineStr">
        <is>
          <t>Yes</t>
        </is>
      </c>
      <c r="P52" t="inlineStr">
        <is>
          <t>Municipal Offices, 23 Arbor Drive Molteno Park, Grabouw 7160</t>
        </is>
      </c>
      <c r="Q52" s="3" t="inlineStr">
        <is>
          <t>https://www.etenders.gov.za/home/Download/?blobName=6735b131-8ada-41d4-bed1-d8b122335de0.pdf&amp;downloadedFileName=Advert%20-%20DEV%2001-2026-27.pdf</t>
        </is>
      </c>
      <c r="R52" t="inlineStr"/>
      <c r="S52" t="inlineStr"/>
      <c r="T52" t="inlineStr"/>
      <c r="U52" t="inlineStr"/>
      <c r="V52" t="inlineStr"/>
    </row>
    <row r="53">
      <c r="A53" s="2" t="n">
        <v>46174</v>
      </c>
      <c r="B53" t="n">
        <v>198</v>
      </c>
      <c r="C53" t="inlineStr">
        <is>
          <t>RFX6000003428</t>
        </is>
      </c>
      <c r="D53" s="2" t="n">
        <v>46174</v>
      </c>
      <c r="E53" s="2" t="n">
        <v>46184</v>
      </c>
      <c r="F53" t="inlineStr">
        <is>
          <t>12:00</t>
        </is>
      </c>
      <c r="G53" t="inlineStr">
        <is>
          <t>Request for Quotation</t>
        </is>
      </c>
      <c r="H53" t="inlineStr">
        <is>
          <t>Supply, deliver &amp; Install Venetian Blinds (50mm Grey Plass wood) &amp; Double door frosting Window/Door frosting with company logo</t>
        </is>
      </c>
      <c r="I53" t="inlineStr">
        <is>
          <t>ETENDERS.GOV.ZA</t>
        </is>
      </c>
      <c r="J53" t="inlineStr">
        <is>
          <t>Sentech Limited</t>
        </is>
      </c>
      <c r="K53" t="inlineStr">
        <is>
          <t>KwaZulu-Natal</t>
        </is>
      </c>
      <c r="L53" t="inlineStr">
        <is>
          <t>No</t>
        </is>
      </c>
      <c r="M53" t="inlineStr">
        <is>
          <t>Activities of head offices; management consultancy activities</t>
        </is>
      </c>
      <c r="N53" t="inlineStr">
        <is>
          <t>Yes</t>
        </is>
      </c>
      <c r="O53" t="inlineStr">
        <is>
          <t>Yes</t>
        </is>
      </c>
      <c r="P53" t="inlineStr">
        <is>
          <t>N/A</t>
        </is>
      </c>
      <c r="Q53" s="3" t="inlineStr">
        <is>
          <t>https://www.etenders.gov.za/home/Download/?blobName=8ade0eb9-7213-4881-956f-1936d516ddda.pdf&amp;downloadedFileName=REQUEST%20FOR%20QUOTATION%20VRYHEID%20BLINDS.pdf</t>
        </is>
      </c>
      <c r="R53" t="inlineStr"/>
      <c r="S53" t="inlineStr"/>
      <c r="T53" t="inlineStr"/>
      <c r="U53" t="inlineStr"/>
      <c r="V53" t="inlineStr"/>
    </row>
    <row r="54">
      <c r="A54" s="2" t="n">
        <v>46174</v>
      </c>
      <c r="B54" t="n">
        <v>197</v>
      </c>
      <c r="C54" t="inlineStr">
        <is>
          <t>JW14060RRR</t>
        </is>
      </c>
      <c r="D54" s="2" t="n">
        <v>46174</v>
      </c>
      <c r="E54" s="2" t="n">
        <v>46213</v>
      </c>
      <c r="F54" t="inlineStr">
        <is>
          <t>10:30</t>
        </is>
      </c>
      <c r="G54" t="inlineStr">
        <is>
          <t>Request for Bid(Open-Tender)</t>
        </is>
      </c>
      <c r="H54" t="inlineStr">
        <is>
          <t>Northern Wastewater Treatment Works: Dewatering Building Belt Press Replacement and Associated Ancillaries</t>
        </is>
      </c>
      <c r="I54" t="inlineStr">
        <is>
          <t>ETENDERS.GOV.ZA</t>
        </is>
      </c>
      <c r="J54" t="inlineStr">
        <is>
          <t>Johannesburg Water</t>
        </is>
      </c>
      <c r="K54" t="inlineStr">
        <is>
          <t>Gauteng</t>
        </is>
      </c>
      <c r="L54" t="inlineStr">
        <is>
          <t>No</t>
        </is>
      </c>
      <c r="M54" t="inlineStr">
        <is>
          <t>Specialised construction activities</t>
        </is>
      </c>
      <c r="N54" t="inlineStr">
        <is>
          <t>Yes</t>
        </is>
      </c>
      <c r="O54" t="inlineStr">
        <is>
          <t>Yes</t>
        </is>
      </c>
      <c r="P54" t="inlineStr">
        <is>
          <t>Northern Wastewater Treatment Works, Administration Building-Main Boardroom</t>
        </is>
      </c>
      <c r="Q54" s="3" t="inlineStr">
        <is>
          <t>https://www.etenders.gov.za/home/Download/?blobName=8bf8076e-448f-40f3-b56c-2860fc5593ee.pdf&amp;downloadedFileName=TENDER%20DOCUMENT%20VOLUME%201.pdf</t>
        </is>
      </c>
      <c r="R54" t="inlineStr"/>
      <c r="S54" t="inlineStr"/>
      <c r="T54" t="inlineStr"/>
      <c r="U54" t="inlineStr"/>
      <c r="V54" t="inlineStr"/>
    </row>
    <row r="55">
      <c r="A55" s="2" t="n">
        <v>46174</v>
      </c>
      <c r="B55" t="n">
        <v>196</v>
      </c>
      <c r="C55" t="inlineStr">
        <is>
          <t>BPDM/SCM/CDS/AIR/FOAMS RE-ADVERT</t>
        </is>
      </c>
      <c r="D55" s="2" t="n">
        <v>46174</v>
      </c>
      <c r="E55" s="2" t="n">
        <v>46192</v>
      </c>
      <c r="F55" t="inlineStr">
        <is>
          <t>12:00</t>
        </is>
      </c>
      <c r="G55" t="inlineStr">
        <is>
          <t>Request for Bid(Open-Tender)</t>
        </is>
      </c>
      <c r="H55" t="inlineStr">
        <is>
          <t>APPOINTMENT OF A SERVICE PROVIDER TO SUPPLY AND DELIVER TWO (2) COMPRESSED AIR FOAMS</t>
        </is>
      </c>
      <c r="I55" t="inlineStr">
        <is>
          <t>ETENDERS.GOV.ZA</t>
        </is>
      </c>
      <c r="J55" t="inlineStr">
        <is>
          <t>Bojanala District Municipality</t>
        </is>
      </c>
      <c r="K55" t="inlineStr">
        <is>
          <t>North West</t>
        </is>
      </c>
      <c r="L55" t="inlineStr">
        <is>
          <t>No</t>
        </is>
      </c>
      <c r="M55" t="inlineStr">
        <is>
          <t>Electricity, gas, steam and air conditioning</t>
        </is>
      </c>
      <c r="N55" t="inlineStr">
        <is>
          <t>No</t>
        </is>
      </c>
      <c r="O55" t="inlineStr">
        <is>
          <t>No</t>
        </is>
      </c>
      <c r="P55" t="inlineStr">
        <is>
          <t>N/A</t>
        </is>
      </c>
      <c r="Q55" s="3" t="inlineStr">
        <is>
          <t>https://www.etenders.gov.za/home/Download/?blobName=acec4977-833b-47ed-87db-149653c06497.pdf&amp;downloadedFileName=TENDER%20DOCUMENT%20CAFS%20AIR%20FOAM%2019.06.2026.pdf</t>
        </is>
      </c>
      <c r="R55" t="inlineStr"/>
      <c r="S55" t="inlineStr"/>
      <c r="T55" t="inlineStr"/>
      <c r="U55" t="inlineStr"/>
      <c r="V55" t="inlineStr"/>
    </row>
    <row r="56">
      <c r="A56" s="2" t="n">
        <v>46174</v>
      </c>
      <c r="B56" t="n">
        <v>195</v>
      </c>
      <c r="C56" t="inlineStr">
        <is>
          <t>POS9799</t>
        </is>
      </c>
      <c r="D56" s="2" t="n">
        <v>46174</v>
      </c>
      <c r="E56" s="2" t="n">
        <v>46185</v>
      </c>
      <c r="F56" t="inlineStr">
        <is>
          <t>09:00</t>
        </is>
      </c>
      <c r="G56" t="inlineStr">
        <is>
          <t>Request for Proposal</t>
        </is>
      </c>
      <c r="H56" t="inlineStr">
        <is>
          <t>WEBSITE CONTENT MANAGEMENT SERVICES</t>
        </is>
      </c>
      <c r="I56" t="inlineStr">
        <is>
          <t>ETENDERS.GOV.ZA</t>
        </is>
      </c>
      <c r="J56" t="inlineStr">
        <is>
          <t>Technology Innovation Agency</t>
        </is>
      </c>
      <c r="K56" t="inlineStr">
        <is>
          <t>Gauteng</t>
        </is>
      </c>
      <c r="L56" t="inlineStr">
        <is>
          <t>No</t>
        </is>
      </c>
      <c r="M56" t="inlineStr">
        <is>
          <t>Information and communication</t>
        </is>
      </c>
      <c r="N56" t="inlineStr">
        <is>
          <t>No</t>
        </is>
      </c>
      <c r="O56" t="inlineStr">
        <is>
          <t>No</t>
        </is>
      </c>
      <c r="P56" t="inlineStr">
        <is>
          <t>N/A</t>
        </is>
      </c>
      <c r="Q56" s="3" t="inlineStr">
        <is>
          <t>https://www.etenders.gov.za/home/Download/?blobName=42def765-b73d-44f9-9173-99fe33d119f0.pdf&amp;downloadedFileName=POS9799RFP.pdf</t>
        </is>
      </c>
      <c r="R56" t="inlineStr"/>
      <c r="S56" t="inlineStr"/>
      <c r="T56" t="inlineStr"/>
      <c r="U56" t="inlineStr"/>
      <c r="V56" t="inlineStr"/>
    </row>
    <row r="57">
      <c r="A57" s="2" t="n">
        <v>46174</v>
      </c>
      <c r="B57" t="n">
        <v>194</v>
      </c>
      <c r="C57" t="inlineStr">
        <is>
          <t>JW SCM 005/25</t>
        </is>
      </c>
      <c r="D57" s="2" t="n">
        <v>46174</v>
      </c>
      <c r="E57" s="2" t="n">
        <v>46211</v>
      </c>
      <c r="F57" t="inlineStr">
        <is>
          <t>10:30</t>
        </is>
      </c>
      <c r="G57" t="inlineStr">
        <is>
          <t>Request for Bid(Open-Tender)</t>
        </is>
      </c>
      <c r="H57" t="inlineStr">
        <is>
          <t>Provision Of an Advertising Service on An as And When Required Basis for A Period of Thirty-Six (36) Months</t>
        </is>
      </c>
      <c r="I57" t="inlineStr">
        <is>
          <t>ETENDERS.GOV.ZA</t>
        </is>
      </c>
      <c r="J57" t="inlineStr">
        <is>
          <t>Johannesburg Water</t>
        </is>
      </c>
      <c r="K57" t="inlineStr">
        <is>
          <t>Gauteng</t>
        </is>
      </c>
      <c r="L57" t="inlineStr">
        <is>
          <t>No</t>
        </is>
      </c>
      <c r="M57" t="inlineStr">
        <is>
          <t>Advertising and market research</t>
        </is>
      </c>
      <c r="N57" t="inlineStr">
        <is>
          <t>Yes</t>
        </is>
      </c>
      <c r="O57" t="inlineStr">
        <is>
          <t>Yes</t>
        </is>
      </c>
      <c r="P57" t="inlineStr">
        <is>
          <t>65 NTEMI PILISO STREET TURBINE HALL, NEWTOWN, GROUND FLOOR AUDITORIUM</t>
        </is>
      </c>
      <c r="Q57" s="3" t="inlineStr">
        <is>
          <t>https://www.etenders.gov.za/home/Download/?blobName=4fe201a3-e448-4af9-a42b-6c030270e8eb.pdf&amp;downloadedFileName=JW%20SCM%20005-25%20PROVISION%20OF%20AN%20ADVERTISING%20SERVICE%20ON%20AN%20AS%20AND%20WHEN%20REQUIRED%20BASIS%20TENDER%20DOCUMENT.pdf</t>
        </is>
      </c>
      <c r="R57" t="inlineStr"/>
      <c r="S57" t="inlineStr"/>
      <c r="T57" t="inlineStr"/>
      <c r="U57" t="inlineStr"/>
      <c r="V57" t="inlineStr"/>
    </row>
    <row r="58">
      <c r="A58" s="2" t="n">
        <v>46174</v>
      </c>
      <c r="B58" t="n">
        <v>193</v>
      </c>
      <c r="C58" t="inlineStr">
        <is>
          <t>REQ0006100-Reissue</t>
        </is>
      </c>
      <c r="D58" s="2" t="n">
        <v>46174</v>
      </c>
      <c r="E58" s="2" t="n">
        <v>46185</v>
      </c>
      <c r="F58" t="inlineStr">
        <is>
          <t>11:00</t>
        </is>
      </c>
      <c r="G58" t="inlineStr">
        <is>
          <t>Request for Quotation</t>
        </is>
      </c>
      <c r="H58" t="inlineStr">
        <is>
          <t>Server Room Monitoring System</t>
        </is>
      </c>
      <c r="I58" t="inlineStr">
        <is>
          <t>ETENDERS.GOV.ZA</t>
        </is>
      </c>
      <c r="J58" t="inlineStr">
        <is>
          <t>South African National Accreditation System</t>
        </is>
      </c>
      <c r="K58" t="inlineStr">
        <is>
          <t>Gauteng</t>
        </is>
      </c>
      <c r="L58" t="inlineStr">
        <is>
          <t>No</t>
        </is>
      </c>
      <c r="M58" t="inlineStr">
        <is>
          <t>Services: Professional</t>
        </is>
      </c>
      <c r="N58" t="inlineStr">
        <is>
          <t>Yes</t>
        </is>
      </c>
      <c r="O58" t="inlineStr">
        <is>
          <t>Yes</t>
        </is>
      </c>
      <c r="P58" t="inlineStr">
        <is>
          <t>SANAS Office, 303 Libertas Office Park, Highway street, Equestria</t>
        </is>
      </c>
      <c r="Q58" s="3" t="inlineStr">
        <is>
          <t>https://www.etenders.gov.za/home/Download/?blobName=0df8a68f-fad2-4563-9ee3-0715368358c0.pdf&amp;downloadedFileName=Standard%20Bidding%20Document%20(SDB)%204.pdf</t>
        </is>
      </c>
      <c r="R58" t="inlineStr"/>
      <c r="S58" t="inlineStr"/>
      <c r="T58" t="inlineStr"/>
      <c r="U58" t="inlineStr"/>
      <c r="V58" t="inlineStr"/>
    </row>
    <row r="59">
      <c r="A59" s="2" t="n">
        <v>46174</v>
      </c>
      <c r="B59" t="n">
        <v>192</v>
      </c>
      <c r="C59" t="inlineStr">
        <is>
          <t>10116323</t>
        </is>
      </c>
      <c r="D59" s="2" t="n">
        <v>46174</v>
      </c>
      <c r="E59" s="2" t="n">
        <v>46178</v>
      </c>
      <c r="F59" t="inlineStr">
        <is>
          <t>11:00</t>
        </is>
      </c>
      <c r="G59" t="inlineStr">
        <is>
          <t>Request for Quotation</t>
        </is>
      </c>
      <c r="H59" t="inlineStr">
        <is>
          <t>The Road Accident Fund (RAF) wishes to appoint a suitable service provider for Security System Maintenance at Nelspruit CSC for a period of six (6) months.</t>
        </is>
      </c>
      <c r="I59" t="inlineStr">
        <is>
          <t>ETENDERS.GOV.ZA</t>
        </is>
      </c>
      <c r="J59" t="inlineStr">
        <is>
          <t>Road Accident Fund</t>
        </is>
      </c>
      <c r="K59" t="inlineStr">
        <is>
          <t>Mpumalanga</t>
        </is>
      </c>
      <c r="L59" t="inlineStr">
        <is>
          <t>No</t>
        </is>
      </c>
      <c r="M59" t="inlineStr">
        <is>
          <t>Services: Functional (Including Cleaning and Security Services)</t>
        </is>
      </c>
      <c r="N59" t="inlineStr">
        <is>
          <t>No</t>
        </is>
      </c>
      <c r="O59" t="inlineStr">
        <is>
          <t>No</t>
        </is>
      </c>
      <c r="P59" t="inlineStr">
        <is>
          <t>N/A</t>
        </is>
      </c>
      <c r="Q59" s="3" t="inlineStr">
        <is>
          <t>https://www.etenders.gov.za/home/Download/?blobName=860a3a3f-9575-439b-82e6-f636c408d369.pdf&amp;downloadedFileName=Annexure%20A%20-%20Security%20Measures.pdf</t>
        </is>
      </c>
      <c r="R59" t="inlineStr"/>
      <c r="S59" t="inlineStr"/>
      <c r="T59" t="inlineStr"/>
      <c r="U59" t="inlineStr"/>
      <c r="V59" t="inlineStr"/>
    </row>
    <row r="60">
      <c r="A60" s="2" t="n">
        <v>46174</v>
      </c>
      <c r="B60" t="n">
        <v>191</v>
      </c>
      <c r="C60" t="inlineStr">
        <is>
          <t>RT59-1-2026</t>
        </is>
      </c>
      <c r="D60" s="2" t="n">
        <v>46174</v>
      </c>
      <c r="E60" s="2" t="n">
        <v>46206</v>
      </c>
      <c r="F60" t="inlineStr">
        <is>
          <t>11:00</t>
        </is>
      </c>
      <c r="G60" t="inlineStr">
        <is>
          <t>Request for Bid(Open-Tender)</t>
        </is>
      </c>
      <c r="H60" t="inlineStr">
        <is>
          <t>SUPPLY AND DELIVERY OF FOOTWEAR AND LEATHER PRODUCTS TO THE STATE FOR THE PERIOD ENDING 31 MARCH 2029</t>
        </is>
      </c>
      <c r="I60" t="inlineStr">
        <is>
          <t>ETENDERS.GOV.ZA</t>
        </is>
      </c>
      <c r="J60" t="inlineStr">
        <is>
          <t>National Treasury</t>
        </is>
      </c>
      <c r="K60" t="inlineStr">
        <is>
          <t>National</t>
        </is>
      </c>
      <c r="L60" t="inlineStr">
        <is>
          <t>No</t>
        </is>
      </c>
      <c r="M60" t="inlineStr">
        <is>
          <t>Supplies: Clothing/Textiles/Footwear</t>
        </is>
      </c>
      <c r="N60" t="inlineStr">
        <is>
          <t>Yes</t>
        </is>
      </c>
      <c r="O60" t="inlineStr">
        <is>
          <t>No</t>
        </is>
      </c>
      <c r="P60" t="inlineStr">
        <is>
          <t>https://teams.microsoft.com/meet/370850428761744?p=ooI4t3mlLjNrgS69cN</t>
        </is>
      </c>
      <c r="Q60" s="3" t="inlineStr">
        <is>
          <t>https://www.etenders.gov.za/home/Download/?blobName=9032a10b-604c-4052-b5d0-fe11f9af1587.xlsx&amp;downloadedFileName=6.%20Annexure%20B%20-%20RT59-1-2026%20Pricing%20Schedule.xlsx</t>
        </is>
      </c>
      <c r="R60" t="inlineStr"/>
      <c r="S60" t="inlineStr"/>
      <c r="T60" t="inlineStr"/>
      <c r="U60" t="inlineStr"/>
      <c r="V60" t="inlineStr"/>
    </row>
    <row r="61">
      <c r="A61" s="2" t="n">
        <v>46174</v>
      </c>
      <c r="B61" t="n">
        <v>190</v>
      </c>
      <c r="C61" t="inlineStr">
        <is>
          <t>SCMU10-26/27-0004</t>
        </is>
      </c>
      <c r="D61" s="2" t="n">
        <v>46174</v>
      </c>
      <c r="E61" s="2" t="n">
        <v>46199</v>
      </c>
      <c r="F61" t="inlineStr">
        <is>
          <t>11:00</t>
        </is>
      </c>
      <c r="G61" t="inlineStr">
        <is>
          <t>Request for Bid(Open-Tender)</t>
        </is>
      </c>
      <c r="H61" t="inlineStr">
        <is>
          <t>SUPPLY, DELIVERY AND IMPLEMENTATION OF ROAD MARKING SERVICES AND ERECTION OF PERMANENT ROAD SIGNAGE ON PROJECTS IMPLEMENTED THROUGH IN HOUSE CONSTRUCTION TEAMS FOR A PERIOD OF THIRTY-SIX (36) MONTHS</t>
        </is>
      </c>
      <c r="I61" t="inlineStr">
        <is>
          <t>ETENDERS.GOV.ZA</t>
        </is>
      </c>
      <c r="J61" t="inlineStr">
        <is>
          <t>Eastern Cape - Transport</t>
        </is>
      </c>
      <c r="K61" t="inlineStr">
        <is>
          <t>Eastern Cape</t>
        </is>
      </c>
      <c r="L61" t="inlineStr">
        <is>
          <t>No</t>
        </is>
      </c>
      <c r="M61" t="inlineStr">
        <is>
          <t>Services: Civil</t>
        </is>
      </c>
      <c r="N61" t="inlineStr">
        <is>
          <t>No</t>
        </is>
      </c>
      <c r="O61" t="inlineStr">
        <is>
          <t>No</t>
        </is>
      </c>
      <c r="P61" t="inlineStr">
        <is>
          <t>N/A</t>
        </is>
      </c>
      <c r="Q61" s="3" t="inlineStr">
        <is>
          <t>https://www.etenders.gov.za/home/Download/?blobName=2d48b764-1361-41c5-895c-2fc1db7dee7b.xlsx&amp;downloadedFileName=Copy%20of%20BoQ%20-%200004.xlsx</t>
        </is>
      </c>
      <c r="R61" t="inlineStr"/>
      <c r="S61" t="inlineStr"/>
      <c r="T61" t="inlineStr"/>
      <c r="U61" t="inlineStr"/>
      <c r="V61" t="inlineStr"/>
    </row>
    <row r="62">
      <c r="A62" s="2" t="n">
        <v>46174</v>
      </c>
      <c r="B62" t="n">
        <v>189</v>
      </c>
      <c r="C62" t="inlineStr">
        <is>
          <t>RFQ/SAEON/ELWANDLE/TLCR/49/2026</t>
        </is>
      </c>
      <c r="D62" s="2" t="n">
        <v>46174</v>
      </c>
      <c r="E62" s="2" t="n">
        <v>46183</v>
      </c>
      <c r="F62" t="inlineStr">
        <is>
          <t>11:00</t>
        </is>
      </c>
      <c r="G62" t="inlineStr">
        <is>
          <t>Request for Quotation</t>
        </is>
      </c>
      <c r="H62" t="inlineStr">
        <is>
          <t>APPOINTMENT OF A SERVICE PROVIDER TO REPAIR BODY DAMAGE TO A TOYOTA LAND CRUISER</t>
        </is>
      </c>
      <c r="I62" t="inlineStr">
        <is>
          <t>ETENDERS.GOV.ZA</t>
        </is>
      </c>
      <c r="J62" t="inlineStr">
        <is>
          <t>National Research Foundation</t>
        </is>
      </c>
      <c r="K62" t="inlineStr">
        <is>
          <t>Eastern Cape</t>
        </is>
      </c>
      <c r="L62" t="inlineStr">
        <is>
          <t>No</t>
        </is>
      </c>
      <c r="M62" t="inlineStr">
        <is>
          <t>Transportation and storage</t>
        </is>
      </c>
      <c r="N62" t="inlineStr">
        <is>
          <t>Yes</t>
        </is>
      </c>
      <c r="O62" t="inlineStr">
        <is>
          <t>Yes</t>
        </is>
      </c>
      <c r="P62" t="inlineStr">
        <is>
          <t>H Block Boardroom, Ocean Science Campus (Next to Yellow Tank), Nelson Mandela University.</t>
        </is>
      </c>
      <c r="Q62" s="3" t="inlineStr">
        <is>
          <t>https://www.etenders.gov.za/home/Download/?blobName=93ffc8a6-3165-47d0-aa14-739b28517e51.pdf&amp;downloadedFileName=RFQ_Toyota%20LC%20Repairs_Amended.pdf</t>
        </is>
      </c>
      <c r="R62" t="inlineStr"/>
      <c r="S62" t="inlineStr"/>
      <c r="T62" t="inlineStr"/>
      <c r="U62" t="inlineStr"/>
      <c r="V62" t="inlineStr"/>
    </row>
    <row r="63">
      <c r="A63" s="2" t="n">
        <v>46174</v>
      </c>
      <c r="B63" t="n">
        <v>188</v>
      </c>
      <c r="C63" t="inlineStr">
        <is>
          <t>POS9784</t>
        </is>
      </c>
      <c r="D63" s="2" t="n">
        <v>46174</v>
      </c>
      <c r="E63" s="2" t="n">
        <v>46181</v>
      </c>
      <c r="F63" t="inlineStr">
        <is>
          <t>09:00</t>
        </is>
      </c>
      <c r="G63" t="inlineStr">
        <is>
          <t>Request for Quotation</t>
        </is>
      </c>
      <c r="H63" t="inlineStr">
        <is>
          <t>PROJECT MANAGEMENT PROFESSIONAL FOR 3 PEOPLE TO TRAIN ONLINE</t>
        </is>
      </c>
      <c r="I63" t="inlineStr">
        <is>
          <t>ETENDERS.GOV.ZA</t>
        </is>
      </c>
      <c r="J63" t="inlineStr">
        <is>
          <t>Technology Innovation Agency</t>
        </is>
      </c>
      <c r="K63" t="inlineStr">
        <is>
          <t>National</t>
        </is>
      </c>
      <c r="L63" t="inlineStr">
        <is>
          <t>No</t>
        </is>
      </c>
      <c r="M63" t="inlineStr">
        <is>
          <t>Education</t>
        </is>
      </c>
      <c r="N63" t="inlineStr">
        <is>
          <t>No</t>
        </is>
      </c>
      <c r="O63" t="inlineStr">
        <is>
          <t>No</t>
        </is>
      </c>
      <c r="P63" t="inlineStr">
        <is>
          <t>N/A</t>
        </is>
      </c>
      <c r="Q63" s="3" t="inlineStr">
        <is>
          <t>https://www.etenders.gov.za/home/Download/?blobName=92b1ca49-e59e-46b3-aacf-52ce21891437.doc&amp;downloadedFileName=SBD4%20new.doc</t>
        </is>
      </c>
      <c r="R63" t="inlineStr"/>
      <c r="S63" t="inlineStr"/>
      <c r="T63" t="inlineStr"/>
      <c r="U63" t="inlineStr"/>
      <c r="V63" t="inlineStr"/>
    </row>
    <row r="64">
      <c r="A64" s="2" t="n">
        <v>46174</v>
      </c>
      <c r="B64" t="n">
        <v>187</v>
      </c>
      <c r="C64" t="inlineStr">
        <is>
          <t>POS9787</t>
        </is>
      </c>
      <c r="D64" s="2" t="n">
        <v>46174</v>
      </c>
      <c r="E64" s="2" t="n">
        <v>46181</v>
      </c>
      <c r="F64" t="inlineStr">
        <is>
          <t>09:00</t>
        </is>
      </c>
      <c r="G64" t="inlineStr">
        <is>
          <t>Request for Quotation</t>
        </is>
      </c>
      <c r="H64" t="inlineStr">
        <is>
          <t>FINANCIAL MANAGEMENT FOR NON-FINANCIAL MANAGERS FOR 1 PERSON TO BE TRAINED ONLINE – 5 DAYS TRAINING</t>
        </is>
      </c>
      <c r="I64" t="inlineStr">
        <is>
          <t>ETENDERS.GOV.ZA</t>
        </is>
      </c>
      <c r="J64" t="inlineStr">
        <is>
          <t>Technology Innovation Agency</t>
        </is>
      </c>
      <c r="K64" t="inlineStr">
        <is>
          <t>Gauteng</t>
        </is>
      </c>
      <c r="L64" t="inlineStr">
        <is>
          <t>No</t>
        </is>
      </c>
      <c r="M64" t="inlineStr">
        <is>
          <t>Education</t>
        </is>
      </c>
      <c r="N64" t="inlineStr">
        <is>
          <t>No</t>
        </is>
      </c>
      <c r="O64" t="inlineStr">
        <is>
          <t>No</t>
        </is>
      </c>
      <c r="P64" t="inlineStr">
        <is>
          <t>N/A</t>
        </is>
      </c>
      <c r="Q64" s="3" t="inlineStr">
        <is>
          <t>https://www.etenders.gov.za/home/Download/?blobName=cf32502a-2357-493e-bb19-7648e849b6af.doc&amp;downloadedFileName=SBD4%20new.doc</t>
        </is>
      </c>
      <c r="R64" t="inlineStr"/>
      <c r="S64" t="inlineStr"/>
      <c r="T64" t="inlineStr"/>
      <c r="U64" t="inlineStr"/>
      <c r="V64" t="inlineStr"/>
    </row>
    <row r="65">
      <c r="A65" s="2" t="n">
        <v>46174</v>
      </c>
      <c r="B65" t="n">
        <v>186</v>
      </c>
      <c r="C65" t="inlineStr">
        <is>
          <t>POS9800</t>
        </is>
      </c>
      <c r="D65" s="2" t="n">
        <v>46174</v>
      </c>
      <c r="E65" s="2" t="n">
        <v>46181</v>
      </c>
      <c r="F65" t="inlineStr">
        <is>
          <t>09:00</t>
        </is>
      </c>
      <c r="G65" t="inlineStr">
        <is>
          <t>Request for Quotation</t>
        </is>
      </c>
      <c r="H65" t="inlineStr">
        <is>
          <t>AMAVI AND LES SA IP VALUATION COURSE FOR 1 DELEGATE (IN PERSON)</t>
        </is>
      </c>
      <c r="I65" t="inlineStr">
        <is>
          <t>ETENDERS.GOV.ZA</t>
        </is>
      </c>
      <c r="J65" t="inlineStr">
        <is>
          <t>Technology Innovation Agency</t>
        </is>
      </c>
      <c r="K65" t="inlineStr">
        <is>
          <t>Gauteng</t>
        </is>
      </c>
      <c r="L65" t="inlineStr">
        <is>
          <t>No</t>
        </is>
      </c>
      <c r="M65" t="inlineStr">
        <is>
          <t>Education</t>
        </is>
      </c>
      <c r="N65" t="inlineStr">
        <is>
          <t>No</t>
        </is>
      </c>
      <c r="O65" t="inlineStr">
        <is>
          <t>No</t>
        </is>
      </c>
      <c r="P65" t="inlineStr">
        <is>
          <t>N/A</t>
        </is>
      </c>
      <c r="Q65" s="3" t="inlineStr">
        <is>
          <t>https://www.etenders.gov.za/home/Download/?blobName=b48ebd44-f3c1-4676-910a-84cc1f6506c4.doc&amp;downloadedFileName=SBD4%20new.doc</t>
        </is>
      </c>
      <c r="R65" t="inlineStr"/>
      <c r="S65" t="inlineStr"/>
      <c r="T65" t="inlineStr"/>
      <c r="U65" t="inlineStr"/>
      <c r="V65" t="inlineStr"/>
    </row>
    <row r="66">
      <c r="A66" s="2" t="n">
        <v>46174</v>
      </c>
      <c r="B66" t="n">
        <v>185</v>
      </c>
      <c r="C66" t="inlineStr">
        <is>
          <t>POS9802</t>
        </is>
      </c>
      <c r="D66" s="2" t="n">
        <v>46174</v>
      </c>
      <c r="E66" s="2" t="n">
        <v>46181</v>
      </c>
      <c r="F66" t="inlineStr">
        <is>
          <t>09:00</t>
        </is>
      </c>
      <c r="G66" t="inlineStr">
        <is>
          <t>Request for Quotation</t>
        </is>
      </c>
      <c r="H66" t="inlineStr">
        <is>
          <t>STRATEGY PROGRAMME TRAINING FOR 1 PERSON</t>
        </is>
      </c>
      <c r="I66" t="inlineStr">
        <is>
          <t>ETENDERS.GOV.ZA</t>
        </is>
      </c>
      <c r="J66" t="inlineStr">
        <is>
          <t>Technology Innovation Agency</t>
        </is>
      </c>
      <c r="K66" t="inlineStr">
        <is>
          <t>Gauteng</t>
        </is>
      </c>
      <c r="L66" t="inlineStr">
        <is>
          <t>No</t>
        </is>
      </c>
      <c r="M66" t="inlineStr">
        <is>
          <t>Education</t>
        </is>
      </c>
      <c r="N66" t="inlineStr">
        <is>
          <t>No</t>
        </is>
      </c>
      <c r="O66" t="inlineStr">
        <is>
          <t>No</t>
        </is>
      </c>
      <c r="P66" t="inlineStr">
        <is>
          <t>N/A</t>
        </is>
      </c>
      <c r="Q66" s="3" t="inlineStr">
        <is>
          <t>https://www.etenders.gov.za/home/Download/?blobName=40f1c495-6ccb-4ec1-8ea3-45e7fbb03c0e.docx&amp;downloadedFileName=POS9802.docx</t>
        </is>
      </c>
      <c r="R66" t="inlineStr"/>
      <c r="S66" t="inlineStr"/>
      <c r="T66" t="inlineStr"/>
      <c r="U66" t="inlineStr"/>
      <c r="V66" t="inlineStr"/>
    </row>
    <row r="67">
      <c r="A67" s="2" t="n">
        <v>46174</v>
      </c>
      <c r="B67" t="n">
        <v>184</v>
      </c>
      <c r="C67" t="inlineStr">
        <is>
          <t>EPT/06/2026</t>
        </is>
      </c>
      <c r="D67" s="2" t="n">
        <v>46174</v>
      </c>
      <c r="E67" s="2" t="n">
        <v>46195</v>
      </c>
      <c r="F67" t="inlineStr">
        <is>
          <t>12:00</t>
        </is>
      </c>
      <c r="G67" t="inlineStr">
        <is>
          <t>Request for Proposal</t>
        </is>
      </c>
      <c r="H67" t="inlineStr">
        <is>
          <t>REQUEST FOR PROPOSAL [RFP] FOR THE APPOINTMENT OF AN ADDITIONAL PANEL OF A TRANSACTIONS (OR CONSORTIUM OF SERVICE PROVIDERS) TO FORM PART OF AN EXISTING PANEL TO PROVIDE TRANSACTION ADVISORY SERVICES FOR THE REMAINING PERIOD.</t>
        </is>
      </c>
      <c r="I67" t="inlineStr">
        <is>
          <t>ETENDERS.GOV.ZA</t>
        </is>
      </c>
      <c r="J67" t="inlineStr">
        <is>
          <t>CEF (Pty) Ltd</t>
        </is>
      </c>
      <c r="K67" t="inlineStr">
        <is>
          <t>Gauteng</t>
        </is>
      </c>
      <c r="L67" t="inlineStr">
        <is>
          <t>No</t>
        </is>
      </c>
      <c r="M67" t="inlineStr">
        <is>
          <t>Activities of households as employers of domestic personnel</t>
        </is>
      </c>
      <c r="N67" t="inlineStr">
        <is>
          <t>Yes</t>
        </is>
      </c>
      <c r="O67" t="inlineStr">
        <is>
          <t>Yes</t>
        </is>
      </c>
      <c r="P67" t="inlineStr">
        <is>
          <t>https://teams.microsoft.com/meet/3534240https://teams.microsoft.com/me31737601?p=gpXhqLVrsqNWvsK5AY</t>
        </is>
      </c>
      <c r="Q67" s="3" t="inlineStr">
        <is>
          <t>https://www.etenders.gov.za/home/Download/?blobName=90b9bc86-99c5-42b0-b2a5-8c2f386347ea.zip&amp;downloadedFileName=For%20Issue.zip</t>
        </is>
      </c>
      <c r="R67" t="inlineStr"/>
      <c r="S67" t="inlineStr"/>
      <c r="T67" t="inlineStr"/>
      <c r="U67" t="inlineStr"/>
      <c r="V67" t="inlineStr"/>
    </row>
    <row r="68">
      <c r="A68" s="2" t="n">
        <v>46174</v>
      </c>
      <c r="B68" t="n">
        <v>183</v>
      </c>
      <c r="C68" t="inlineStr">
        <is>
          <t>RFQ008-2026-27</t>
        </is>
      </c>
      <c r="D68" s="2" t="n">
        <v>46174</v>
      </c>
      <c r="E68" s="2" t="n">
        <v>46181</v>
      </c>
      <c r="F68" t="inlineStr">
        <is>
          <t>12:00</t>
        </is>
      </c>
      <c r="G68" t="inlineStr">
        <is>
          <t>Request for Quotation</t>
        </is>
      </c>
      <c r="H68" t="inlineStr">
        <is>
          <t>THE APPOINTMENT OF A RISK AND COMPLIANCE MANAGEMENT TRAINING SERVICE PROVIDER.</t>
        </is>
      </c>
      <c r="I68" t="inlineStr">
        <is>
          <t>ETENDERS.GOV.ZA</t>
        </is>
      </c>
      <c r="J68" t="inlineStr">
        <is>
          <t>Community Schemes Ombud Service</t>
        </is>
      </c>
      <c r="K68" t="inlineStr">
        <is>
          <t>Gauteng</t>
        </is>
      </c>
      <c r="L68" t="inlineStr">
        <is>
          <t>No</t>
        </is>
      </c>
      <c r="M68" t="inlineStr">
        <is>
          <t>Education</t>
        </is>
      </c>
      <c r="N68" t="inlineStr">
        <is>
          <t>No</t>
        </is>
      </c>
      <c r="O68" t="inlineStr">
        <is>
          <t>No</t>
        </is>
      </c>
      <c r="P68" t="inlineStr">
        <is>
          <t>N/A</t>
        </is>
      </c>
      <c r="Q68" s="3" t="inlineStr">
        <is>
          <t>https://www.etenders.gov.za/home/Download/?blobName=b82174f8-5bde-4de9-a433-dd657ebfaca2.pdf&amp;downloadedFileName=RFQ008-2026-27%20Risk%20&amp;%20Compliance%20Management%20Training.pdf</t>
        </is>
      </c>
      <c r="R68" t="inlineStr"/>
      <c r="S68" t="inlineStr"/>
      <c r="T68" t="inlineStr"/>
      <c r="U68" t="inlineStr"/>
      <c r="V68" t="inlineStr"/>
    </row>
    <row r="69">
      <c r="A69" s="2" t="n">
        <v>46174</v>
      </c>
      <c r="B69" t="n">
        <v>182</v>
      </c>
      <c r="C69" t="inlineStr">
        <is>
          <t>OHSC/RFQ3/JUNE/2026</t>
        </is>
      </c>
      <c r="D69" s="2" t="n">
        <v>46174</v>
      </c>
      <c r="E69" s="2" t="n">
        <v>46183</v>
      </c>
      <c r="F69" t="inlineStr">
        <is>
          <t>16:00</t>
        </is>
      </c>
      <c r="G69" t="inlineStr">
        <is>
          <t>Request for Quotation</t>
        </is>
      </c>
      <c r="H69" t="inlineStr">
        <is>
          <t>PROCUREMENT OF SUPPORT, MAINTENANCE AND ENHANCEMENT OF THE OFFICE OF HEALTH STANDARDS COMPLIANCE (OHSC) CALL CENTER SOLUTIONS FOR A PERIOD OF 12 MONTHS</t>
        </is>
      </c>
      <c r="I69" t="inlineStr">
        <is>
          <t>ETENDERS.GOV.ZA</t>
        </is>
      </c>
      <c r="J69" t="inlineStr">
        <is>
          <t>Office of Health Standards Compliance (OHSC)</t>
        </is>
      </c>
      <c r="K69" t="inlineStr">
        <is>
          <t>Gauteng</t>
        </is>
      </c>
      <c r="L69" t="inlineStr">
        <is>
          <t>No</t>
        </is>
      </c>
      <c r="M69" t="inlineStr">
        <is>
          <t>Administrative and support activities</t>
        </is>
      </c>
      <c r="N69" t="inlineStr">
        <is>
          <t>No</t>
        </is>
      </c>
      <c r="O69" t="inlineStr">
        <is>
          <t>No</t>
        </is>
      </c>
      <c r="P69" t="inlineStr">
        <is>
          <t>N/A</t>
        </is>
      </c>
      <c r="Q69" s="3" t="inlineStr">
        <is>
          <t>https://www.etenders.gov.za/home/Download/?blobName=9588f925-68ba-4d14-a532-c3ce115ca214.pdf&amp;downloadedFileName=REQUEST%20QUOTATIONS%20FOR%20SUPPORT%20AND%20MAINTENANCE%20OF%20OHSC%20CALL%20CENTRE%20OHSC.FINAL.pdf</t>
        </is>
      </c>
      <c r="R69" t="inlineStr"/>
      <c r="S69" t="inlineStr"/>
      <c r="T69" t="inlineStr"/>
      <c r="U69" t="inlineStr"/>
      <c r="V69" t="inlineStr"/>
    </row>
    <row r="70">
      <c r="A70" s="2" t="n">
        <v>46174</v>
      </c>
      <c r="B70" t="n">
        <v>181</v>
      </c>
      <c r="C70" t="inlineStr">
        <is>
          <t>RFQ150-25-IM</t>
        </is>
      </c>
      <c r="D70" s="2" t="n">
        <v>46174</v>
      </c>
      <c r="E70" s="2" t="n">
        <v>46178</v>
      </c>
      <c r="F70" t="inlineStr">
        <is>
          <t>11:00</t>
        </is>
      </c>
      <c r="G70" t="inlineStr">
        <is>
          <t>Request for Quotation</t>
        </is>
      </c>
      <c r="H70" t="inlineStr">
        <is>
          <t>TERMS OF REFERENCE TO PROCURE SERVICES OF A SERVICE PROVIDER TO REVIEW DISABILITY ASSESSMENT GUIDELINES FOR SOCIAL ASSISTANCE PURPOSES</t>
        </is>
      </c>
      <c r="I70" t="inlineStr">
        <is>
          <t>ETENDERS.GOV.ZA</t>
        </is>
      </c>
      <c r="J70" t="inlineStr">
        <is>
          <t>South African Social Security Agency</t>
        </is>
      </c>
      <c r="K70" t="inlineStr">
        <is>
          <t>Gauteng</t>
        </is>
      </c>
      <c r="L70" t="inlineStr">
        <is>
          <t>No</t>
        </is>
      </c>
      <c r="M70" t="inlineStr">
        <is>
          <t>Professional, scientific and technical activities</t>
        </is>
      </c>
      <c r="N70" t="inlineStr">
        <is>
          <t>No</t>
        </is>
      </c>
      <c r="O70" t="inlineStr">
        <is>
          <t>No</t>
        </is>
      </c>
      <c r="P70" t="inlineStr">
        <is>
          <t>N/A</t>
        </is>
      </c>
      <c r="Q70" s="3" t="inlineStr">
        <is>
          <t>https://www.etenders.gov.za/home/Download/?blobName=3fc396ab-faba-45c8-b5d0-a48aa05df292.pdf&amp;downloadedFileName=specification%20(5).pdf</t>
        </is>
      </c>
      <c r="R70" t="inlineStr"/>
      <c r="S70" t="inlineStr"/>
      <c r="T70" t="inlineStr"/>
      <c r="U70" t="inlineStr"/>
      <c r="V70" t="inlineStr"/>
    </row>
    <row r="71">
      <c r="A71" s="2" t="n">
        <v>46174</v>
      </c>
      <c r="B71" t="n">
        <v>180</v>
      </c>
      <c r="C71" t="inlineStr">
        <is>
          <t>CIDB 004/2627</t>
        </is>
      </c>
      <c r="D71" s="2" t="n">
        <v>46174</v>
      </c>
      <c r="E71" s="2" t="n">
        <v>46202</v>
      </c>
      <c r="F71" t="inlineStr">
        <is>
          <t>11:00</t>
        </is>
      </c>
      <c r="G71" t="inlineStr">
        <is>
          <t>Request for Bid(Open-Tender)</t>
        </is>
      </c>
      <c r="H71" t="inlineStr">
        <is>
          <t>APPOINTMENT OF A SERVICE PROVIDER FOR ELECTRICAL INFRASTRUCTURE UPGRADE PROJECT: SUPPLY AND INSTALL A 1250 KVA TRANSFORMER, REMOVAL OF EXISTING TRANSFORMER, DB REWIRING, LIGHTING AND SMALL POWER RECTIFICATION, EARTHING &amp; LIGHTNING PROTECTION UPGRADES WITH THREE-YEAR MAINTENANCE SERVICES AT THE CIDB HEAD OFFICE IN CENTURION</t>
        </is>
      </c>
      <c r="I71" t="inlineStr">
        <is>
          <t>ETENDERS.GOV.ZA</t>
        </is>
      </c>
      <c r="J71" t="inlineStr">
        <is>
          <t>Construction Industry Development Board</t>
        </is>
      </c>
      <c r="K71" t="inlineStr">
        <is>
          <t>Gauteng</t>
        </is>
      </c>
      <c r="L71" t="inlineStr">
        <is>
          <t>No</t>
        </is>
      </c>
      <c r="M71" t="inlineStr">
        <is>
          <t>Services: Electrical</t>
        </is>
      </c>
      <c r="N71" t="inlineStr">
        <is>
          <t>Yes</t>
        </is>
      </c>
      <c r="O71" t="inlineStr">
        <is>
          <t>Yes</t>
        </is>
      </c>
      <c r="P71" t="inlineStr">
        <is>
          <t>1267 Gordon Hood Road Next to Centurion Mall and Anew Hotel Centurion</t>
        </is>
      </c>
      <c r="Q71" s="3" t="inlineStr">
        <is>
          <t>https://www.etenders.gov.za/home/Download/?blobName=5690020a-e4ff-4faf-9b7b-5059a34cd7aa.xlsx&amp;downloadedFileName=Annexure%20B_Transformer%20&amp;%20Electrical%20Installations%20Unpriced%20BOQ.xlsx</t>
        </is>
      </c>
      <c r="R71" t="inlineStr"/>
      <c r="S71" t="inlineStr"/>
      <c r="T71" t="inlineStr"/>
      <c r="U71" t="inlineStr"/>
      <c r="V71" t="inlineStr"/>
    </row>
    <row r="72">
      <c r="A72" s="2" t="n">
        <v>46174</v>
      </c>
      <c r="B72" t="n">
        <v>179</v>
      </c>
      <c r="C72" t="inlineStr">
        <is>
          <t>RFQ009-2026-27</t>
        </is>
      </c>
      <c r="D72" s="2" t="n">
        <v>46174</v>
      </c>
      <c r="E72" s="2" t="n">
        <v>46183</v>
      </c>
      <c r="F72" t="inlineStr">
        <is>
          <t>12:00</t>
        </is>
      </c>
      <c r="G72" t="inlineStr">
        <is>
          <t>Request for Quotation</t>
        </is>
      </c>
      <c r="H72" t="inlineStr">
        <is>
          <t>THE APPOINTMENT OF A SERVICE PROVIDER TO CONDUCT FIRST AID TRAINING.</t>
        </is>
      </c>
      <c r="I72" t="inlineStr">
        <is>
          <t>ETENDERS.GOV.ZA</t>
        </is>
      </c>
      <c r="J72" t="inlineStr">
        <is>
          <t>Community Schemes Ombud Service</t>
        </is>
      </c>
      <c r="K72" t="inlineStr">
        <is>
          <t>National</t>
        </is>
      </c>
      <c r="L72" t="inlineStr">
        <is>
          <t>No</t>
        </is>
      </c>
      <c r="M72" t="inlineStr">
        <is>
          <t>Education</t>
        </is>
      </c>
      <c r="N72" t="inlineStr">
        <is>
          <t>No</t>
        </is>
      </c>
      <c r="O72" t="inlineStr">
        <is>
          <t>No</t>
        </is>
      </c>
      <c r="P72" t="inlineStr">
        <is>
          <t>N/A</t>
        </is>
      </c>
      <c r="Q72" s="3" t="inlineStr">
        <is>
          <t>https://www.etenders.gov.za/home/Download/?blobName=696fd590-da33-466b-a883-ea0f3fcacd2a.pdf&amp;downloadedFileName=RFQ009-2026-27%20First%20aider%20Training.pdf</t>
        </is>
      </c>
      <c r="R72" t="inlineStr"/>
      <c r="S72" t="inlineStr"/>
      <c r="T72" t="inlineStr"/>
      <c r="U72" t="inlineStr"/>
      <c r="V72" t="inlineStr"/>
    </row>
    <row r="73">
      <c r="A73" s="2" t="n">
        <v>46174</v>
      </c>
      <c r="B73" t="n">
        <v>178</v>
      </c>
      <c r="C73" t="inlineStr">
        <is>
          <t>RFQ-112-433</t>
        </is>
      </c>
      <c r="D73" s="2" t="n">
        <v>46174</v>
      </c>
      <c r="E73" s="2" t="n">
        <v>46181</v>
      </c>
      <c r="F73" t="inlineStr">
        <is>
          <t>11:00</t>
        </is>
      </c>
      <c r="G73" t="inlineStr">
        <is>
          <t>Request for Quotation</t>
        </is>
      </c>
      <c r="H73" t="inlineStr">
        <is>
          <t>Prepaid Airtime for a period of 4 months</t>
        </is>
      </c>
      <c r="I73" t="inlineStr">
        <is>
          <t>ETENDERS.GOV.ZA</t>
        </is>
      </c>
      <c r="J73" t="inlineStr">
        <is>
          <t>Statistics South Africa</t>
        </is>
      </c>
      <c r="K73" t="inlineStr">
        <is>
          <t>Gauteng</t>
        </is>
      </c>
      <c r="L73" t="inlineStr">
        <is>
          <t>No</t>
        </is>
      </c>
      <c r="M73" t="inlineStr">
        <is>
          <t>Telecommunications</t>
        </is>
      </c>
      <c r="N73" t="inlineStr">
        <is>
          <t>No</t>
        </is>
      </c>
      <c r="O73" t="inlineStr">
        <is>
          <t>No</t>
        </is>
      </c>
      <c r="P73" t="inlineStr">
        <is>
          <t>N/A</t>
        </is>
      </c>
      <c r="Q73" s="3" t="inlineStr">
        <is>
          <t>https://www.etenders.gov.za/home/Download/?blobName=a957edf0-4865-420b-9211-2c5e76742d8d.docx&amp;downloadedFileName=RFQ.docx</t>
        </is>
      </c>
      <c r="R73" t="inlineStr"/>
      <c r="S73" t="inlineStr"/>
      <c r="T73" t="inlineStr"/>
      <c r="U73" t="inlineStr"/>
      <c r="V73" t="inlineStr"/>
    </row>
    <row r="74">
      <c r="A74" s="2" t="n">
        <v>46174</v>
      </c>
      <c r="B74" t="n">
        <v>177</v>
      </c>
      <c r="C74" t="inlineStr">
        <is>
          <t>RFQ10419181</t>
        </is>
      </c>
      <c r="D74" s="2" t="n">
        <v>46174</v>
      </c>
      <c r="E74" s="2" t="n">
        <v>46181</v>
      </c>
      <c r="F74" t="inlineStr">
        <is>
          <t>00:00</t>
        </is>
      </c>
      <c r="G74" t="inlineStr">
        <is>
          <t>Request for Quotation</t>
        </is>
      </c>
      <c r="H74" t="inlineStr">
        <is>
          <t>A Service Provider to conduct an organisational Performance Management (PM) maturity assessment</t>
        </is>
      </c>
      <c r="I74" t="inlineStr">
        <is>
          <t>ETENDERS.GOV.ZA</t>
        </is>
      </c>
      <c r="J74" t="inlineStr">
        <is>
          <t>Rand Water</t>
        </is>
      </c>
      <c r="K74" t="inlineStr">
        <is>
          <t>Gauteng</t>
        </is>
      </c>
      <c r="L74" t="inlineStr">
        <is>
          <t>No</t>
        </is>
      </c>
      <c r="M74" t="inlineStr">
        <is>
          <t>Services: Professional</t>
        </is>
      </c>
      <c r="N74" t="inlineStr">
        <is>
          <t>No</t>
        </is>
      </c>
      <c r="O74" t="inlineStr">
        <is>
          <t>No</t>
        </is>
      </c>
      <c r="P74" t="inlineStr">
        <is>
          <t>N/A</t>
        </is>
      </c>
      <c r="Q74" s="3" t="inlineStr">
        <is>
          <t>https://www.etenders.gov.za/home/Download/?blobName=784ca533-73a3-4d25-badf-8fc28f7bfd8b.pdf&amp;downloadedFileName=RFQ10419181%20PMS%20Maturity%20Assessment.pdf</t>
        </is>
      </c>
      <c r="R74" t="inlineStr"/>
      <c r="S74" t="inlineStr"/>
      <c r="T74" t="inlineStr"/>
      <c r="U74" t="inlineStr"/>
      <c r="V74" t="inlineStr"/>
    </row>
    <row r="75">
      <c r="A75" s="2" t="n">
        <v>46174</v>
      </c>
      <c r="B75" t="n">
        <v>176</v>
      </c>
      <c r="C75" t="inlineStr">
        <is>
          <t>SASSA: 02-26-GA-LP</t>
        </is>
      </c>
      <c r="D75" s="2" t="n">
        <v>46174</v>
      </c>
      <c r="E75" s="2" t="n">
        <v>46197</v>
      </c>
      <c r="F75" t="inlineStr">
        <is>
          <t>11:00</t>
        </is>
      </c>
      <c r="G75" t="inlineStr">
        <is>
          <t>Request for Bid(Open-Tender)</t>
        </is>
      </c>
      <c r="H75" t="inlineStr">
        <is>
          <t>The appointment of Health Professionals and firms of Health professionals to conduct medical assessments for SASSA Limpopo Region for a period of three(03) years.</t>
        </is>
      </c>
      <c r="I75" t="inlineStr">
        <is>
          <t>ETENDERS.GOV.ZA</t>
        </is>
      </c>
      <c r="J75" t="inlineStr">
        <is>
          <t>South African Social Security Agency</t>
        </is>
      </c>
      <c r="K75" t="inlineStr">
        <is>
          <t>Limpopo</t>
        </is>
      </c>
      <c r="L75" t="inlineStr">
        <is>
          <t>No</t>
        </is>
      </c>
      <c r="M75" t="inlineStr">
        <is>
          <t>Services: General</t>
        </is>
      </c>
      <c r="N75" t="inlineStr">
        <is>
          <t>Yes</t>
        </is>
      </c>
      <c r="O75" t="inlineStr">
        <is>
          <t>No</t>
        </is>
      </c>
      <c r="P75" t="inlineStr">
        <is>
          <t>MphoMasa@sassa.gov.za</t>
        </is>
      </c>
      <c r="Q75" s="3" t="inlineStr">
        <is>
          <t>https://www.etenders.gov.za/home/Download/?blobName=40be760d-52c6-4738-abf6-f0c427914b9b.pdf&amp;downloadedFileName=SASSA-02-26-GA-LP%20Advert%20for%20the%20appointment%20of%20Health%20Proffessionals%20and%20firms%20of%20health%20proffessionals.pdf</t>
        </is>
      </c>
      <c r="R75" t="inlineStr"/>
      <c r="S75" t="inlineStr"/>
      <c r="T75" t="inlineStr"/>
      <c r="U75" t="inlineStr"/>
      <c r="V75" t="inlineStr"/>
    </row>
    <row r="76">
      <c r="A76" s="2" t="n">
        <v>46175</v>
      </c>
      <c r="B76" t="n">
        <v>175</v>
      </c>
      <c r="C76" t="inlineStr">
        <is>
          <t>GMQ103/25-26</t>
        </is>
      </c>
      <c r="D76" s="2" t="n">
        <v>46175</v>
      </c>
      <c r="E76" s="2" t="n">
        <v>46185</v>
      </c>
      <c r="F76" t="inlineStr">
        <is>
          <t>12:00</t>
        </is>
      </c>
      <c r="G76" t="inlineStr">
        <is>
          <t>Request for Quotation</t>
        </is>
      </c>
      <c r="H76" t="inlineStr">
        <is>
          <t>Quotation for the supply and delivery of TFX SX or equivalent portable reflectometer (scope) for locating cable faults</t>
        </is>
      </c>
      <c r="I76" t="inlineStr">
        <is>
          <t>ETENDERS.GOV.ZA</t>
        </is>
      </c>
      <c r="J76" t="inlineStr">
        <is>
          <t>George Municipality</t>
        </is>
      </c>
      <c r="K76" t="inlineStr">
        <is>
          <t>Western Cape</t>
        </is>
      </c>
      <c r="L76" t="inlineStr">
        <is>
          <t>No</t>
        </is>
      </c>
      <c r="M76" t="inlineStr">
        <is>
          <t>Supplies: Electrical Equipment</t>
        </is>
      </c>
      <c r="N76" t="inlineStr">
        <is>
          <t>No</t>
        </is>
      </c>
      <c r="O76" t="inlineStr">
        <is>
          <t>No</t>
        </is>
      </c>
      <c r="P76" t="inlineStr">
        <is>
          <t>N/A</t>
        </is>
      </c>
      <c r="Q76" s="3" t="inlineStr">
        <is>
          <t>https://www.etenders.gov.za/home/Download/?blobName=c2c8d25a-f913-408b-ae36-42fb00cd7787.pdf&amp;downloadedFileName=GMQ%20103%20of%2025-26%20-%20TFX%20SX%20portable%20reflectometer.pdf</t>
        </is>
      </c>
      <c r="R76" t="inlineStr"/>
      <c r="S76" t="inlineStr"/>
      <c r="T76" t="inlineStr"/>
      <c r="U76" t="inlineStr"/>
      <c r="V76" t="inlineStr"/>
    </row>
    <row r="77">
      <c r="A77" s="2" t="n">
        <v>46175</v>
      </c>
      <c r="B77" t="n">
        <v>174</v>
      </c>
      <c r="C77" t="inlineStr">
        <is>
          <t>05/FY/27</t>
        </is>
      </c>
      <c r="D77" s="2" t="n">
        <v>46175</v>
      </c>
      <c r="E77" s="2" t="n">
        <v>46203</v>
      </c>
      <c r="F77" t="inlineStr">
        <is>
          <t>11:00</t>
        </is>
      </c>
      <c r="G77" t="inlineStr">
        <is>
          <t>Request for Bid(Open-Tender)</t>
        </is>
      </c>
      <c r="H77" t="inlineStr">
        <is>
          <t>REPAIRS AND MAINTENANCE OF FORT WILTSHIRE (B4) STAFF ACCOMMODATION AT GREAT FISH RIVER NATURE RESERVE</t>
        </is>
      </c>
      <c r="I77" t="inlineStr">
        <is>
          <t>ETENDERS.GOV.ZA</t>
        </is>
      </c>
      <c r="J77" t="inlineStr">
        <is>
          <t>Eastern Cape - Eastern Cape Parks and Tourism Agency</t>
        </is>
      </c>
      <c r="K77" t="inlineStr">
        <is>
          <t>Eastern Cape</t>
        </is>
      </c>
      <c r="L77" t="inlineStr">
        <is>
          <t>No</t>
        </is>
      </c>
      <c r="M77" t="inlineStr">
        <is>
          <t>Construction</t>
        </is>
      </c>
      <c r="N77" t="inlineStr">
        <is>
          <t>Yes</t>
        </is>
      </c>
      <c r="O77" t="inlineStr">
        <is>
          <t>Yes</t>
        </is>
      </c>
      <c r="P77" t="inlineStr">
        <is>
          <t>Great Fish Nature Reserve (Double Drift – Alice) GPS Co- ordinates - Latitude 32°59’ 32.19” S Longit</t>
        </is>
      </c>
      <c r="Q77" s="3" t="inlineStr">
        <is>
          <t>https://www.etenders.gov.za/home/Download/?blobName=802d5e0e-2f8a-47f4-a3bd-1962ddd8043a.pdf&amp;downloadedFileName=Tender%20Document%20-%2005FY27.pdf</t>
        </is>
      </c>
      <c r="R77" t="inlineStr"/>
      <c r="S77" t="inlineStr"/>
      <c r="T77" t="inlineStr"/>
      <c r="U77" t="inlineStr"/>
      <c r="V77" t="inlineStr"/>
    </row>
    <row r="78">
      <c r="A78" s="2" t="n">
        <v>46175</v>
      </c>
      <c r="B78" t="n">
        <v>173</v>
      </c>
      <c r="C78" t="inlineStr">
        <is>
          <t>SCMU3-2627-0124-NMB</t>
        </is>
      </c>
      <c r="D78" s="2" t="n">
        <v>46175</v>
      </c>
      <c r="E78" s="2" t="n">
        <v>46206</v>
      </c>
      <c r="F78" t="inlineStr">
        <is>
          <t>11:00</t>
        </is>
      </c>
      <c r="G78" t="inlineStr">
        <is>
          <t>Request for Bid(Open-Tender)</t>
        </is>
      </c>
      <c r="H78" t="inlineStr">
        <is>
          <t>ELIZABETH DONKIN HOSPITAL- REPAIRS, REFURBISHMENT &amp; RENOVATIONS OF THE EXISTING KITCHEN</t>
        </is>
      </c>
      <c r="I78" t="inlineStr">
        <is>
          <t>ETENDERS.GOV.ZA</t>
        </is>
      </c>
      <c r="J78" t="inlineStr">
        <is>
          <t>Eastern Cape - Health</t>
        </is>
      </c>
      <c r="K78" t="inlineStr">
        <is>
          <t>Eastern Cape</t>
        </is>
      </c>
      <c r="L78" t="inlineStr">
        <is>
          <t>No</t>
        </is>
      </c>
      <c r="M78" t="inlineStr">
        <is>
          <t>Services to buildings and landscape activities</t>
        </is>
      </c>
      <c r="N78" t="inlineStr">
        <is>
          <t>Yes</t>
        </is>
      </c>
      <c r="O78" t="inlineStr">
        <is>
          <t>Yes</t>
        </is>
      </c>
      <c r="P78" t="inlineStr">
        <is>
          <t>Friday 12 June 2026 @ 11h00, at the Elizabeth Donkin Psychiatric Hospital, Corner of La Roche and Fo</t>
        </is>
      </c>
      <c r="Q78" s="3" t="inlineStr">
        <is>
          <t>https://www.etenders.gov.za/home/Download/?blobName=8c1095d0-5a89-452d-bb55-be49dfc1f72f.pdf&amp;downloadedFileName=EDH%20Returnable%20%2015%20May%202026%20(E%20Tender_MDA%20Final%20Edits)%20(2).pdf</t>
        </is>
      </c>
      <c r="R78" t="inlineStr"/>
      <c r="S78" t="inlineStr"/>
      <c r="T78" t="inlineStr"/>
      <c r="U78" t="inlineStr"/>
      <c r="V78" t="inlineStr"/>
    </row>
    <row r="79">
      <c r="A79" s="2" t="n">
        <v>46175</v>
      </c>
      <c r="B79" t="n">
        <v>172</v>
      </c>
      <c r="C79" t="inlineStr">
        <is>
          <t>T29/06/26</t>
        </is>
      </c>
      <c r="D79" s="2" t="n">
        <v>46175</v>
      </c>
      <c r="E79" s="2" t="n">
        <v>46192</v>
      </c>
      <c r="F79" t="inlineStr">
        <is>
          <t>11:00</t>
        </is>
      </c>
      <c r="G79" t="inlineStr">
        <is>
          <t>Request for Bid(Open-Tender)</t>
        </is>
      </c>
      <c r="H79" t="inlineStr">
        <is>
          <t>SERVICE PROVIDER TO DEVELOP FEASIBILITY, A BUSINESS CASE, PROVIDE ADVISORY SERVICES, AND ENSURE IMPLEMENTATION READINESS FOR THE EMBALENHLE WASTE TRANSFER STATION PROJECT</t>
        </is>
      </c>
      <c r="I79" t="inlineStr">
        <is>
          <t>ETENDERS.GOV.ZA</t>
        </is>
      </c>
      <c r="J79" t="inlineStr">
        <is>
          <t>Industrial Development Corporation of South Africa Limited</t>
        </is>
      </c>
      <c r="K79" t="inlineStr">
        <is>
          <t>National</t>
        </is>
      </c>
      <c r="L79" t="inlineStr">
        <is>
          <t>No</t>
        </is>
      </c>
      <c r="M79" t="inlineStr">
        <is>
          <t>Services: Professional</t>
        </is>
      </c>
      <c r="N79" t="inlineStr">
        <is>
          <t>Yes</t>
        </is>
      </c>
      <c r="O79" t="inlineStr">
        <is>
          <t>No</t>
        </is>
      </c>
      <c r="P79" t="inlineStr">
        <is>
          <t>https://teams.microsoft.com/meet/310732621770082?p=PL07xlvLI2yRIYCI9c</t>
        </is>
      </c>
      <c r="Q79" s="3" t="inlineStr">
        <is>
          <t>https://www.etenders.gov.za/home/Download/?blobName=aa7c18db-724c-49ea-98ab-6af09fa2227f.pdf&amp;downloadedFileName=T29-06-26_GovanMbeki.pdf</t>
        </is>
      </c>
      <c r="R79" t="inlineStr"/>
      <c r="S79" t="inlineStr"/>
      <c r="T79" t="inlineStr"/>
      <c r="U79" t="inlineStr"/>
      <c r="V79" t="inlineStr"/>
    </row>
    <row r="80">
      <c r="A80" s="2" t="n">
        <v>46175</v>
      </c>
      <c r="B80" t="n">
        <v>171</v>
      </c>
      <c r="C80" t="inlineStr">
        <is>
          <t>RFQ / ADV / 06/2026</t>
        </is>
      </c>
      <c r="D80" s="2" t="n">
        <v>46175</v>
      </c>
      <c r="E80" s="2" t="n">
        <v>46182</v>
      </c>
      <c r="F80" t="inlineStr">
        <is>
          <t>11:00</t>
        </is>
      </c>
      <c r="G80" t="inlineStr">
        <is>
          <t>Request for Quotation</t>
        </is>
      </c>
      <c r="H80" t="inlineStr">
        <is>
          <t>Request For Quotation (RFQ) for Tablecloths</t>
        </is>
      </c>
      <c r="I80" t="inlineStr">
        <is>
          <t>ETENDERS.GOV.ZA</t>
        </is>
      </c>
      <c r="J80" t="inlineStr">
        <is>
          <t>Iziko Museums of Cape Town</t>
        </is>
      </c>
      <c r="K80" t="inlineStr">
        <is>
          <t>Western Cape</t>
        </is>
      </c>
      <c r="L80" t="inlineStr">
        <is>
          <t>No</t>
        </is>
      </c>
      <c r="M80" t="inlineStr">
        <is>
          <t>Other manufacturing</t>
        </is>
      </c>
      <c r="N80" t="inlineStr">
        <is>
          <t>Yes</t>
        </is>
      </c>
      <c r="O80" t="inlineStr">
        <is>
          <t>Yes</t>
        </is>
      </c>
      <c r="P80" t="inlineStr">
        <is>
          <t>N/A</t>
        </is>
      </c>
      <c r="Q80" s="3" t="inlineStr">
        <is>
          <t>https://www.etenders.gov.za/home/Download/?blobName=db59e6c2-e185-47f1-88c0-53d8a88e3f6d.pdf&amp;downloadedFileName=RFQ%20FOR%20TABLECLOTHS%20-%20ADV-%20JUNE.pdf</t>
        </is>
      </c>
      <c r="R80" t="inlineStr"/>
      <c r="S80" t="inlineStr"/>
      <c r="T80" t="inlineStr"/>
      <c r="U80" t="inlineStr"/>
      <c r="V80" t="inlineStr"/>
    </row>
    <row r="81">
      <c r="A81" s="2" t="n">
        <v>46175</v>
      </c>
      <c r="B81" t="n">
        <v>170</v>
      </c>
      <c r="C81" t="inlineStr">
        <is>
          <t>26/25/26</t>
        </is>
      </c>
      <c r="D81" s="2" t="n">
        <v>46175</v>
      </c>
      <c r="E81" s="2" t="n">
        <v>46206</v>
      </c>
      <c r="F81" t="inlineStr">
        <is>
          <t>12:00</t>
        </is>
      </c>
      <c r="G81" t="inlineStr">
        <is>
          <t>Request for Bid(Open-Tender)</t>
        </is>
      </c>
      <c r="H81" t="inlineStr">
        <is>
          <t>ESTABLISHMENT OF A PANEL OF GRASS CUTTING CONTRACTORS FOR GRASS CUTTING SERVICES WITHIN MANDENI FOR A PERIOD OF 3 YEARS AS AND WHEN REQUIRED ON ROTATION BASIS.</t>
        </is>
      </c>
      <c r="I81" t="inlineStr">
        <is>
          <t>ETENDERS.GOV.ZA</t>
        </is>
      </c>
      <c r="J81" t="inlineStr">
        <is>
          <t>Mandeni Local Municipality</t>
        </is>
      </c>
      <c r="K81" t="inlineStr">
        <is>
          <t>KwaZulu-Natal</t>
        </is>
      </c>
      <c r="L81" t="inlineStr">
        <is>
          <t>No</t>
        </is>
      </c>
      <c r="M81" t="inlineStr">
        <is>
          <t>Other service activities</t>
        </is>
      </c>
      <c r="N81" t="inlineStr">
        <is>
          <t>Yes</t>
        </is>
      </c>
      <c r="O81" t="inlineStr">
        <is>
          <t>Yes</t>
        </is>
      </c>
      <c r="P81" t="inlineStr">
        <is>
          <t>TUGELA COMMUNITY HALL</t>
        </is>
      </c>
      <c r="Q81" s="3" t="inlineStr">
        <is>
          <t>https://www.etenders.gov.za/home/Download/?blobName=8d302740-a9b9-48d2-9cc2-f58b0f9a49df.pdf&amp;downloadedFileName=Advert%20Grass%20Cutting..pdf</t>
        </is>
      </c>
      <c r="R81" t="inlineStr"/>
      <c r="S81" t="inlineStr"/>
      <c r="T81" t="inlineStr"/>
      <c r="U81" t="inlineStr"/>
      <c r="V81" t="inlineStr"/>
    </row>
    <row r="82">
      <c r="A82" s="2" t="n">
        <v>46175</v>
      </c>
      <c r="B82" t="n">
        <v>169</v>
      </c>
      <c r="C82" t="inlineStr">
        <is>
          <t>RFP/OBP16/25/EMU03</t>
        </is>
      </c>
      <c r="D82" s="2" t="n">
        <v>46175</v>
      </c>
      <c r="E82" s="2" t="n">
        <v>46205</v>
      </c>
      <c r="F82" t="inlineStr">
        <is>
          <t>13:00</t>
        </is>
      </c>
      <c r="G82" t="inlineStr">
        <is>
          <t>Request for Proposal</t>
        </is>
      </c>
      <c r="H82" t="inlineStr">
        <is>
          <t>Tender for Specialised Technical Advisory Services to determine requirements and specifications for vaccine facility to achieve Good Manufacturing Practice certification at OBP.</t>
        </is>
      </c>
      <c r="I82" t="inlineStr">
        <is>
          <t>ETENDERS.GOV.ZA</t>
        </is>
      </c>
      <c r="J82" t="inlineStr">
        <is>
          <t>Onderstepoort Biological Products Limited</t>
        </is>
      </c>
      <c r="K82" t="inlineStr">
        <is>
          <t>Gauteng</t>
        </is>
      </c>
      <c r="L82" t="inlineStr">
        <is>
          <t>No</t>
        </is>
      </c>
      <c r="M82" t="inlineStr">
        <is>
          <t>Services: Professional</t>
        </is>
      </c>
      <c r="N82" t="inlineStr">
        <is>
          <t>Yes</t>
        </is>
      </c>
      <c r="O82" t="inlineStr">
        <is>
          <t>Yes</t>
        </is>
      </c>
      <c r="P82" t="inlineStr">
        <is>
          <t>100 Old Soutpan Rd Onderstepoort, Pretoria, 0110</t>
        </is>
      </c>
      <c r="Q82" s="3" t="inlineStr">
        <is>
          <t>https://www.etenders.gov.za/home/Download/?blobName=733895e5-2fa9-40c6-9b07-d2a9f86b031a.pdf&amp;downloadedFileName=RFP%20For%20GMP%20Specialised%20Technical%20Advisory%20Final%20TOR%20Approved.pdf</t>
        </is>
      </c>
      <c r="R82" t="inlineStr"/>
      <c r="S82" t="inlineStr"/>
      <c r="T82" t="inlineStr"/>
      <c r="U82" t="inlineStr"/>
      <c r="V82" t="inlineStr"/>
    </row>
    <row r="83">
      <c r="A83" s="2" t="n">
        <v>46175</v>
      </c>
      <c r="B83" t="n">
        <v>168</v>
      </c>
      <c r="C83" t="inlineStr">
        <is>
          <t>00390/26_re-advert</t>
        </is>
      </c>
      <c r="D83" s="2" t="n">
        <v>46175</v>
      </c>
      <c r="E83" s="2" t="n">
        <v>46206</v>
      </c>
      <c r="F83" t="inlineStr">
        <is>
          <t>12:00</t>
        </is>
      </c>
      <c r="G83" t="inlineStr">
        <is>
          <t>Request for Bid(Open-Tender)</t>
        </is>
      </c>
      <c r="H83" t="inlineStr">
        <is>
          <t>Panel of Technical Equipment Repairs &amp; Maintenance for Joburg City Theatres (Re-advert)</t>
        </is>
      </c>
      <c r="I83" t="inlineStr">
        <is>
          <t>ETENDERS.GOV.ZA</t>
        </is>
      </c>
      <c r="J83" t="inlineStr">
        <is>
          <t>JOBURG THEATRE (SOC) LTD</t>
        </is>
      </c>
      <c r="K83" t="inlineStr">
        <is>
          <t>Gauteng</t>
        </is>
      </c>
      <c r="L83" t="inlineStr">
        <is>
          <t>No</t>
        </is>
      </c>
      <c r="M83" t="inlineStr">
        <is>
          <t>Repair and installation of machinery and equipment</t>
        </is>
      </c>
      <c r="N83" t="inlineStr">
        <is>
          <t>Yes</t>
        </is>
      </c>
      <c r="O83" t="inlineStr">
        <is>
          <t>Yes</t>
        </is>
      </c>
      <c r="P83" t="inlineStr">
        <is>
          <t>Joburg Theatre, 163 Civic Boulevard , Braamfontein</t>
        </is>
      </c>
      <c r="Q83" s="3" t="inlineStr">
        <is>
          <t>https://www.etenders.gov.za/home/Download/?blobName=f9f2c40d-ae9c-4329-9b46-fbd5ad269a93.docx&amp;downloadedFileName=BID%2000390%20Panel%20of%20technical%20Equipment%20Repairs%20RE-ADVERT.docx</t>
        </is>
      </c>
      <c r="R83" t="inlineStr"/>
      <c r="S83" t="inlineStr"/>
      <c r="T83" t="inlineStr"/>
      <c r="U83" t="inlineStr"/>
      <c r="V83" t="inlineStr"/>
    </row>
    <row r="84">
      <c r="A84" s="2" t="n">
        <v>46175</v>
      </c>
      <c r="B84" t="n">
        <v>167</v>
      </c>
      <c r="C84" t="inlineStr">
        <is>
          <t>00379/25_ re-advert</t>
        </is>
      </c>
      <c r="D84" s="2" t="n">
        <v>46175</v>
      </c>
      <c r="E84" s="2" t="n">
        <v>46192</v>
      </c>
      <c r="F84" t="inlineStr">
        <is>
          <t>12:00</t>
        </is>
      </c>
      <c r="G84" t="inlineStr">
        <is>
          <t>Request for Bid(Open-Tender)</t>
        </is>
      </c>
      <c r="H84" t="inlineStr">
        <is>
          <t>Panel of Service Providers for the Photography and Videography Services for Joburg City Theatres (Re-advert)</t>
        </is>
      </c>
      <c r="I84" t="inlineStr">
        <is>
          <t>ETENDERS.GOV.ZA</t>
        </is>
      </c>
      <c r="J84" t="inlineStr">
        <is>
          <t>JOBURG THEATRE (SOC) LTD</t>
        </is>
      </c>
      <c r="K84" t="inlineStr">
        <is>
          <t>Gauteng</t>
        </is>
      </c>
      <c r="L84" t="inlineStr">
        <is>
          <t>No</t>
        </is>
      </c>
      <c r="M84" t="inlineStr">
        <is>
          <t>Arts, entertainment and recreation</t>
        </is>
      </c>
      <c r="N84" t="inlineStr">
        <is>
          <t>No</t>
        </is>
      </c>
      <c r="O84" t="inlineStr">
        <is>
          <t>No</t>
        </is>
      </c>
      <c r="P84" t="inlineStr">
        <is>
          <t>J</t>
        </is>
      </c>
      <c r="Q84" s="3" t="inlineStr">
        <is>
          <t>https://www.etenders.gov.za/home/Download/?blobName=29d53559-42d4-442a-b1b9-edc799b262bb.docx&amp;downloadedFileName=BID00379_25%20PANEL%20OF%20SERVICE%20PROVIDERS%20FOR%20THE%20PROVISION%20OF%20VIDEOGRAPHY%20AND%20PHOTOGRAPHY%20SERVICES%20FOR%20JOBURG%20CITY%20THEATRES%20(Final).docx</t>
        </is>
      </c>
      <c r="R84" t="inlineStr"/>
      <c r="S84" t="inlineStr"/>
      <c r="T84" t="inlineStr"/>
      <c r="U84" t="inlineStr"/>
      <c r="V84" t="inlineStr"/>
    </row>
    <row r="85">
      <c r="A85" s="2" t="n">
        <v>46175</v>
      </c>
      <c r="B85" t="n">
        <v>166</v>
      </c>
      <c r="C85" t="inlineStr">
        <is>
          <t>00383/26_re-advert</t>
        </is>
      </c>
      <c r="D85" s="2" t="n">
        <v>46175</v>
      </c>
      <c r="E85" s="2" t="n">
        <v>46192</v>
      </c>
      <c r="F85" t="inlineStr">
        <is>
          <t>12:00</t>
        </is>
      </c>
      <c r="G85" t="inlineStr">
        <is>
          <t>Request for Bid(Open-Tender)</t>
        </is>
      </c>
      <c r="H85" t="inlineStr">
        <is>
          <t>Upgrade of Building Management System at Joburg Theatre (Re-advert)</t>
        </is>
      </c>
      <c r="I85" t="inlineStr">
        <is>
          <t>ETENDERS.GOV.ZA</t>
        </is>
      </c>
      <c r="J85" t="inlineStr">
        <is>
          <t>JOBURG THEATRE (SOC) LTD</t>
        </is>
      </c>
      <c r="K85" t="inlineStr">
        <is>
          <t>Gauteng</t>
        </is>
      </c>
      <c r="L85" t="inlineStr">
        <is>
          <t>No</t>
        </is>
      </c>
      <c r="M85" t="inlineStr">
        <is>
          <t>Services: Building</t>
        </is>
      </c>
      <c r="N85" t="inlineStr">
        <is>
          <t>Yes</t>
        </is>
      </c>
      <c r="O85" t="inlineStr">
        <is>
          <t>Yes</t>
        </is>
      </c>
      <c r="P85" t="inlineStr">
        <is>
          <t>Joburg Theatre, 163 Civic Boulevard , Braamfontein</t>
        </is>
      </c>
      <c r="Q85" s="3" t="inlineStr">
        <is>
          <t>https://www.etenders.gov.za/home/Download/?blobName=9eb6c416-fcf0-415b-bc0d-e1266b3a0cf9.docx&amp;downloadedFileName=Upgrade%20of%20Building%20Management%20System%20at%20Joburg%20Theatre%20_%20Readvert_FINAL.docx</t>
        </is>
      </c>
      <c r="R85" t="inlineStr"/>
      <c r="S85" t="inlineStr"/>
      <c r="T85" t="inlineStr"/>
      <c r="U85" t="inlineStr"/>
      <c r="V85" t="inlineStr"/>
    </row>
    <row r="86">
      <c r="A86" s="2" t="n">
        <v>46175</v>
      </c>
      <c r="B86" t="n">
        <v>165</v>
      </c>
      <c r="C86" t="inlineStr">
        <is>
          <t>RFQ/OBP050/2026/27</t>
        </is>
      </c>
      <c r="D86" s="2" t="n">
        <v>46175</v>
      </c>
      <c r="E86" s="2" t="n">
        <v>46189</v>
      </c>
      <c r="F86" t="inlineStr">
        <is>
          <t>16:00</t>
        </is>
      </c>
      <c r="G86" t="inlineStr">
        <is>
          <t>Request for Quotation</t>
        </is>
      </c>
      <c r="H86" t="inlineStr">
        <is>
          <t>Supply of Microsoft 365 License with MS Teams valid for one (1) year</t>
        </is>
      </c>
      <c r="I86" t="inlineStr">
        <is>
          <t>ETENDERS.GOV.ZA</t>
        </is>
      </c>
      <c r="J86" t="inlineStr">
        <is>
          <t>Onderstepoort Biological Products Limited</t>
        </is>
      </c>
      <c r="K86" t="inlineStr">
        <is>
          <t>Gauteng</t>
        </is>
      </c>
      <c r="L86" t="inlineStr">
        <is>
          <t>No</t>
        </is>
      </c>
      <c r="M86" t="inlineStr">
        <is>
          <t>Services: Professional</t>
        </is>
      </c>
      <c r="N86" t="inlineStr">
        <is>
          <t>No</t>
        </is>
      </c>
      <c r="O86" t="inlineStr">
        <is>
          <t>No</t>
        </is>
      </c>
      <c r="P86" t="inlineStr">
        <is>
          <t>N/A</t>
        </is>
      </c>
      <c r="Q86" s="3" t="inlineStr">
        <is>
          <t>https://www.etenders.gov.za/home/Download/?blobName=3df795b9-29c8-470d-81f7-dc97c5094c85.pdf&amp;downloadedFileName=Solicitation%20ID%20RFQ_OBP050_2026_27%20Request%20for%20Quote%20Jun%2002%202026%20(1).pdf</t>
        </is>
      </c>
      <c r="R86" t="inlineStr"/>
      <c r="S86" t="inlineStr"/>
      <c r="T86" t="inlineStr"/>
      <c r="U86" t="inlineStr"/>
      <c r="V86" t="inlineStr"/>
    </row>
    <row r="87">
      <c r="A87" s="2" t="n">
        <v>46175</v>
      </c>
      <c r="B87" t="n">
        <v>164</v>
      </c>
      <c r="C87" t="inlineStr">
        <is>
          <t>T28-06-26</t>
        </is>
      </c>
      <c r="D87" s="2" t="n">
        <v>46175</v>
      </c>
      <c r="E87" s="2" t="n">
        <v>46190</v>
      </c>
      <c r="F87" t="inlineStr">
        <is>
          <t>11:00</t>
        </is>
      </c>
      <c r="G87" t="inlineStr">
        <is>
          <t>Request for Proposal</t>
        </is>
      </c>
      <c r="H87" t="inlineStr">
        <is>
          <t>OFFICE BUILDING RENOVATIONS TO THE NEW IDC REGIONAL OFFICE IN DURBAN</t>
        </is>
      </c>
      <c r="I87" t="inlineStr">
        <is>
          <t>ETENDERS.GOV.ZA</t>
        </is>
      </c>
      <c r="J87" t="inlineStr">
        <is>
          <t>Industrial Development Corporation of South Africa Limited</t>
        </is>
      </c>
      <c r="K87" t="inlineStr">
        <is>
          <t>KwaZulu-Natal</t>
        </is>
      </c>
      <c r="L87" t="inlineStr">
        <is>
          <t>No</t>
        </is>
      </c>
      <c r="M87" t="inlineStr">
        <is>
          <t>Construction of buildings</t>
        </is>
      </c>
      <c r="N87" t="inlineStr">
        <is>
          <t>Yes</t>
        </is>
      </c>
      <c r="O87" t="inlineStr">
        <is>
          <t>Yes</t>
        </is>
      </c>
      <c r="P87" t="inlineStr">
        <is>
          <t>Ground Floor, Westway Office Park, 5 The Crescent, Westville, Durban, 3635</t>
        </is>
      </c>
      <c r="Q87" s="3" t="inlineStr">
        <is>
          <t>https://www.etenders.gov.za/home/Download/?blobName=5ed534e0-4601-456c-bbe8-0217a52dd319.pdf&amp;downloadedFileName=IDC%20Offices%20-%20Sheet%20-%20IDCSP-001%20-%20Floor%20Plan%20-%20Revision%205%20-%20Option%20B.pdf</t>
        </is>
      </c>
      <c r="R87" t="inlineStr"/>
      <c r="S87" t="inlineStr"/>
      <c r="T87" t="inlineStr"/>
      <c r="U87" t="inlineStr"/>
      <c r="V87" t="inlineStr"/>
    </row>
    <row r="88">
      <c r="A88" s="2" t="n">
        <v>46175</v>
      </c>
      <c r="B88" t="n">
        <v>163</v>
      </c>
      <c r="C88" t="inlineStr">
        <is>
          <t>T27-06-26</t>
        </is>
      </c>
      <c r="D88" s="2" t="n">
        <v>46175</v>
      </c>
      <c r="E88" s="2" t="n">
        <v>46192</v>
      </c>
      <c r="F88" t="inlineStr">
        <is>
          <t>11:00</t>
        </is>
      </c>
      <c r="G88" t="inlineStr">
        <is>
          <t>Request for Proposal</t>
        </is>
      </c>
      <c r="H88" t="inlineStr">
        <is>
          <t>THE APPOINTMENT OF A SERVICE PROVIDER FOR TRANSACTION ADVISORY SERVICES</t>
        </is>
      </c>
      <c r="I88" t="inlineStr">
        <is>
          <t>ETENDERS.GOV.ZA</t>
        </is>
      </c>
      <c r="J88" t="inlineStr">
        <is>
          <t>Industrial Development Corporation of South Africa Limited</t>
        </is>
      </c>
      <c r="K88" t="inlineStr">
        <is>
          <t>Gauteng</t>
        </is>
      </c>
      <c r="L88" t="inlineStr">
        <is>
          <t>No</t>
        </is>
      </c>
      <c r="M88" t="inlineStr">
        <is>
          <t>Professional, scientific and technical activities</t>
        </is>
      </c>
      <c r="N88" t="inlineStr">
        <is>
          <t>Yes</t>
        </is>
      </c>
      <c r="O88" t="inlineStr">
        <is>
          <t>Yes</t>
        </is>
      </c>
      <c r="P88" t="inlineStr">
        <is>
          <t>IDC Head office, 19 Fredman Drive, Sandown, Sandton</t>
        </is>
      </c>
      <c r="Q88" s="3" t="inlineStr">
        <is>
          <t>https://www.etenders.gov.za/home/Download/?blobName=656320f9-fd6d-42e8-96ea-175900a1b98b.pdf&amp;downloadedFileName=T27-06%20-%2026%20TRANSACTION%20ADVISORY%20SERVICES.pdf</t>
        </is>
      </c>
      <c r="R88" t="inlineStr"/>
      <c r="S88" t="inlineStr"/>
      <c r="T88" t="inlineStr"/>
      <c r="U88" t="inlineStr"/>
      <c r="V88" t="inlineStr"/>
    </row>
    <row r="89">
      <c r="A89" s="2" t="n">
        <v>46175</v>
      </c>
      <c r="B89" t="n">
        <v>162</v>
      </c>
      <c r="C89" t="inlineStr">
        <is>
          <t>E2989GXMPLET</t>
        </is>
      </c>
      <c r="D89" s="2" t="n">
        <v>46175</v>
      </c>
      <c r="E89" s="2" t="n">
        <v>46190</v>
      </c>
      <c r="F89" t="inlineStr">
        <is>
          <t>10:00</t>
        </is>
      </c>
      <c r="G89" t="inlineStr">
        <is>
          <t>Request for Bid(Open-Tender)</t>
        </is>
      </c>
      <c r="H89" t="inlineStr">
        <is>
          <t>Maintenance of the fire protection system at the boiler burners for a five (5) year period during unit outages</t>
        </is>
      </c>
      <c r="I89" t="inlineStr">
        <is>
          <t>ETENDERS.GOV.ZA</t>
        </is>
      </c>
      <c r="J89" t="inlineStr">
        <is>
          <t>ESKOM</t>
        </is>
      </c>
      <c r="K89" t="inlineStr">
        <is>
          <t>North West</t>
        </is>
      </c>
      <c r="L89" t="inlineStr">
        <is>
          <t>No</t>
        </is>
      </c>
      <c r="M89" t="inlineStr">
        <is>
          <t>Supplies: General</t>
        </is>
      </c>
      <c r="N89" t="inlineStr">
        <is>
          <t>Yes</t>
        </is>
      </c>
      <c r="O89" t="inlineStr">
        <is>
          <t>No</t>
        </is>
      </c>
      <c r="P89" t="inlineStr">
        <is>
          <t>MS TEAMS</t>
        </is>
      </c>
      <c r="Q89" s="3" t="inlineStr">
        <is>
          <t>https://www.etenders.gov.za/home/Download/?blobName=f20f741f-8137-4f83-b595-24805573a9a9.pdf&amp;downloadedFileName=Annexure%20C1%20OHS%20Tender%20Evaluation%20(High%20risk).pdf</t>
        </is>
      </c>
      <c r="R89" t="inlineStr"/>
      <c r="S89" t="inlineStr"/>
      <c r="T89" t="inlineStr"/>
      <c r="U89" t="inlineStr"/>
      <c r="V89" t="inlineStr"/>
    </row>
    <row r="90">
      <c r="A90" s="2" t="n">
        <v>46175</v>
      </c>
      <c r="B90" t="n">
        <v>161</v>
      </c>
      <c r="C90" t="inlineStr">
        <is>
          <t>E3001DXKZNOU</t>
        </is>
      </c>
      <c r="D90" s="2" t="n">
        <v>46175</v>
      </c>
      <c r="E90" s="2" t="n">
        <v>46195</v>
      </c>
      <c r="F90" t="inlineStr">
        <is>
          <t>11:00</t>
        </is>
      </c>
      <c r="G90" t="inlineStr">
        <is>
          <t>Expression of interest</t>
        </is>
      </c>
      <c r="H90" t="inlineStr">
        <is>
          <t>Eskom Distribution Division is seeking to lease, lease-to-own, or acquire outright a warehouse facility to serve as a Regional Distribution Centre within Durban, Kwa-Zulu Natal Province.</t>
        </is>
      </c>
      <c r="I90" t="inlineStr">
        <is>
          <t>ETENDERS.GOV.ZA</t>
        </is>
      </c>
      <c r="J90" t="inlineStr">
        <is>
          <t>ESKOM</t>
        </is>
      </c>
      <c r="K90" t="inlineStr">
        <is>
          <t>KwaZulu-Natal</t>
        </is>
      </c>
      <c r="L90" t="inlineStr">
        <is>
          <t>No</t>
        </is>
      </c>
      <c r="M90" t="inlineStr">
        <is>
          <t>Rental and leasing activities</t>
        </is>
      </c>
      <c r="N90" t="inlineStr">
        <is>
          <t>No</t>
        </is>
      </c>
      <c r="O90" t="inlineStr">
        <is>
          <t>No</t>
        </is>
      </c>
      <c r="P90" t="inlineStr">
        <is>
          <t>N/A</t>
        </is>
      </c>
      <c r="Q90" s="3" t="inlineStr">
        <is>
          <t>https://www.etenders.gov.za/home/Download/?blobName=f372ded4-4e66-4805-a67a-033d3cc08705.pdf&amp;downloadedFileName=E-tendering%20Help%20Manual%20for%20supplier%20-%2027%20January%202025.pdf</t>
        </is>
      </c>
      <c r="R90" t="inlineStr"/>
      <c r="S90" t="inlineStr"/>
      <c r="T90" t="inlineStr"/>
      <c r="U90" t="inlineStr"/>
      <c r="V90" t="inlineStr"/>
    </row>
    <row r="91">
      <c r="A91" s="2" t="n">
        <v>46175</v>
      </c>
      <c r="B91" t="n">
        <v>160</v>
      </c>
      <c r="C91" t="inlineStr">
        <is>
          <t>25/25/26</t>
        </is>
      </c>
      <c r="D91" s="2" t="n">
        <v>46175</v>
      </c>
      <c r="E91" s="2" t="n">
        <v>46206</v>
      </c>
      <c r="F91" t="inlineStr">
        <is>
          <t>12:00</t>
        </is>
      </c>
      <c r="G91" t="inlineStr">
        <is>
          <t>Request for Bid(Open-Tender)</t>
        </is>
      </c>
      <c r="H91" t="inlineStr">
        <is>
          <t>PROVISION AND MANAGEMENT OF SHORT-TERM INSURANCE PORTFOLIO FOR A PERIOD OF 36 MONTHS.</t>
        </is>
      </c>
      <c r="I91" t="inlineStr">
        <is>
          <t>ETENDERS.GOV.ZA</t>
        </is>
      </c>
      <c r="J91" t="inlineStr">
        <is>
          <t>Mandeni Local Municipality</t>
        </is>
      </c>
      <c r="K91" t="inlineStr">
        <is>
          <t>KwaZulu-Natal</t>
        </is>
      </c>
      <c r="L91" t="inlineStr">
        <is>
          <t>No</t>
        </is>
      </c>
      <c r="M91" t="inlineStr">
        <is>
          <t>Insurance, reinsurance and pension funding, except compulsory social security</t>
        </is>
      </c>
      <c r="N91" t="inlineStr">
        <is>
          <t>Yes</t>
        </is>
      </c>
      <c r="O91" t="inlineStr">
        <is>
          <t>Yes</t>
        </is>
      </c>
      <c r="P91" t="inlineStr">
        <is>
          <t>COUNCIL CHAMBER</t>
        </is>
      </c>
      <c r="Q91" s="3" t="inlineStr">
        <is>
          <t>https://www.etenders.gov.za/home/Download/?blobName=095c3fe5-baa6-4842-b398-75dbab9bbd3b.pdf&amp;downloadedFileName=Advert_Short_Term_Insurance[1].pdf</t>
        </is>
      </c>
      <c r="R91" t="inlineStr"/>
      <c r="S91" t="inlineStr"/>
      <c r="T91" t="inlineStr"/>
      <c r="U91" t="inlineStr"/>
      <c r="V91" t="inlineStr"/>
    </row>
    <row r="92">
      <c r="A92" s="2" t="n">
        <v>46175</v>
      </c>
      <c r="B92" t="n">
        <v>159</v>
      </c>
      <c r="C92" t="inlineStr">
        <is>
          <t>IT-OP-004- 2025/2026</t>
        </is>
      </c>
      <c r="D92" s="2" t="n">
        <v>46175</v>
      </c>
      <c r="E92" s="2" t="n">
        <v>46206</v>
      </c>
      <c r="F92" t="inlineStr">
        <is>
          <t>11:00</t>
        </is>
      </c>
      <c r="G92" t="inlineStr">
        <is>
          <t>Request for Bid(Open-Tender)</t>
        </is>
      </c>
      <c r="H92" t="inlineStr">
        <is>
          <t>Re-Advert: Appointment of a service provider for the support and maintenance of oracle database, oracle application server, and Microsoft SQL* server for a period of 36 months</t>
        </is>
      </c>
      <c r="I92" t="inlineStr">
        <is>
          <t>ETENDERS.GOV.ZA</t>
        </is>
      </c>
      <c r="J92" t="inlineStr">
        <is>
          <t>Johannesburg Market</t>
        </is>
      </c>
      <c r="K92" t="inlineStr">
        <is>
          <t>Gauteng</t>
        </is>
      </c>
      <c r="L92" t="inlineStr">
        <is>
          <t>No</t>
        </is>
      </c>
      <c r="M92" t="inlineStr">
        <is>
          <t>Information service activities</t>
        </is>
      </c>
      <c r="N92" t="inlineStr">
        <is>
          <t>Yes</t>
        </is>
      </c>
      <c r="O92" t="inlineStr">
        <is>
          <t>Yes</t>
        </is>
      </c>
      <c r="P92" t="inlineStr">
        <is>
          <t>Opportunity Centre</t>
        </is>
      </c>
      <c r="Q92" s="3" t="inlineStr">
        <is>
          <t>https://www.etenders.gov.za/home/Download/?blobName=94e18f5a-5c3b-4d53-9e6b-02187b0e8dbd.pdf&amp;downloadedFileName=Tender%20Document%20-%20Re-advert%20Database%20Application%202%20June%202026%20final.pdf</t>
        </is>
      </c>
      <c r="R92" t="inlineStr"/>
      <c r="S92" t="inlineStr"/>
      <c r="T92" t="inlineStr"/>
      <c r="U92" t="inlineStr"/>
      <c r="V92" t="inlineStr"/>
    </row>
    <row r="93">
      <c r="A93" s="2" t="n">
        <v>46175</v>
      </c>
      <c r="B93" t="n">
        <v>158</v>
      </c>
      <c r="C93" t="inlineStr">
        <is>
          <t>00393/26</t>
        </is>
      </c>
      <c r="D93" s="2" t="n">
        <v>46175</v>
      </c>
      <c r="E93" s="2" t="n">
        <v>46192</v>
      </c>
      <c r="F93" t="inlineStr">
        <is>
          <t>12:00</t>
        </is>
      </c>
      <c r="G93" t="inlineStr">
        <is>
          <t>Request for Bid(Open-Tender)</t>
        </is>
      </c>
      <c r="H93" t="inlineStr">
        <is>
          <t>Appointment of a Service Provider to Facilitate Renewals and New Applications of Food and Beverages Licenses on an as and when needs basis</t>
        </is>
      </c>
      <c r="I93" t="inlineStr">
        <is>
          <t>ETENDERS.GOV.ZA</t>
        </is>
      </c>
      <c r="J93" t="inlineStr">
        <is>
          <t>JOBURG THEATRE (SOC) LTD</t>
        </is>
      </c>
      <c r="K93" t="inlineStr">
        <is>
          <t>Gauteng</t>
        </is>
      </c>
      <c r="L93" t="inlineStr">
        <is>
          <t>No</t>
        </is>
      </c>
      <c r="M93" t="inlineStr">
        <is>
          <t>Food and beverage service activities</t>
        </is>
      </c>
      <c r="N93" t="inlineStr">
        <is>
          <t>No</t>
        </is>
      </c>
      <c r="O93" t="inlineStr">
        <is>
          <t>No</t>
        </is>
      </c>
      <c r="P93" t="inlineStr">
        <is>
          <t>Joburg Theatre, 163 Civic Boulevard , Braamfontein</t>
        </is>
      </c>
      <c r="Q93" s="3" t="inlineStr">
        <is>
          <t>https://www.etenders.gov.za/home/Download/?blobName=000d2c90-a610-4ae6-bf8f-e0e428303a8c.docx&amp;downloadedFileName=Appointment%20Of%20a%20Service%20Provider%20to%20Facilitate%20Renewals%20and%20New%20Applications%20of%20Food%20and%20Beverages%20Licences%20on%20An%20as%20And%20When%20Needs%20Basis_FINAL.docx</t>
        </is>
      </c>
      <c r="R93" t="inlineStr"/>
      <c r="S93" t="inlineStr"/>
      <c r="T93" t="inlineStr"/>
      <c r="U93" t="inlineStr"/>
      <c r="V93" t="inlineStr"/>
    </row>
    <row r="94">
      <c r="A94" s="2" t="n">
        <v>46175</v>
      </c>
      <c r="B94" t="n">
        <v>157</v>
      </c>
      <c r="C94" t="inlineStr">
        <is>
          <t>00394/26</t>
        </is>
      </c>
      <c r="D94" s="2" t="n">
        <v>46175</v>
      </c>
      <c r="E94" s="2" t="n">
        <v>46192</v>
      </c>
      <c r="F94" t="inlineStr">
        <is>
          <t>12:00</t>
        </is>
      </c>
      <c r="G94" t="inlineStr">
        <is>
          <t>Request for Bid(Open-Tender)</t>
        </is>
      </c>
      <c r="H94" t="inlineStr">
        <is>
          <t>Media Buying Services for Joburg City Theatres</t>
        </is>
      </c>
      <c r="I94" t="inlineStr">
        <is>
          <t>ETENDERS.GOV.ZA</t>
        </is>
      </c>
      <c r="J94" t="inlineStr">
        <is>
          <t>JOBURG THEATRE (SOC) LTD</t>
        </is>
      </c>
      <c r="K94" t="inlineStr">
        <is>
          <t>Gauteng</t>
        </is>
      </c>
      <c r="L94" t="inlineStr">
        <is>
          <t>No</t>
        </is>
      </c>
      <c r="M94" t="inlineStr">
        <is>
          <t>Printing and reproduction of recorded media</t>
        </is>
      </c>
      <c r="N94" t="inlineStr">
        <is>
          <t>Yes</t>
        </is>
      </c>
      <c r="O94" t="inlineStr">
        <is>
          <t>Yes</t>
        </is>
      </c>
      <c r="P94" t="inlineStr">
        <is>
          <t>Joburg Theatre, 163 Civic Boulevard , Braamfontein</t>
        </is>
      </c>
      <c r="Q94" s="3" t="inlineStr">
        <is>
          <t>https://www.etenders.gov.za/home/Download/?blobName=0e6cd9b7-bce5-42b6-9521-302d04c9e873.docx&amp;downloadedFileName=BID%2000394_26%20MEDIA%20BUYING%20SERVICES%20FOR%20JOBURG%20CITY%20THEATRES_final.docx</t>
        </is>
      </c>
      <c r="R94" t="inlineStr"/>
      <c r="S94" t="inlineStr"/>
      <c r="T94" t="inlineStr"/>
      <c r="U94" t="inlineStr"/>
      <c r="V94" t="inlineStr"/>
    </row>
    <row r="95">
      <c r="A95" s="2" t="n">
        <v>46175</v>
      </c>
      <c r="B95" t="n">
        <v>156</v>
      </c>
      <c r="C95" t="inlineStr">
        <is>
          <t>00395/26</t>
        </is>
      </c>
      <c r="D95" s="2" t="n">
        <v>46175</v>
      </c>
      <c r="E95" s="2" t="n">
        <v>46192</v>
      </c>
      <c r="F95" t="inlineStr">
        <is>
          <t>12:00</t>
        </is>
      </c>
      <c r="G95" t="inlineStr">
        <is>
          <t>Request for Bid(Open-Tender)</t>
        </is>
      </c>
      <c r="H95" t="inlineStr">
        <is>
          <t>Supply and Delivery of Trophies and Medals for Joburg City Theatres</t>
        </is>
      </c>
      <c r="I95" t="inlineStr">
        <is>
          <t>ETENDERS.GOV.ZA</t>
        </is>
      </c>
      <c r="J95" t="inlineStr">
        <is>
          <t>JOBURG THEATRE (SOC) LTD</t>
        </is>
      </c>
      <c r="K95" t="inlineStr">
        <is>
          <t>Gauteng</t>
        </is>
      </c>
      <c r="L95" t="inlineStr">
        <is>
          <t>No</t>
        </is>
      </c>
      <c r="M95" t="inlineStr">
        <is>
          <t>Sports activities and amusement and recreation activities</t>
        </is>
      </c>
      <c r="N95" t="inlineStr">
        <is>
          <t>No</t>
        </is>
      </c>
      <c r="O95" t="inlineStr">
        <is>
          <t>No</t>
        </is>
      </c>
      <c r="P95" t="inlineStr">
        <is>
          <t>Joburg Theatre, 163 Civic Boulevard , Braamfontein</t>
        </is>
      </c>
      <c r="Q95" s="3" t="inlineStr">
        <is>
          <t>https://www.etenders.gov.za/home/Download/?blobName=187dacaf-d78e-4820-9f25-2fdc534182ab.docx&amp;downloadedFileName=BID%2000395_26%20Supply%20%20Delivery%20of%20Trophies%20and%20Medals_FINAL.docx</t>
        </is>
      </c>
      <c r="R95" t="inlineStr"/>
      <c r="S95" t="inlineStr"/>
      <c r="T95" t="inlineStr"/>
      <c r="U95" t="inlineStr"/>
      <c r="V95" t="inlineStr"/>
    </row>
    <row r="96">
      <c r="A96" s="2" t="n">
        <v>46175</v>
      </c>
      <c r="B96" t="n">
        <v>155</v>
      </c>
      <c r="C96" t="inlineStr">
        <is>
          <t>RFQJW33ZZ26</t>
        </is>
      </c>
      <c r="D96" s="2" t="n">
        <v>46175</v>
      </c>
      <c r="E96" s="2" t="n">
        <v>46182</v>
      </c>
      <c r="F96" t="inlineStr">
        <is>
          <t>16:00</t>
        </is>
      </c>
      <c r="G96" t="inlineStr">
        <is>
          <t>Request for Quotation</t>
        </is>
      </c>
      <c r="H96" t="inlineStr">
        <is>
          <t>SUPPLY AND DELIVER WIRELESS HEADPHONES</t>
        </is>
      </c>
      <c r="I96" t="inlineStr">
        <is>
          <t>ETENDERS.GOV.ZA</t>
        </is>
      </c>
      <c r="J96" t="inlineStr">
        <is>
          <t>Johannesburg Water</t>
        </is>
      </c>
      <c r="K96" t="inlineStr">
        <is>
          <t>Gauteng</t>
        </is>
      </c>
      <c r="L96" t="inlineStr">
        <is>
          <t>No</t>
        </is>
      </c>
      <c r="M96" t="inlineStr">
        <is>
          <t>Supplies: General</t>
        </is>
      </c>
      <c r="N96" t="inlineStr">
        <is>
          <t>No</t>
        </is>
      </c>
      <c r="O96" t="inlineStr">
        <is>
          <t>No</t>
        </is>
      </c>
      <c r="P96" t="inlineStr">
        <is>
          <t>N/A</t>
        </is>
      </c>
      <c r="Q96" s="3" t="inlineStr">
        <is>
          <t>https://www.etenders.gov.za/home/Download/?blobName=758b8a73-b9e8-4850-b625-ce720a0f6a7c.pdf&amp;downloadedFileName=RFQJW33ZZ26_WIRELESS%20HEADPHONES.pdf</t>
        </is>
      </c>
      <c r="R96" t="inlineStr"/>
      <c r="S96" t="inlineStr"/>
      <c r="T96" t="inlineStr"/>
      <c r="U96" t="inlineStr"/>
      <c r="V96" t="inlineStr"/>
    </row>
    <row r="97">
      <c r="A97" s="2" t="n">
        <v>46175</v>
      </c>
      <c r="B97" t="n">
        <v>154</v>
      </c>
      <c r="C97" t="inlineStr">
        <is>
          <t>6000080531</t>
        </is>
      </c>
      <c r="D97" s="2" t="n">
        <v>46175</v>
      </c>
      <c r="E97" s="2" t="n">
        <v>46182</v>
      </c>
      <c r="F97" t="inlineStr">
        <is>
          <t>12:00</t>
        </is>
      </c>
      <c r="G97" t="inlineStr">
        <is>
          <t>Request for Quotation</t>
        </is>
      </c>
      <c r="H97" t="inlineStr">
        <is>
          <t>SUPPLY AND DELIVERY OF SAFETY CONTI SUITE ATPV12.4</t>
        </is>
      </c>
      <c r="I97" t="inlineStr">
        <is>
          <t>ETENDERS.GOV.ZA</t>
        </is>
      </c>
      <c r="J97" t="inlineStr">
        <is>
          <t>Johannesburg Water</t>
        </is>
      </c>
      <c r="K97" t="inlineStr">
        <is>
          <t>Gauteng</t>
        </is>
      </c>
      <c r="L97" t="inlineStr">
        <is>
          <t>No</t>
        </is>
      </c>
      <c r="M97" t="inlineStr">
        <is>
          <t>Services: General</t>
        </is>
      </c>
      <c r="N97" t="inlineStr">
        <is>
          <t>No</t>
        </is>
      </c>
      <c r="O97" t="inlineStr">
        <is>
          <t>No</t>
        </is>
      </c>
      <c r="P97" t="inlineStr">
        <is>
          <t>N/A</t>
        </is>
      </c>
      <c r="Q97" s="3" t="inlineStr">
        <is>
          <t>https://www.etenders.gov.za/home/Download/?blobName=a4be9cad-e32a-47d4-b7d5-daa1e61cd73e.pdf&amp;downloadedFileName=6000080531%20PPE%20Conti%20Suits.pdf</t>
        </is>
      </c>
      <c r="R97" t="inlineStr"/>
      <c r="S97" t="inlineStr"/>
      <c r="T97" t="inlineStr"/>
      <c r="U97" t="inlineStr"/>
      <c r="V97" t="inlineStr"/>
    </row>
    <row r="98">
      <c r="A98" s="2" t="n">
        <v>46175</v>
      </c>
      <c r="B98" t="n">
        <v>153</v>
      </c>
      <c r="C98" t="inlineStr">
        <is>
          <t>COM154/2025</t>
        </is>
      </c>
      <c r="D98" s="2" t="n">
        <v>46175</v>
      </c>
      <c r="E98" s="2" t="n">
        <v>46190</v>
      </c>
      <c r="F98" t="inlineStr">
        <is>
          <t>11:00</t>
        </is>
      </c>
      <c r="G98" t="inlineStr">
        <is>
          <t>Request for Bid(Open-Tender)</t>
        </is>
      </c>
      <c r="H98" t="inlineStr">
        <is>
          <t>APPOINTMENT OF A SERVICE PROVIDER FOR THE ESTABLISHMENT OF A WAR ROOM FOR THE CITY OF MBOMBELA</t>
        </is>
      </c>
      <c r="I98" t="inlineStr">
        <is>
          <t>ETENDERS.GOV.ZA</t>
        </is>
      </c>
      <c r="J98" t="inlineStr">
        <is>
          <t>Mbombela Local Municipality</t>
        </is>
      </c>
      <c r="K98" t="inlineStr">
        <is>
          <t>Mpumalanga</t>
        </is>
      </c>
      <c r="L98" t="inlineStr">
        <is>
          <t>No</t>
        </is>
      </c>
      <c r="M98" t="inlineStr">
        <is>
          <t>Construction</t>
        </is>
      </c>
      <c r="N98" t="inlineStr">
        <is>
          <t>Yes</t>
        </is>
      </c>
      <c r="O98" t="inlineStr">
        <is>
          <t>Yes</t>
        </is>
      </c>
      <c r="P98" t="inlineStr">
        <is>
          <t>Mbombela Stadium</t>
        </is>
      </c>
      <c r="Q98" s="3" t="inlineStr">
        <is>
          <t>https://www.etenders.gov.za/home/Download/?blobName=fca74f90-c4b9-4118-ac09-43538e3ea511.pdf&amp;downloadedFileName=COM154-2025%20APPOINTMENT%20OF%20A%20SERVICE%20PROVIDER%20FOR%20THE%20ESTABLISHMENT%20OF%20A%20WAR%20ROOM%20-%20Doc.pdf</t>
        </is>
      </c>
      <c r="R98" t="inlineStr"/>
      <c r="S98" t="inlineStr"/>
      <c r="T98" t="inlineStr"/>
      <c r="U98" t="inlineStr"/>
      <c r="V98" t="inlineStr"/>
    </row>
    <row r="99">
      <c r="A99" s="2" t="n">
        <v>46175</v>
      </c>
      <c r="B99" t="n">
        <v>152</v>
      </c>
      <c r="C99" t="inlineStr">
        <is>
          <t>E3002DXMPOU</t>
        </is>
      </c>
      <c r="D99" s="2" t="n">
        <v>46175</v>
      </c>
      <c r="E99" s="2" t="n">
        <v>46195</v>
      </c>
      <c r="F99" t="inlineStr">
        <is>
          <t>11:00</t>
        </is>
      </c>
      <c r="G99" t="inlineStr">
        <is>
          <t>Expression of interest</t>
        </is>
      </c>
      <c r="H99" t="inlineStr">
        <is>
          <t>Eskom Distribution Division is seeking to lease, lease-to-own, or acquire outright a warehouse facility to serve as a Regional Distribution Centre within Nelspruit, Mpumalanga Province.</t>
        </is>
      </c>
      <c r="I99" t="inlineStr">
        <is>
          <t>ETENDERS.GOV.ZA</t>
        </is>
      </c>
      <c r="J99" t="inlineStr">
        <is>
          <t>ESKOM</t>
        </is>
      </c>
      <c r="K99" t="inlineStr">
        <is>
          <t>Mpumalanga</t>
        </is>
      </c>
      <c r="L99" t="inlineStr">
        <is>
          <t>No</t>
        </is>
      </c>
      <c r="M99" t="inlineStr">
        <is>
          <t>Rental and leasing activities</t>
        </is>
      </c>
      <c r="N99" t="inlineStr">
        <is>
          <t>No</t>
        </is>
      </c>
      <c r="O99" t="inlineStr">
        <is>
          <t>No</t>
        </is>
      </c>
      <c r="P99" t="inlineStr">
        <is>
          <t>N/A</t>
        </is>
      </c>
      <c r="Q99" s="3" t="inlineStr">
        <is>
          <t>https://www.etenders.gov.za/home/Download/?blobName=aaed067d-90b8-4746-abff-22675b3cd175.pdf&amp;downloadedFileName=E-tendering%20Help%20Manual%20for%20supplier%20-%2027%20January%202025.pdf</t>
        </is>
      </c>
      <c r="R99" t="inlineStr"/>
      <c r="S99" t="inlineStr"/>
      <c r="T99" t="inlineStr"/>
      <c r="U99" t="inlineStr"/>
      <c r="V99" t="inlineStr"/>
    </row>
    <row r="100">
      <c r="A100" s="2" t="n">
        <v>46175</v>
      </c>
      <c r="B100" t="n">
        <v>151</v>
      </c>
      <c r="C100" t="inlineStr">
        <is>
          <t>E3003DXNCOU</t>
        </is>
      </c>
      <c r="D100" s="2" t="n">
        <v>46175</v>
      </c>
      <c r="E100" s="2" t="n">
        <v>46195</v>
      </c>
      <c r="F100" t="inlineStr">
        <is>
          <t>10:00</t>
        </is>
      </c>
      <c r="G100" t="inlineStr">
        <is>
          <t>Expression of interest</t>
        </is>
      </c>
      <c r="H100" t="inlineStr">
        <is>
          <t>Eskom Distribution Division is seeking to lease, lease-to-own, or acquire outright a warehouse facility to serve as a Regional Distribution Centre within Rustenburg, North West Province.</t>
        </is>
      </c>
      <c r="I100" t="inlineStr">
        <is>
          <t>ETENDERS.GOV.ZA</t>
        </is>
      </c>
      <c r="J100" t="inlineStr">
        <is>
          <t>ESKOM</t>
        </is>
      </c>
      <c r="K100" t="inlineStr">
        <is>
          <t>North West</t>
        </is>
      </c>
      <c r="L100" t="inlineStr">
        <is>
          <t>No</t>
        </is>
      </c>
      <c r="M100" t="inlineStr">
        <is>
          <t>Rental and leasing activities</t>
        </is>
      </c>
      <c r="N100" t="inlineStr">
        <is>
          <t>No</t>
        </is>
      </c>
      <c r="O100" t="inlineStr">
        <is>
          <t>No</t>
        </is>
      </c>
      <c r="P100" t="inlineStr">
        <is>
          <t>N/A</t>
        </is>
      </c>
      <c r="Q100" s="3" t="inlineStr">
        <is>
          <t>https://www.etenders.gov.za/home/Download/?blobName=bdffdfba-e963-42eb-8380-dc0c8541015a.pdf&amp;downloadedFileName=E-tendering%20Help%20Manual%20for%20supplier%20-%2027%20January%202025.pdf</t>
        </is>
      </c>
      <c r="R100" t="inlineStr"/>
      <c r="S100" t="inlineStr"/>
      <c r="T100" t="inlineStr"/>
      <c r="U100" t="inlineStr"/>
      <c r="V100" t="inlineStr"/>
    </row>
    <row r="101">
      <c r="A101" s="2" t="n">
        <v>46175</v>
      </c>
      <c r="B101" t="n">
        <v>150</v>
      </c>
      <c r="C101" t="inlineStr">
        <is>
          <t>1/1/001/2025-26</t>
        </is>
      </c>
      <c r="D101" s="2" t="n">
        <v>46175</v>
      </c>
      <c r="E101" s="2" t="n">
        <v>46183</v>
      </c>
      <c r="F101" t="inlineStr">
        <is>
          <t>12:00</t>
        </is>
      </c>
      <c r="G101" t="inlineStr">
        <is>
          <t>Request for Quotation</t>
        </is>
      </c>
      <c r="H101" t="inlineStr">
        <is>
          <t>APPOINTMENT OF A SERVICE PROVIDER TO PROVIDE TECHNICAL ASSISTANCE AND ADVISORY SERVICES TO FACILITATE TRANSITION TO THE NEW GRAP 104</t>
        </is>
      </c>
      <c r="I101" t="inlineStr">
        <is>
          <t>ETENDERS.GOV.ZA</t>
        </is>
      </c>
      <c r="J101" t="inlineStr">
        <is>
          <t>Moqhaka Local Municipality</t>
        </is>
      </c>
      <c r="K101" t="inlineStr">
        <is>
          <t>Free State</t>
        </is>
      </c>
      <c r="L101" t="inlineStr">
        <is>
          <t>No</t>
        </is>
      </c>
      <c r="M101" t="inlineStr">
        <is>
          <t>Administrative and support activities</t>
        </is>
      </c>
      <c r="N101" t="inlineStr">
        <is>
          <t>No</t>
        </is>
      </c>
      <c r="O101" t="inlineStr">
        <is>
          <t>No</t>
        </is>
      </c>
      <c r="P101" t="inlineStr">
        <is>
          <t>N/A</t>
        </is>
      </c>
      <c r="Q101" s="3" t="inlineStr">
        <is>
          <t>https://www.etenders.gov.za/home/Download/?blobName=65fe1100-3ba1-45a8-8f93-0ae5c8aea0ea.pdf&amp;downloadedFileName=1-1-001-2025-26%20Technical%20Assisstance%20and%20Advisory%20Services%20to%20Facilitate%20Transition%20to%20the%20New%20Grap%20104.pdf</t>
        </is>
      </c>
      <c r="R101" t="inlineStr"/>
      <c r="S101" t="inlineStr"/>
      <c r="T101" t="inlineStr"/>
      <c r="U101" t="inlineStr"/>
      <c r="V101" t="inlineStr"/>
    </row>
    <row r="102">
      <c r="A102" s="2" t="n">
        <v>46175</v>
      </c>
      <c r="B102" t="n">
        <v>149</v>
      </c>
      <c r="C102" t="inlineStr">
        <is>
          <t>E3006NTCSAMWP</t>
        </is>
      </c>
      <c r="D102" s="2" t="n">
        <v>46175</v>
      </c>
      <c r="E102" s="2" t="n">
        <v>46213</v>
      </c>
      <c r="F102" t="inlineStr">
        <is>
          <t>10:00</t>
        </is>
      </c>
      <c r="G102" t="inlineStr">
        <is>
          <t>Request for Bid(Open-Tender)</t>
        </is>
      </c>
      <c r="H102" t="inlineStr">
        <is>
          <t>The design, manufacture, testing and supply of OPGW Hardware, ADSS Hardware and miscellaneous items to NTCSA on an “as and when” required basis for a period of 5 (five) years.</t>
        </is>
      </c>
      <c r="I102" t="inlineStr">
        <is>
          <t>ETENDERS.GOV.ZA</t>
        </is>
      </c>
      <c r="J102" t="inlineStr">
        <is>
          <t>ESKOM</t>
        </is>
      </c>
      <c r="K102" t="inlineStr">
        <is>
          <t>National</t>
        </is>
      </c>
      <c r="L102" t="inlineStr">
        <is>
          <t>No</t>
        </is>
      </c>
      <c r="M102" t="inlineStr">
        <is>
          <t>Manufacture of fabricated metal products, except machinery and equipment</t>
        </is>
      </c>
      <c r="N102" t="inlineStr">
        <is>
          <t>Yes</t>
        </is>
      </c>
      <c r="O102" t="inlineStr">
        <is>
          <t>No</t>
        </is>
      </c>
      <c r="P102" t="inlineStr">
        <is>
          <t>https://teams.microsoft.com/meet/339359899658755?p=SfGoX1MTrvPg2xwtV1</t>
        </is>
      </c>
      <c r="Q102" s="3" t="inlineStr">
        <is>
          <t>https://www.etenders.gov.za/home/Download/?blobName=8d9bffcb-3a9a-4d7e-9d73-e1bf4619fd78.zip&amp;downloadedFileName=Technical.zip</t>
        </is>
      </c>
      <c r="R102" t="inlineStr"/>
      <c r="S102" t="inlineStr"/>
      <c r="T102" t="inlineStr"/>
      <c r="U102" t="inlineStr"/>
      <c r="V102" t="inlineStr"/>
    </row>
    <row r="103">
      <c r="A103" s="2" t="n">
        <v>46175</v>
      </c>
      <c r="B103" t="n">
        <v>148</v>
      </c>
      <c r="C103" t="inlineStr">
        <is>
          <t>RFQ 03/05/002026</t>
        </is>
      </c>
      <c r="D103" s="2" t="n">
        <v>46175</v>
      </c>
      <c r="E103" s="2" t="n">
        <v>46184</v>
      </c>
      <c r="F103" t="inlineStr">
        <is>
          <t>11:00</t>
        </is>
      </c>
      <c r="G103" t="inlineStr">
        <is>
          <t>Request for Quotation</t>
        </is>
      </c>
      <c r="H103" t="inlineStr">
        <is>
          <t>APPOINTMENT OF SERVICE PROVIDER FOR SOIL CONTAMINATION AND CLASSIFICATION TESTS (CHEMICAL ANALYSIS)</t>
        </is>
      </c>
      <c r="I103" t="inlineStr">
        <is>
          <t>ETENDERS.GOV.ZA</t>
        </is>
      </c>
      <c r="J103" t="inlineStr">
        <is>
          <t>Kwa-Zulu Natal - Ezemvelo KwaZulu-Natal Wildlife</t>
        </is>
      </c>
      <c r="K103" t="inlineStr">
        <is>
          <t>KwaZulu-Natal</t>
        </is>
      </c>
      <c r="L103" t="inlineStr">
        <is>
          <t>No</t>
        </is>
      </c>
      <c r="M103" t="inlineStr">
        <is>
          <t>Waste collection, treatment and disposal activities; materials recovery</t>
        </is>
      </c>
      <c r="N103" t="inlineStr">
        <is>
          <t>No</t>
        </is>
      </c>
      <c r="O103" t="inlineStr">
        <is>
          <t>No</t>
        </is>
      </c>
      <c r="P103" t="inlineStr">
        <is>
          <t>N/A</t>
        </is>
      </c>
      <c r="Q103" s="3" t="inlineStr">
        <is>
          <t>https://www.etenders.gov.za/home/Download/?blobName=6780ec56-375b-44d7-9591-c741c843ec8b.pdf&amp;downloadedFileName=SBD%20SOIL%20CONTAMINATION%20AND%20CLASSIFICATION%20TESTS%202.pdf</t>
        </is>
      </c>
      <c r="R103" t="inlineStr"/>
      <c r="S103" t="inlineStr"/>
      <c r="T103" t="inlineStr"/>
      <c r="U103" t="inlineStr"/>
      <c r="V103" t="inlineStr"/>
    </row>
    <row r="104">
      <c r="A104" s="2" t="n">
        <v>46175</v>
      </c>
      <c r="B104" t="n">
        <v>147</v>
      </c>
      <c r="C104" t="inlineStr">
        <is>
          <t>E2964GXMPKRI</t>
        </is>
      </c>
      <c r="D104" s="2" t="n">
        <v>46175</v>
      </c>
      <c r="E104" s="2" t="n">
        <v>46199</v>
      </c>
      <c r="F104" t="inlineStr">
        <is>
          <t>10:00</t>
        </is>
      </c>
      <c r="G104" t="inlineStr">
        <is>
          <t>Request for Bid(Open-Tender)</t>
        </is>
      </c>
      <c r="H104" t="inlineStr">
        <is>
          <t>Kriel Power Station Boilers Apertures and Bottom Ash Hoppers Refractory Supply and Services for a period of Five Years on an As-and-When required basis</t>
        </is>
      </c>
      <c r="I104" t="inlineStr">
        <is>
          <t>ETENDERS.GOV.ZA</t>
        </is>
      </c>
      <c r="J104" t="inlineStr">
        <is>
          <t>ESKOM</t>
        </is>
      </c>
      <c r="K104" t="inlineStr">
        <is>
          <t>Mpumalanga</t>
        </is>
      </c>
      <c r="L104" t="inlineStr">
        <is>
          <t>No</t>
        </is>
      </c>
      <c r="M104" t="inlineStr">
        <is>
          <t>Services: General</t>
        </is>
      </c>
      <c r="N104" t="inlineStr">
        <is>
          <t>Yes</t>
        </is>
      </c>
      <c r="O104" t="inlineStr">
        <is>
          <t>No</t>
        </is>
      </c>
      <c r="P104" t="inlineStr">
        <is>
          <t>MS Teams</t>
        </is>
      </c>
      <c r="Q104" s="3" t="inlineStr">
        <is>
          <t>https://www.etenders.gov.za/home/Download/?blobName=a7ded721-0edc-43c4-8a1d-fdba4b220140.pdf&amp;downloadedFileName=Eskom%20-%20Standard%20Conditions%20of%20Tender%20-%2030%20January%202025%20(1).pdf</t>
        </is>
      </c>
      <c r="R104" t="inlineStr"/>
      <c r="S104" t="inlineStr"/>
      <c r="T104" t="inlineStr"/>
      <c r="U104" t="inlineStr"/>
      <c r="V104" t="inlineStr"/>
    </row>
    <row r="105">
      <c r="A105" s="2" t="n">
        <v>46175</v>
      </c>
      <c r="B105" t="n">
        <v>146</v>
      </c>
      <c r="C105" t="inlineStr">
        <is>
          <t>E3007GCDMPGC</t>
        </is>
      </c>
      <c r="D105" s="2" t="n">
        <v>46175</v>
      </c>
      <c r="E105" s="2" t="n">
        <v>46198</v>
      </c>
      <c r="F105" t="inlineStr">
        <is>
          <t>11:00</t>
        </is>
      </c>
      <c r="G105" t="inlineStr">
        <is>
          <t>Request for Bid(Open-Tender)</t>
        </is>
      </c>
      <c r="H105" t="inlineStr">
        <is>
          <t>Supply and Delivery of Stationery to Group Capital Division (GCD) on as and when required basis for a period of three (3) years.</t>
        </is>
      </c>
      <c r="I105" t="inlineStr">
        <is>
          <t>ETENDERS.GOV.ZA</t>
        </is>
      </c>
      <c r="J105" t="inlineStr">
        <is>
          <t>ESKOM</t>
        </is>
      </c>
      <c r="K105" t="inlineStr">
        <is>
          <t>Gauteng</t>
        </is>
      </c>
      <c r="L105" t="inlineStr">
        <is>
          <t>No</t>
        </is>
      </c>
      <c r="M105" t="inlineStr">
        <is>
          <t>Supplies: Stationery/Printing</t>
        </is>
      </c>
      <c r="N105" t="inlineStr">
        <is>
          <t>Yes</t>
        </is>
      </c>
      <c r="O105" t="inlineStr">
        <is>
          <t>Yes</t>
        </is>
      </c>
      <c r="P105" t="inlineStr">
        <is>
          <t>https://teams.microsoft.com/meet/351293727750732?p=p5vgtDPyKyJ2dzyexU</t>
        </is>
      </c>
      <c r="Q105" s="3" t="inlineStr">
        <is>
          <t>https://www.etenders.gov.za/home/Download/?blobName=5ea9c450-cb3b-48ae-b384-777e1aef87bd.pdf&amp;downloadedFileName=20260128_C1%202b%20SC3%20Data%20by%20Supplier.pdf</t>
        </is>
      </c>
      <c r="R105" t="inlineStr"/>
      <c r="S105" t="inlineStr"/>
      <c r="T105" t="inlineStr"/>
      <c r="U105" t="inlineStr"/>
      <c r="V105" t="inlineStr"/>
    </row>
    <row r="106">
      <c r="A106" s="2" t="n">
        <v>46175</v>
      </c>
      <c r="B106" t="n">
        <v>145</v>
      </c>
      <c r="C106" t="inlineStr">
        <is>
          <t>COM64/2026</t>
        </is>
      </c>
      <c r="D106" s="2" t="n">
        <v>46175</v>
      </c>
      <c r="E106" s="2" t="n">
        <v>46182</v>
      </c>
      <c r="F106" t="inlineStr">
        <is>
          <t>11:00</t>
        </is>
      </c>
      <c r="G106" t="inlineStr">
        <is>
          <t>Request for Quotation</t>
        </is>
      </c>
      <c r="H106" t="inlineStr">
        <is>
          <t>SUPPLY AND DELIVERY OF SMART SCANNER DEVICES FOR CITY OF MBOMBELA</t>
        </is>
      </c>
      <c r="I106" t="inlineStr">
        <is>
          <t>ETENDERS.GOV.ZA</t>
        </is>
      </c>
      <c r="J106" t="inlineStr">
        <is>
          <t>Mbombela Local Municipality</t>
        </is>
      </c>
      <c r="K106" t="inlineStr">
        <is>
          <t>Mpumalanga</t>
        </is>
      </c>
      <c r="L106" t="inlineStr">
        <is>
          <t>No</t>
        </is>
      </c>
      <c r="M106" t="inlineStr">
        <is>
          <t>Supplies: General</t>
        </is>
      </c>
      <c r="N106" t="inlineStr">
        <is>
          <t>No</t>
        </is>
      </c>
      <c r="O106" t="inlineStr">
        <is>
          <t>No</t>
        </is>
      </c>
      <c r="P106" t="inlineStr">
        <is>
          <t>N/A</t>
        </is>
      </c>
      <c r="Q106" s="3" t="inlineStr">
        <is>
          <t>https://www.etenders.gov.za/home/Download/?blobName=79420ab7-3d08-42d1-a050-f1c4c42887ab.pdf&amp;downloadedFileName=COM64-2026%20SUPPLY%20AND%20DELIVERY%20OF%20SMART%20SCANNER%20DEVICES%20FOR%20CITY%20OF%20MBOMBELA%20-%20Advert.pdf</t>
        </is>
      </c>
      <c r="R106" t="inlineStr"/>
      <c r="S106" t="inlineStr"/>
      <c r="T106" t="inlineStr"/>
      <c r="U106" t="inlineStr"/>
      <c r="V106" t="inlineStr"/>
    </row>
    <row r="107">
      <c r="A107" s="2" t="n">
        <v>46175</v>
      </c>
      <c r="B107" t="n">
        <v>144</v>
      </c>
      <c r="C107" t="inlineStr">
        <is>
          <t>COM63/2026</t>
        </is>
      </c>
      <c r="D107" s="2" t="n">
        <v>46175</v>
      </c>
      <c r="E107" s="2" t="n">
        <v>46182</v>
      </c>
      <c r="F107" t="inlineStr">
        <is>
          <t>11:00</t>
        </is>
      </c>
      <c r="G107" t="inlineStr">
        <is>
          <t>Request for Quotation</t>
        </is>
      </c>
      <c r="H107" t="inlineStr">
        <is>
          <t>APPOINTMENT OF A SERVICE PROVIDER FOR THE FILMING AND MANAGEMENT OF TELEVISION PROJECTS TO SHOWCASE AND PROMOTE YOUTH FILMMAKING TALENT IN THE CITY OF MBOMBELA</t>
        </is>
      </c>
      <c r="I107" t="inlineStr">
        <is>
          <t>ETENDERS.GOV.ZA</t>
        </is>
      </c>
      <c r="J107" t="inlineStr">
        <is>
          <t>Mbombela Local Municipality</t>
        </is>
      </c>
      <c r="K107" t="inlineStr">
        <is>
          <t>Mpumalanga</t>
        </is>
      </c>
      <c r="L107" t="inlineStr">
        <is>
          <t>No</t>
        </is>
      </c>
      <c r="M107" t="inlineStr">
        <is>
          <t>Motion picture, video and television programme production, sound recording and music publishing activities</t>
        </is>
      </c>
      <c r="N107" t="inlineStr">
        <is>
          <t>No</t>
        </is>
      </c>
      <c r="O107" t="inlineStr">
        <is>
          <t>No</t>
        </is>
      </c>
      <c r="P107" t="inlineStr">
        <is>
          <t>N/A</t>
        </is>
      </c>
      <c r="Q107" s="3" t="inlineStr">
        <is>
          <t>https://www.etenders.gov.za/home/Download/?blobName=a0923d37-5367-4f40-b924-5abd77542f6c.pdf&amp;downloadedFileName=COM63-2026%20FILMING%20AND%20MANAGEMENT%20OF%20TV%20PROJECTS%20TO%20SHOW%20CASE%20MBOMBELA%20YOUTH%20TALENT%20IN%20FILMING.pdf</t>
        </is>
      </c>
      <c r="R107" t="inlineStr"/>
      <c r="S107" t="inlineStr"/>
      <c r="T107" t="inlineStr"/>
      <c r="U107" t="inlineStr"/>
      <c r="V107" t="inlineStr"/>
    </row>
    <row r="108">
      <c r="A108" s="2" t="n">
        <v>46175</v>
      </c>
      <c r="B108" t="n">
        <v>143</v>
      </c>
      <c r="C108" t="inlineStr">
        <is>
          <t>8/2/2/462(4CE3CEPE)(2026-2029)</t>
        </is>
      </c>
      <c r="D108" s="2" t="n">
        <v>46175</v>
      </c>
      <c r="E108" s="2" t="n">
        <v>46206</v>
      </c>
      <c r="F108" t="inlineStr">
        <is>
          <t>10:00</t>
        </is>
      </c>
      <c r="G108" t="inlineStr">
        <is>
          <t>Request for Bid(Open-Tender)</t>
        </is>
      </c>
      <c r="H108" t="inlineStr">
        <is>
          <t>8/2/2/462(4CE3CEPE)(2026-2029)BID TO APPOINT A SERVICE PROVIDER FOR THE MAINTENANCE OF WATER INFRASTRUCTURE IN VAAL MARINA FOR MIDVAAL LOCAL MUNICIPALITY AS AND WHEN REQUIRED FROM DATE OF APPOINTMENT UNTIL 30 JUNE 2029</t>
        </is>
      </c>
      <c r="I108" t="inlineStr">
        <is>
          <t>ETENDERS.GOV.ZA</t>
        </is>
      </c>
      <c r="J108" t="inlineStr">
        <is>
          <t>Midvaal Local Municipality</t>
        </is>
      </c>
      <c r="K108" t="inlineStr">
        <is>
          <t>Gauteng</t>
        </is>
      </c>
      <c r="L108" t="inlineStr">
        <is>
          <t>No</t>
        </is>
      </c>
      <c r="M108" t="inlineStr">
        <is>
          <t>Water supply; sewerage, waste management and remediation activities</t>
        </is>
      </c>
      <c r="N108" t="inlineStr">
        <is>
          <t>No</t>
        </is>
      </c>
      <c r="O108" t="inlineStr">
        <is>
          <t>No</t>
        </is>
      </c>
      <c r="P108" t="inlineStr">
        <is>
          <t>N/A</t>
        </is>
      </c>
      <c r="Q108" s="3" t="inlineStr">
        <is>
          <t>https://www.etenders.gov.za/home/Download/?blobName=8976a248-9d0d-40f4-9e9c-79080c7bcec9.pdf&amp;downloadedFileName=8-2-2-462%20ADVERT.pdf</t>
        </is>
      </c>
      <c r="R108" t="inlineStr"/>
      <c r="S108" t="inlineStr"/>
      <c r="T108" t="inlineStr"/>
      <c r="U108" t="inlineStr"/>
      <c r="V108" t="inlineStr"/>
    </row>
    <row r="109">
      <c r="A109" s="2" t="n">
        <v>46175</v>
      </c>
      <c r="B109" t="n">
        <v>142</v>
      </c>
      <c r="C109" t="inlineStr">
        <is>
          <t>1/1/002/2025-26</t>
        </is>
      </c>
      <c r="D109" s="2" t="n">
        <v>46175</v>
      </c>
      <c r="E109" s="2" t="n">
        <v>46183</v>
      </c>
      <c r="F109" t="inlineStr">
        <is>
          <t>12:00</t>
        </is>
      </c>
      <c r="G109" t="inlineStr">
        <is>
          <t>Request for Quotation</t>
        </is>
      </c>
      <c r="H109" t="inlineStr">
        <is>
          <t>LANDFILL SITES AND QUARRIES REHABILITATION PROVISION 2025/26</t>
        </is>
      </c>
      <c r="I109" t="inlineStr">
        <is>
          <t>ETENDERS.GOV.ZA</t>
        </is>
      </c>
      <c r="J109" t="inlineStr">
        <is>
          <t>Moqhaka Local Municipality</t>
        </is>
      </c>
      <c r="K109" t="inlineStr">
        <is>
          <t>Free State</t>
        </is>
      </c>
      <c r="L109" t="inlineStr">
        <is>
          <t>No</t>
        </is>
      </c>
      <c r="M109" t="inlineStr">
        <is>
          <t>Waste collection, treatment and disposal activities; materials recovery</t>
        </is>
      </c>
      <c r="N109" t="inlineStr">
        <is>
          <t>No</t>
        </is>
      </c>
      <c r="O109" t="inlineStr">
        <is>
          <t>No</t>
        </is>
      </c>
      <c r="P109" t="inlineStr">
        <is>
          <t>N/A</t>
        </is>
      </c>
      <c r="Q109" s="3" t="inlineStr">
        <is>
          <t>https://www.etenders.gov.za/home/Download/?blobName=928bf0c7-53fa-4a2d-b4e9-12a90e36e647.pdf&amp;downloadedFileName=1-1-002-2025-26%20Landfill%20Sites%20and%20Quarries%20Rehabilitation%20Provision%202025-26.pdf</t>
        </is>
      </c>
      <c r="R109" t="inlineStr"/>
      <c r="S109" t="inlineStr"/>
      <c r="T109" t="inlineStr"/>
      <c r="U109" t="inlineStr"/>
      <c r="V109" t="inlineStr"/>
    </row>
    <row r="110">
      <c r="A110" s="2" t="n">
        <v>46175</v>
      </c>
      <c r="B110" t="n">
        <v>141</v>
      </c>
      <c r="C110" t="inlineStr">
        <is>
          <t>RFQ2026-006-001</t>
        </is>
      </c>
      <c r="D110" s="2" t="n">
        <v>46175</v>
      </c>
      <c r="E110" s="2" t="n">
        <v>46182</v>
      </c>
      <c r="F110" t="inlineStr">
        <is>
          <t>11:00</t>
        </is>
      </c>
      <c r="G110" t="inlineStr">
        <is>
          <t>Request for Quotation</t>
        </is>
      </c>
      <c r="H110" t="inlineStr">
        <is>
          <t>APPOINTMENT OF A SUITABLY QUALIFIED AND EXPERIENCED SERVICE PROVIDER TO ASSIST IN THE EMBEDDING AND IMPLEMENTING PROTECTION OF PERSONAL INFORMATION COMPLIANCE WITHIN THE NATIONLA LTTERIES COMMISION (NLC)</t>
        </is>
      </c>
      <c r="I110" t="inlineStr">
        <is>
          <t>ETENDERS.GOV.ZA</t>
        </is>
      </c>
      <c r="J110" t="inlineStr">
        <is>
          <t>National Lotteries Commission</t>
        </is>
      </c>
      <c r="K110" t="inlineStr">
        <is>
          <t>Gauteng</t>
        </is>
      </c>
      <c r="L110" t="inlineStr">
        <is>
          <t>No</t>
        </is>
      </c>
      <c r="M110" t="inlineStr">
        <is>
          <t>Administrative and support activities</t>
        </is>
      </c>
      <c r="N110" t="inlineStr">
        <is>
          <t>No</t>
        </is>
      </c>
      <c r="O110" t="inlineStr">
        <is>
          <t>No</t>
        </is>
      </c>
      <c r="P110" t="inlineStr">
        <is>
          <t>N/A</t>
        </is>
      </c>
      <c r="Q110" s="3" t="inlineStr">
        <is>
          <t>https://www.etenders.gov.za/home/Download/?blobName=33603d8d-bbb1-47c8-8b11-85ee1352ce20.pdf&amp;downloadedFileName=TERMS%20OF%20REFERENCE%20POPIA%20RFQ2026-006-001.pdf</t>
        </is>
      </c>
      <c r="R110" t="inlineStr"/>
      <c r="S110" t="inlineStr"/>
      <c r="T110" t="inlineStr"/>
      <c r="U110" t="inlineStr"/>
      <c r="V110" t="inlineStr"/>
    </row>
    <row r="111">
      <c r="A111" s="2" t="n">
        <v>46175</v>
      </c>
      <c r="B111" t="n">
        <v>140</v>
      </c>
      <c r="C111" t="inlineStr">
        <is>
          <t>NAMC T03 2026</t>
        </is>
      </c>
      <c r="D111" s="2" t="n">
        <v>46175</v>
      </c>
      <c r="E111" s="2" t="n">
        <v>46197</v>
      </c>
      <c r="F111" t="inlineStr">
        <is>
          <t>11:00</t>
        </is>
      </c>
      <c r="G111" t="inlineStr">
        <is>
          <t>Request for Quotation</t>
        </is>
      </c>
      <c r="H111" t="inlineStr">
        <is>
          <t>NAMC T03 2026 APPOINTMENT OF A SERVICE PROVIDER TO PROVIDE MANAGED INFORMATION AND COMMUNICATION TECHNOLOGY SERVICES TO THE NATIONAL AGRICULTURAL MARKETING COUNCIL (NAMC) FOR A PERIOD OF THREE (3) YEARS</t>
        </is>
      </c>
      <c r="I111" t="inlineStr">
        <is>
          <t>ETENDERS.GOV.ZA</t>
        </is>
      </c>
      <c r="J111" t="inlineStr">
        <is>
          <t>National Agricultural Marketing Council</t>
        </is>
      </c>
      <c r="K111" t="inlineStr">
        <is>
          <t>National</t>
        </is>
      </c>
      <c r="L111" t="inlineStr">
        <is>
          <t>No</t>
        </is>
      </c>
      <c r="M111" t="inlineStr">
        <is>
          <t>Information and communication</t>
        </is>
      </c>
      <c r="N111" t="inlineStr">
        <is>
          <t>No</t>
        </is>
      </c>
      <c r="O111" t="inlineStr">
        <is>
          <t>No</t>
        </is>
      </c>
      <c r="P111" t="inlineStr">
        <is>
          <t>N/A</t>
        </is>
      </c>
      <c r="Q111" s="3" t="inlineStr">
        <is>
          <t>https://www.etenders.gov.za/home/Download/?blobName=2b7ddde6-bdb5-479e-9af4-0aad1ce7258a.pdf&amp;downloadedFileName=SBD-4.pdf</t>
        </is>
      </c>
      <c r="R111" t="inlineStr"/>
      <c r="S111" t="inlineStr"/>
      <c r="T111" t="inlineStr"/>
      <c r="U111" t="inlineStr"/>
      <c r="V111" t="inlineStr"/>
    </row>
    <row r="112">
      <c r="A112" s="2" t="n">
        <v>46175</v>
      </c>
      <c r="B112" t="n">
        <v>139</v>
      </c>
      <c r="C112" t="inlineStr">
        <is>
          <t>NRF/SAAO/RFQ/117256.</t>
        </is>
      </c>
      <c r="D112" s="2" t="n">
        <v>46175</v>
      </c>
      <c r="E112" s="2" t="n">
        <v>46184</v>
      </c>
      <c r="F112" t="inlineStr">
        <is>
          <t>16:00</t>
        </is>
      </c>
      <c r="G112" t="inlineStr">
        <is>
          <t>Request for Quotation</t>
        </is>
      </c>
      <c r="H112" t="inlineStr">
        <is>
          <t>Manufacture, supply and delivery of heavy-duty fabric part for large blind assembly</t>
        </is>
      </c>
      <c r="I112" t="inlineStr">
        <is>
          <t>ETENDERS.GOV.ZA</t>
        </is>
      </c>
      <c r="J112" t="inlineStr">
        <is>
          <t>National Research Foundation</t>
        </is>
      </c>
      <c r="K112" t="inlineStr">
        <is>
          <t>Western Cape</t>
        </is>
      </c>
      <c r="L112" t="inlineStr">
        <is>
          <t>No</t>
        </is>
      </c>
      <c r="M112" t="inlineStr">
        <is>
          <t>Manufacture of textiles</t>
        </is>
      </c>
      <c r="N112" t="inlineStr">
        <is>
          <t>Yes</t>
        </is>
      </c>
      <c r="O112" t="inlineStr">
        <is>
          <t>Yes</t>
        </is>
      </c>
      <c r="P112" t="inlineStr">
        <is>
          <t>SAAO, Auditorium, 2 Observatory Road, Observatory, 7925</t>
        </is>
      </c>
      <c r="Q112" s="3" t="inlineStr">
        <is>
          <t>https://www.etenders.gov.za/home/Download/?blobName=8a30b4b0-c509-4c8f-ade2-81e6da69e622.pdf&amp;downloadedFileName=RFQ%20117256%20-%20Manufacture,%20%20supply%20%20and%20delivery%20of%20heavy-duty%20fabric%20part%20for%20large%20blind%20assembly..pdf</t>
        </is>
      </c>
      <c r="R112" t="inlineStr"/>
      <c r="S112" t="inlineStr"/>
      <c r="T112" t="inlineStr"/>
      <c r="U112" t="inlineStr"/>
      <c r="V112" t="inlineStr"/>
    </row>
    <row r="113">
      <c r="A113" s="2" t="n">
        <v>46175</v>
      </c>
      <c r="B113" t="n">
        <v>138</v>
      </c>
      <c r="C113" t="inlineStr">
        <is>
          <t>E2786GXMPMAT</t>
        </is>
      </c>
      <c r="D113" s="2" t="n">
        <v>46175</v>
      </c>
      <c r="E113" s="2" t="n">
        <v>46203</v>
      </c>
      <c r="F113" t="inlineStr">
        <is>
          <t>10:00</t>
        </is>
      </c>
      <c r="G113" t="inlineStr">
        <is>
          <t>Request for Bid(Open-Tender)</t>
        </is>
      </c>
      <c r="H113" t="inlineStr">
        <is>
          <t>Supply and delivery of Frozen Goods</t>
        </is>
      </c>
      <c r="I113" t="inlineStr">
        <is>
          <t>ETENDERS.GOV.ZA</t>
        </is>
      </c>
      <c r="J113" t="inlineStr">
        <is>
          <t>ESKOM</t>
        </is>
      </c>
      <c r="K113" t="inlineStr">
        <is>
          <t>Mpumalanga</t>
        </is>
      </c>
      <c r="L113" t="inlineStr">
        <is>
          <t>No</t>
        </is>
      </c>
      <c r="M113" t="inlineStr">
        <is>
          <t>Supplies: General</t>
        </is>
      </c>
      <c r="N113" t="inlineStr">
        <is>
          <t>Yes</t>
        </is>
      </c>
      <c r="O113" t="inlineStr">
        <is>
          <t>Yes</t>
        </is>
      </c>
      <c r="P113" t="inlineStr">
        <is>
          <t>Ms Teams</t>
        </is>
      </c>
      <c r="Q113" s="3" t="inlineStr">
        <is>
          <t>https://www.etenders.gov.za/home/Download/?blobName=60bf98f0-5b2f-4952-9319-0856d24e91c3.pdf&amp;downloadedFileName=Technical%20Evaluation%20Criteria.pdf</t>
        </is>
      </c>
      <c r="R113" t="inlineStr"/>
      <c r="S113" t="inlineStr"/>
      <c r="T113" t="inlineStr"/>
      <c r="U113" t="inlineStr"/>
      <c r="V113" t="inlineStr"/>
    </row>
    <row r="114">
      <c r="A114" s="2" t="n">
        <v>46175</v>
      </c>
      <c r="B114" t="n">
        <v>137</v>
      </c>
      <c r="C114" t="inlineStr">
        <is>
          <t>RIISA/RFQ 2026/27:34</t>
        </is>
      </c>
      <c r="D114" s="2" t="n">
        <v>46175</v>
      </c>
      <c r="E114" s="2" t="n">
        <v>46184</v>
      </c>
      <c r="F114" t="inlineStr">
        <is>
          <t>11:00</t>
        </is>
      </c>
      <c r="G114" t="inlineStr">
        <is>
          <t>Request for Quotation</t>
        </is>
      </c>
      <c r="H114" t="inlineStr">
        <is>
          <t>Development of a digital platform for a PERKA project</t>
        </is>
      </c>
      <c r="I114" t="inlineStr">
        <is>
          <t>ETENDERS.GOV.ZA</t>
        </is>
      </c>
      <c r="J114" t="inlineStr">
        <is>
          <t>National Research Foundation</t>
        </is>
      </c>
      <c r="K114" t="inlineStr">
        <is>
          <t>Gauteng</t>
        </is>
      </c>
      <c r="L114" t="inlineStr">
        <is>
          <t>No</t>
        </is>
      </c>
      <c r="M114" t="inlineStr">
        <is>
          <t>Other professional, scientific and technical activities</t>
        </is>
      </c>
      <c r="N114" t="inlineStr">
        <is>
          <t>No</t>
        </is>
      </c>
      <c r="O114" t="inlineStr">
        <is>
          <t>No</t>
        </is>
      </c>
      <c r="P114" t="inlineStr">
        <is>
          <t>N/A</t>
        </is>
      </c>
      <c r="Q114" s="3" t="inlineStr">
        <is>
          <t>https://www.etenders.gov.za/home/Download/?blobName=09e208de-af93-4eda-a091-ae1598b9a3dc.pdf&amp;downloadedFileName=RFQ%2034%20-%20PERKA%20PORTAL.pdf</t>
        </is>
      </c>
      <c r="R114" t="inlineStr"/>
      <c r="S114" t="inlineStr"/>
      <c r="T114" t="inlineStr"/>
      <c r="U114" t="inlineStr"/>
      <c r="V114" t="inlineStr"/>
    </row>
    <row r="115">
      <c r="A115" s="2" t="n">
        <v>46175</v>
      </c>
      <c r="B115" t="n">
        <v>136</v>
      </c>
      <c r="C115" t="inlineStr">
        <is>
          <t>NCC/02/2026/2027</t>
        </is>
      </c>
      <c r="D115" s="2" t="n">
        <v>46175</v>
      </c>
      <c r="E115" s="2" t="n">
        <v>46199</v>
      </c>
      <c r="F115" t="inlineStr">
        <is>
          <t>14:00</t>
        </is>
      </c>
      <c r="G115" t="inlineStr">
        <is>
          <t>Request for Bid(Open-Tender)</t>
        </is>
      </c>
      <c r="H115" t="inlineStr">
        <is>
          <t>APPOINTMENT OF A SERVICE PROVIDER TO UNDERTAKE AN IMPACT ASSESSMENT FOR THE NATIONAL CONSUMER COMMISSION’S EDUCATION (BUSINESS AND CONSUMER) AND ENFORCEMENT INTERVENTIONS COVERING A FIVE-YEAR PERIOD FROM 2019-2025.</t>
        </is>
      </c>
      <c r="I115" t="inlineStr">
        <is>
          <t>ETENDERS.GOV.ZA</t>
        </is>
      </c>
      <c r="J115" t="inlineStr">
        <is>
          <t>National Consumer Commission</t>
        </is>
      </c>
      <c r="K115" t="inlineStr">
        <is>
          <t>Gauteng</t>
        </is>
      </c>
      <c r="L115" t="inlineStr">
        <is>
          <t>No</t>
        </is>
      </c>
      <c r="M115" t="inlineStr">
        <is>
          <t>Advertising and market research</t>
        </is>
      </c>
      <c r="N115" t="inlineStr">
        <is>
          <t>Yes</t>
        </is>
      </c>
      <c r="O115" t="inlineStr">
        <is>
          <t>Yes</t>
        </is>
      </c>
      <c r="P115" t="inlineStr">
        <is>
          <t>https://teams.microsoft.com/meet/337128013998080?p=jA2LVWeCPKKQw2ZJgh Meeting ID: 337 128 013 998 0</t>
        </is>
      </c>
      <c r="Q115" s="3" t="inlineStr">
        <is>
          <t>https://www.etenders.gov.za/home/Download/?blobName=0bca94b7-667e-4ebc-894c-e410d61611d1.pdf&amp;downloadedFileName=Final%20Terms%20of%20Reference%20for%20impact%20assessment.pdf</t>
        </is>
      </c>
      <c r="R115" t="inlineStr"/>
      <c r="S115" t="inlineStr"/>
      <c r="T115" t="inlineStr"/>
      <c r="U115" t="inlineStr"/>
      <c r="V115" t="inlineStr"/>
    </row>
    <row r="116">
      <c r="A116" s="2" t="n">
        <v>46175</v>
      </c>
      <c r="B116" t="n">
        <v>135</v>
      </c>
      <c r="C116" t="inlineStr">
        <is>
          <t>E3004GXMPMAT</t>
        </is>
      </c>
      <c r="D116" s="2" t="n">
        <v>46175</v>
      </c>
      <c r="E116" s="2" t="n">
        <v>46203</v>
      </c>
      <c r="F116" t="inlineStr">
        <is>
          <t>10:00</t>
        </is>
      </c>
      <c r="G116" t="inlineStr">
        <is>
          <t>Request for Bid(Open-Tender)</t>
        </is>
      </c>
      <c r="H116" t="inlineStr">
        <is>
          <t>THE PROVISION OF HEALTH AND SAFETY SPOTTERS FOR FIVE (5) YEARS CONTRACT ON AS AND WHEN REQUIRED BASIS AT MATLA POWER STATION.</t>
        </is>
      </c>
      <c r="I116" t="inlineStr">
        <is>
          <t>ETENDERS.GOV.ZA</t>
        </is>
      </c>
      <c r="J116" t="inlineStr">
        <is>
          <t>ESKOM</t>
        </is>
      </c>
      <c r="K116" t="inlineStr">
        <is>
          <t>Mpumalanga</t>
        </is>
      </c>
      <c r="L116" t="inlineStr">
        <is>
          <t>No</t>
        </is>
      </c>
      <c r="M116" t="inlineStr">
        <is>
          <t>Human health activities</t>
        </is>
      </c>
      <c r="N116" t="inlineStr">
        <is>
          <t>Yes</t>
        </is>
      </c>
      <c r="O116" t="inlineStr">
        <is>
          <t>Yes</t>
        </is>
      </c>
      <c r="P116" t="inlineStr">
        <is>
          <t>MS TEAMS</t>
        </is>
      </c>
      <c r="Q116" s="3" t="inlineStr">
        <is>
          <t>https://www.etenders.gov.za/home/Download/?blobName=ad2d4e54-47d8-4556-a191-90af093ef93b.pdf&amp;downloadedFileName=Eskom%20Supplier%20Integrity%20Pact.pdf</t>
        </is>
      </c>
      <c r="R116" t="inlineStr"/>
      <c r="S116" t="inlineStr"/>
      <c r="T116" t="inlineStr"/>
      <c r="U116" t="inlineStr"/>
      <c r="V116" t="inlineStr"/>
    </row>
    <row r="117">
      <c r="A117" s="2" t="n">
        <v>46175</v>
      </c>
      <c r="B117" t="n">
        <v>134</v>
      </c>
      <c r="C117" t="inlineStr">
        <is>
          <t>E3012GXMPMAT</t>
        </is>
      </c>
      <c r="D117" s="2" t="n">
        <v>46175</v>
      </c>
      <c r="E117" s="2" t="n">
        <v>46199</v>
      </c>
      <c r="F117" t="inlineStr">
        <is>
          <t>10:00</t>
        </is>
      </c>
      <c r="G117" t="inlineStr">
        <is>
          <t>Request for Bid(Open-Tender)</t>
        </is>
      </c>
      <c r="H117" t="inlineStr">
        <is>
          <t>The provision of cleaning services for Kriel Properties period of 2 years for Matla Power Station</t>
        </is>
      </c>
      <c r="I117" t="inlineStr">
        <is>
          <t>ETENDERS.GOV.ZA</t>
        </is>
      </c>
      <c r="J117" t="inlineStr">
        <is>
          <t>ESKOM</t>
        </is>
      </c>
      <c r="K117" t="inlineStr">
        <is>
          <t>Mpumalanga</t>
        </is>
      </c>
      <c r="L117" t="inlineStr">
        <is>
          <t>No</t>
        </is>
      </c>
      <c r="M117" t="inlineStr">
        <is>
          <t>Services: General</t>
        </is>
      </c>
      <c r="N117" t="inlineStr">
        <is>
          <t>Yes</t>
        </is>
      </c>
      <c r="O117" t="inlineStr">
        <is>
          <t>No</t>
        </is>
      </c>
      <c r="P117" t="inlineStr">
        <is>
          <t>Ms Teams</t>
        </is>
      </c>
      <c r="Q117" s="3" t="inlineStr">
        <is>
          <t>https://www.etenders.gov.za/home/Download/?blobName=3ee93fb3-c066-451c-91b9-bd09f9c6a72b.pdf&amp;downloadedFileName=Invitation%20to%20Tender%20(ITT)%20Cleaning%20FF.pdf</t>
        </is>
      </c>
      <c r="R117" t="inlineStr"/>
      <c r="S117" t="inlineStr"/>
      <c r="T117" t="inlineStr"/>
      <c r="U117" t="inlineStr"/>
      <c r="V117" t="inlineStr"/>
    </row>
    <row r="118">
      <c r="A118" s="2" t="n">
        <v>46175</v>
      </c>
      <c r="B118" t="n">
        <v>133</v>
      </c>
      <c r="C118" t="inlineStr">
        <is>
          <t>iLABS/RFQ 2026/27:33</t>
        </is>
      </c>
      <c r="D118" s="2" t="n">
        <v>46175</v>
      </c>
      <c r="E118" s="2" t="n">
        <v>46178</v>
      </c>
      <c r="F118" t="inlineStr">
        <is>
          <t>10:00</t>
        </is>
      </c>
      <c r="G118" t="inlineStr">
        <is>
          <t>Request for Quotation</t>
        </is>
      </c>
      <c r="H118" t="inlineStr">
        <is>
          <t>Supply and delivery of an Insulation/Continuity tester to iThemba LABS, Faure, Western Cape.</t>
        </is>
      </c>
      <c r="I118" t="inlineStr">
        <is>
          <t>ETENDERS.GOV.ZA</t>
        </is>
      </c>
      <c r="J118" t="inlineStr">
        <is>
          <t>National Research Foundation</t>
        </is>
      </c>
      <c r="K118" t="inlineStr">
        <is>
          <t>Western Cape</t>
        </is>
      </c>
      <c r="L118" t="inlineStr">
        <is>
          <t>No</t>
        </is>
      </c>
      <c r="M118" t="inlineStr">
        <is>
          <t>Other manufacturing</t>
        </is>
      </c>
      <c r="N118" t="inlineStr">
        <is>
          <t>No</t>
        </is>
      </c>
      <c r="O118" t="inlineStr">
        <is>
          <t>No</t>
        </is>
      </c>
      <c r="P118" t="inlineStr">
        <is>
          <t>N/A</t>
        </is>
      </c>
      <c r="Q118" s="3" t="inlineStr">
        <is>
          <t>https://www.etenders.gov.za/home/Download/?blobName=28e62913-f47a-4746-a762-30e8c6b3149e.pdf&amp;downloadedFileName=RFQ%20Insulation%20tester.pdf</t>
        </is>
      </c>
      <c r="R118" t="inlineStr"/>
      <c r="S118" t="inlineStr"/>
      <c r="T118" t="inlineStr"/>
      <c r="U118" t="inlineStr"/>
      <c r="V118" t="inlineStr"/>
    </row>
    <row r="119">
      <c r="A119" s="2" t="n">
        <v>46175</v>
      </c>
      <c r="B119" t="n">
        <v>132</v>
      </c>
      <c r="C119" t="inlineStr">
        <is>
          <t>EMLM 34/2026.</t>
        </is>
      </c>
      <c r="D119" s="2" t="n">
        <v>46175</v>
      </c>
      <c r="E119" s="2" t="n">
        <v>46192</v>
      </c>
      <c r="F119" t="inlineStr">
        <is>
          <t>11:00</t>
        </is>
      </c>
      <c r="G119" t="inlineStr">
        <is>
          <t>Request for Bid(Open-Tender)</t>
        </is>
      </c>
      <c r="H119" t="inlineStr">
        <is>
          <t>REPAIR AND CALIBRATION OF GROBLERSDAL LANDFILL SITE WEIGHBRIDGE</t>
        </is>
      </c>
      <c r="I119" t="inlineStr">
        <is>
          <t>ETENDERS.GOV.ZA</t>
        </is>
      </c>
      <c r="J119" t="inlineStr">
        <is>
          <t>Elias Motsoaledi Local Municipality</t>
        </is>
      </c>
      <c r="K119" t="inlineStr">
        <is>
          <t>Limpopo</t>
        </is>
      </c>
      <c r="L119" t="inlineStr">
        <is>
          <t>No</t>
        </is>
      </c>
      <c r="M119" t="inlineStr">
        <is>
          <t>Administrative and support activities</t>
        </is>
      </c>
      <c r="N119" t="inlineStr">
        <is>
          <t>No</t>
        </is>
      </c>
      <c r="O119" t="inlineStr">
        <is>
          <t>No</t>
        </is>
      </c>
      <c r="P119" t="inlineStr">
        <is>
          <t>N/A</t>
        </is>
      </c>
      <c r="Q119" s="3" t="inlineStr">
        <is>
          <t>https://www.etenders.gov.za/home/Download/?blobName=efc1a2b8-812e-4bf2-80ce-57623e2aa18f.pdf&amp;downloadedFileName=Public%20Notice%20-%20Scam%20Alert%20(1).pdf</t>
        </is>
      </c>
      <c r="R119" t="inlineStr"/>
      <c r="S119" t="inlineStr"/>
      <c r="T119" t="inlineStr"/>
      <c r="U119" t="inlineStr"/>
      <c r="V119" t="inlineStr"/>
    </row>
    <row r="120">
      <c r="A120" s="2" t="n">
        <v>46175</v>
      </c>
      <c r="B120" t="n">
        <v>131</v>
      </c>
      <c r="C120" t="inlineStr">
        <is>
          <t>EMLM 35/2026.</t>
        </is>
      </c>
      <c r="D120" s="2" t="n">
        <v>46175</v>
      </c>
      <c r="E120" s="2" t="n">
        <v>46192</v>
      </c>
      <c r="F120" t="inlineStr">
        <is>
          <t>11:00</t>
        </is>
      </c>
      <c r="G120" t="inlineStr">
        <is>
          <t>Request for Bid(Open-Tender)</t>
        </is>
      </c>
      <c r="H120" t="inlineStr">
        <is>
          <t>RE- CONSTRUCTION OF CULVERT BRIDGE AT KWAPUNDULWANA VILLAGE</t>
        </is>
      </c>
      <c r="I120" t="inlineStr">
        <is>
          <t>ETENDERS.GOV.ZA</t>
        </is>
      </c>
      <c r="J120" t="inlineStr">
        <is>
          <t>Elias Motsoaledi Local Municipality</t>
        </is>
      </c>
      <c r="K120" t="inlineStr">
        <is>
          <t>Limpopo</t>
        </is>
      </c>
      <c r="L120" t="inlineStr">
        <is>
          <t>No</t>
        </is>
      </c>
      <c r="M120" t="inlineStr">
        <is>
          <t>Administrative and support activities</t>
        </is>
      </c>
      <c r="N120" t="inlineStr">
        <is>
          <t>No</t>
        </is>
      </c>
      <c r="O120" t="inlineStr">
        <is>
          <t>No</t>
        </is>
      </c>
      <c r="P120" t="inlineStr">
        <is>
          <t>N/A</t>
        </is>
      </c>
      <c r="Q120" s="3" t="inlineStr">
        <is>
          <t>https://www.etenders.gov.za/home/Download/?blobName=851860c9-4fd6-41d3-8006-aec4759d2069.pdf&amp;downloadedFileName=EMLM%2035_2026%20RE_%20CONSTRUCTION%20OF%20CULVERT%20BRIDGE%20AT%20KWAMPUDULWANA%20VILLAGE.pdf</t>
        </is>
      </c>
      <c r="R120" t="inlineStr"/>
      <c r="S120" t="inlineStr"/>
      <c r="T120" t="inlineStr"/>
      <c r="U120" t="inlineStr"/>
      <c r="V120" t="inlineStr"/>
    </row>
    <row r="121">
      <c r="A121" s="2" t="n">
        <v>46175</v>
      </c>
      <c r="B121" t="n">
        <v>130</v>
      </c>
      <c r="C121" t="inlineStr">
        <is>
          <t>EMLM 36/2026.</t>
        </is>
      </c>
      <c r="D121" s="2" t="n">
        <v>46175</v>
      </c>
      <c r="E121" s="2" t="n">
        <v>46192</v>
      </c>
      <c r="F121" t="inlineStr">
        <is>
          <t>11:00</t>
        </is>
      </c>
      <c r="G121" t="inlineStr">
        <is>
          <t>Request for Bid(Open-Tender)</t>
        </is>
      </c>
      <c r="H121" t="inlineStr">
        <is>
          <t>RE- CONSTRUCTION OF CULVERT BRIDGE AT LUCKAU VILLAGE</t>
        </is>
      </c>
      <c r="I121" t="inlineStr">
        <is>
          <t>ETENDERS.GOV.ZA</t>
        </is>
      </c>
      <c r="J121" t="inlineStr">
        <is>
          <t>Elias Motsoaledi Local Municipality</t>
        </is>
      </c>
      <c r="K121" t="inlineStr">
        <is>
          <t>Limpopo</t>
        </is>
      </c>
      <c r="L121" t="inlineStr">
        <is>
          <t>No</t>
        </is>
      </c>
      <c r="M121" t="inlineStr">
        <is>
          <t>Administrative and support activities</t>
        </is>
      </c>
      <c r="N121" t="inlineStr">
        <is>
          <t>No</t>
        </is>
      </c>
      <c r="O121" t="inlineStr">
        <is>
          <t>No</t>
        </is>
      </c>
      <c r="P121" t="inlineStr">
        <is>
          <t>N/A</t>
        </is>
      </c>
      <c r="Q121" s="3" t="inlineStr">
        <is>
          <t>https://www.etenders.gov.za/home/Download/?blobName=22d1a70f-96a4-48cd-b385-7d86d3fe1c27.pdf&amp;downloadedFileName=EMLM%2036_2026%20RE_CONSTRUCTION%20OF%20CULVERT%20BRIDGE%20AT%20LUCKAU%20VILLAGE.pdf</t>
        </is>
      </c>
      <c r="R121" t="inlineStr"/>
      <c r="S121" t="inlineStr"/>
      <c r="T121" t="inlineStr"/>
      <c r="U121" t="inlineStr"/>
      <c r="V121" t="inlineStr"/>
    </row>
    <row r="122">
      <c r="A122" s="2" t="n">
        <v>46175</v>
      </c>
      <c r="B122" t="n">
        <v>129</v>
      </c>
      <c r="C122" t="inlineStr">
        <is>
          <t>RFP 26/27/02/NM</t>
        </is>
      </c>
      <c r="D122" s="2" t="n">
        <v>46175</v>
      </c>
      <c r="E122" s="2" t="n">
        <v>46196</v>
      </c>
      <c r="F122" t="inlineStr">
        <is>
          <t>11:00</t>
        </is>
      </c>
      <c r="G122" t="inlineStr">
        <is>
          <t>Request for Proposal</t>
        </is>
      </c>
      <c r="H122" t="inlineStr">
        <is>
          <t>To Provide Guarding Services for the South African Post Office for a Maximum of Twelve (12) Months – North West Province</t>
        </is>
      </c>
      <c r="I122" t="inlineStr">
        <is>
          <t>ETENDERS.GOV.ZA</t>
        </is>
      </c>
      <c r="J122" t="inlineStr">
        <is>
          <t>South African Post Office Limited</t>
        </is>
      </c>
      <c r="K122" t="inlineStr">
        <is>
          <t>North West</t>
        </is>
      </c>
      <c r="L122" t="inlineStr">
        <is>
          <t>No</t>
        </is>
      </c>
      <c r="M122" t="inlineStr">
        <is>
          <t>Other service activities</t>
        </is>
      </c>
      <c r="N122" t="inlineStr">
        <is>
          <t>Yes</t>
        </is>
      </c>
      <c r="O122" t="inlineStr">
        <is>
          <t>Yes</t>
        </is>
      </c>
      <c r="P122" t="inlineStr">
        <is>
          <t>https://us04web.zoom.us/j/75429269665?pwd=si2Rt1UjjF529T1jItbXC7bSBamjl3.1</t>
        </is>
      </c>
      <c r="Q122" s="3" t="inlineStr">
        <is>
          <t>https://www.etenders.gov.za/home/Download/?blobName=60699c19-4723-47d6-9e21-62facebb49d2.docx&amp;downloadedFileName=Annexure%20BR%20-%20RFP%2026-27-02%20Guarding%20Services%20for%20North%20West%20Province-%20NM.docx</t>
        </is>
      </c>
      <c r="R122" t="inlineStr"/>
      <c r="S122" t="inlineStr"/>
      <c r="T122" t="inlineStr"/>
      <c r="U122" t="inlineStr"/>
      <c r="V122" t="inlineStr"/>
    </row>
    <row r="123">
      <c r="A123" s="2" t="n">
        <v>46175</v>
      </c>
      <c r="B123" t="n">
        <v>128</v>
      </c>
      <c r="C123" t="inlineStr">
        <is>
          <t>CO/101/06/2026</t>
        </is>
      </c>
      <c r="D123" s="2" t="n">
        <v>46175</v>
      </c>
      <c r="E123" s="2" t="n">
        <v>46206</v>
      </c>
      <c r="F123" t="inlineStr">
        <is>
          <t>11:00</t>
        </is>
      </c>
      <c r="G123" t="inlineStr">
        <is>
          <t>Request for Bid(Open-Tender)</t>
        </is>
      </c>
      <c r="H123" t="inlineStr">
        <is>
          <t>Renewal of Manage Engine software</t>
        </is>
      </c>
      <c r="I123" t="inlineStr">
        <is>
          <t>ETENDERS.GOV.ZA</t>
        </is>
      </c>
      <c r="J123" t="inlineStr">
        <is>
          <t>South African National Space Agency</t>
        </is>
      </c>
      <c r="K123" t="inlineStr">
        <is>
          <t>Gauteng</t>
        </is>
      </c>
      <c r="L123" t="inlineStr">
        <is>
          <t>No</t>
        </is>
      </c>
      <c r="M123" t="inlineStr">
        <is>
          <t>Information service activities</t>
        </is>
      </c>
      <c r="N123" t="inlineStr">
        <is>
          <t>No</t>
        </is>
      </c>
      <c r="O123" t="inlineStr">
        <is>
          <t>No</t>
        </is>
      </c>
      <c r="P123" t="inlineStr">
        <is>
          <t>N/A</t>
        </is>
      </c>
      <c r="Q123" s="3" t="inlineStr">
        <is>
          <t>https://www.etenders.gov.za/home/Download/?blobName=024953f7-9e40-4164-b75e-079945eab07e.pdf&amp;downloadedFileName=Bid%20Document%20-%20ManageEngine%20Software%20Renewal.pdf</t>
        </is>
      </c>
      <c r="R123" t="inlineStr"/>
      <c r="S123" t="inlineStr"/>
      <c r="T123" t="inlineStr"/>
      <c r="U123" t="inlineStr"/>
      <c r="V123" t="inlineStr"/>
    </row>
    <row r="124">
      <c r="A124" s="2" t="n">
        <v>46175</v>
      </c>
      <c r="B124" t="n">
        <v>127</v>
      </c>
      <c r="C124" t="inlineStr">
        <is>
          <t>RFP 26/27/01/NM</t>
        </is>
      </c>
      <c r="D124" s="2" t="n">
        <v>46175</v>
      </c>
      <c r="E124" s="2" t="n">
        <v>46197</v>
      </c>
      <c r="F124" t="inlineStr">
        <is>
          <t>11:00</t>
        </is>
      </c>
      <c r="G124" t="inlineStr">
        <is>
          <t>Request for Proposal</t>
        </is>
      </c>
      <c r="H124" t="inlineStr">
        <is>
          <t>To Provide Guarding Services for the South African Post Office for a Maximum of Twelve (12) Months – Free State Province</t>
        </is>
      </c>
      <c r="I124" t="inlineStr">
        <is>
          <t>ETENDERS.GOV.ZA</t>
        </is>
      </c>
      <c r="J124" t="inlineStr">
        <is>
          <t>South African Post Office Limited</t>
        </is>
      </c>
      <c r="K124" t="inlineStr">
        <is>
          <t>Free State</t>
        </is>
      </c>
      <c r="L124" t="inlineStr">
        <is>
          <t>No</t>
        </is>
      </c>
      <c r="M124" t="inlineStr">
        <is>
          <t>Other service activities</t>
        </is>
      </c>
      <c r="N124" t="inlineStr">
        <is>
          <t>Yes</t>
        </is>
      </c>
      <c r="O124" t="inlineStr">
        <is>
          <t>Yes</t>
        </is>
      </c>
      <c r="P124" t="inlineStr">
        <is>
          <t>https://us04web.zoom.us/j/75695459727?pwd=B6u4L1q5jzDAGwgKh9Y1IGj63XaWqa.1</t>
        </is>
      </c>
      <c r="Q124" s="3" t="inlineStr">
        <is>
          <t>https://www.etenders.gov.za/home/Download/?blobName=85f77505-13aa-49b4-a646-071eef1f8f6f.docx&amp;downloadedFileName=Annexure%20BR%20-%20RFP%2026-27-01%20Guarding%20Services%20for%20Free%20State%20Province-%20NM.docx</t>
        </is>
      </c>
      <c r="R124" t="inlineStr"/>
      <c r="S124" t="inlineStr"/>
      <c r="T124" t="inlineStr"/>
      <c r="U124" t="inlineStr"/>
      <c r="V124" t="inlineStr"/>
    </row>
    <row r="125">
      <c r="A125" s="2" t="n">
        <v>46175</v>
      </c>
      <c r="B125" t="n">
        <v>126</v>
      </c>
      <c r="C125" t="inlineStr">
        <is>
          <t>CO/102/06/2026</t>
        </is>
      </c>
      <c r="D125" s="2" t="n">
        <v>46175</v>
      </c>
      <c r="E125" s="2" t="n">
        <v>46206</v>
      </c>
      <c r="F125" t="inlineStr">
        <is>
          <t>11:00</t>
        </is>
      </c>
      <c r="G125" t="inlineStr">
        <is>
          <t>Request for Bid(Open-Tender)</t>
        </is>
      </c>
      <c r="H125" t="inlineStr">
        <is>
          <t>SAGE Business Partner Services for a period of three years</t>
        </is>
      </c>
      <c r="I125" t="inlineStr">
        <is>
          <t>ETENDERS.GOV.ZA</t>
        </is>
      </c>
      <c r="J125" t="inlineStr">
        <is>
          <t>South African National Space Agency</t>
        </is>
      </c>
      <c r="K125" t="inlineStr">
        <is>
          <t>Gauteng</t>
        </is>
      </c>
      <c r="L125" t="inlineStr">
        <is>
          <t>No</t>
        </is>
      </c>
      <c r="M125" t="inlineStr">
        <is>
          <t>Information service activities</t>
        </is>
      </c>
      <c r="N125" t="inlineStr">
        <is>
          <t>Yes</t>
        </is>
      </c>
      <c r="O125" t="inlineStr">
        <is>
          <t>No</t>
        </is>
      </c>
      <c r="P125" t="inlineStr">
        <is>
          <t>Microsoft Teams</t>
        </is>
      </c>
      <c r="Q125" s="3" t="inlineStr">
        <is>
          <t>https://www.etenders.gov.za/home/Download/?blobName=e82e1b23-f70c-4783-b844-e6a9e1aec67b.pdf&amp;downloadedFileName=Bid%20Document%20-%20SAGE%20Business%20Partner.pdf</t>
        </is>
      </c>
      <c r="R125" t="inlineStr"/>
      <c r="S125" t="inlineStr"/>
      <c r="T125" t="inlineStr"/>
      <c r="U125" t="inlineStr"/>
      <c r="V125" t="inlineStr"/>
    </row>
    <row r="126">
      <c r="A126" s="2" t="n">
        <v>46175</v>
      </c>
      <c r="B126" t="n">
        <v>125</v>
      </c>
      <c r="C126" t="inlineStr">
        <is>
          <t>RFQ Number: 4484/26</t>
        </is>
      </c>
      <c r="D126" s="2" t="n">
        <v>46175</v>
      </c>
      <c r="E126" s="2" t="n">
        <v>46185</v>
      </c>
      <c r="F126" t="inlineStr">
        <is>
          <t>11:00</t>
        </is>
      </c>
      <c r="G126" t="inlineStr">
        <is>
          <t>Request for Quotation</t>
        </is>
      </c>
      <c r="H126" t="inlineStr">
        <is>
          <t>Appointment of service provider to assist with structural assessment at Irene office.</t>
        </is>
      </c>
      <c r="I126" t="inlineStr">
        <is>
          <t>ETENDERS.GOV.ZA</t>
        </is>
      </c>
      <c r="J126" t="inlineStr">
        <is>
          <t>South African Weather Service</t>
        </is>
      </c>
      <c r="K126" t="inlineStr">
        <is>
          <t>Gauteng</t>
        </is>
      </c>
      <c r="L126" t="inlineStr">
        <is>
          <t>No</t>
        </is>
      </c>
      <c r="M126" t="inlineStr">
        <is>
          <t>Services: Professional</t>
        </is>
      </c>
      <c r="N126" t="inlineStr">
        <is>
          <t>Yes</t>
        </is>
      </c>
      <c r="O126" t="inlineStr">
        <is>
          <t>Yes</t>
        </is>
      </c>
      <c r="P126" t="inlineStr">
        <is>
          <t>Irene Weather Office Main Road, Irene, within the Agricultural Research Council (ARC) Farm Doornkloo</t>
        </is>
      </c>
      <c r="Q126" s="3" t="inlineStr">
        <is>
          <t>https://www.etenders.gov.za/home/Download/?blobName=81bafc27-7f80-4daf-8911-64a2a65e17c5.pdf&amp;downloadedFileName=RFQ%204484.pdf</t>
        </is>
      </c>
      <c r="R126" t="inlineStr"/>
      <c r="S126" t="inlineStr"/>
      <c r="T126" t="inlineStr"/>
      <c r="U126" t="inlineStr"/>
      <c r="V126" t="inlineStr"/>
    </row>
    <row r="127">
      <c r="A127" s="2" t="n">
        <v>46175</v>
      </c>
      <c r="B127" t="n">
        <v>124</v>
      </c>
      <c r="C127" t="inlineStr">
        <is>
          <t>RFQ2026-006-002</t>
        </is>
      </c>
      <c r="D127" s="2" t="n">
        <v>46175</v>
      </c>
      <c r="E127" s="2" t="n">
        <v>46182</v>
      </c>
      <c r="F127" t="inlineStr">
        <is>
          <t>11:00</t>
        </is>
      </c>
      <c r="G127" t="inlineStr">
        <is>
          <t>Request for Quotation</t>
        </is>
      </c>
      <c r="H127" t="inlineStr">
        <is>
          <t>APPOINTMENT OF A SERVICE PROVIDER FOR THE PROVISION OF PUBLIC RELATIONS MANAGEMENT AND STRATEGIC CORPORATE COMMUNICATION SERVICES TO THE NATIONAL LOTTERIES COMMISSION ON AN “AS AND WHEN” REQUIRED BASIS FOR A MAXIMUM OF TWELVE (12) MONTHS</t>
        </is>
      </c>
      <c r="I127" t="inlineStr">
        <is>
          <t>ETENDERS.GOV.ZA</t>
        </is>
      </c>
      <c r="J127" t="inlineStr">
        <is>
          <t>National Lotteries Commission</t>
        </is>
      </c>
      <c r="K127" t="inlineStr">
        <is>
          <t>Gauteng</t>
        </is>
      </c>
      <c r="L127" t="inlineStr">
        <is>
          <t>No</t>
        </is>
      </c>
      <c r="M127" t="inlineStr">
        <is>
          <t>Information and communication</t>
        </is>
      </c>
      <c r="N127" t="inlineStr">
        <is>
          <t>No</t>
        </is>
      </c>
      <c r="O127" t="inlineStr">
        <is>
          <t>No</t>
        </is>
      </c>
      <c r="P127" t="inlineStr">
        <is>
          <t>N/A</t>
        </is>
      </c>
      <c r="Q127" s="3" t="inlineStr">
        <is>
          <t>https://www.etenders.gov.za/home/Download/?blobName=78c15961-066b-4024-b096-8712e9eda04c.pdf&amp;downloadedFileName=PUBLIC%20RELATIONS%20MANAGEMENT%20AND%20STRATEGIC%20CORPORATE%20COMMUNICATION%20SERVICES%20TO%20THE%20NATIONAL%20LOTTERIES%20COMMISSION.pdf</t>
        </is>
      </c>
      <c r="R127" t="inlineStr"/>
      <c r="S127" t="inlineStr"/>
      <c r="T127" t="inlineStr"/>
      <c r="U127" t="inlineStr"/>
      <c r="V127" t="inlineStr"/>
    </row>
    <row r="128">
      <c r="A128" s="2" t="n">
        <v>46175</v>
      </c>
      <c r="B128" t="n">
        <v>123</v>
      </c>
      <c r="C128" t="inlineStr">
        <is>
          <t>PR10024194</t>
        </is>
      </c>
      <c r="D128" s="2" t="n">
        <v>46175</v>
      </c>
      <c r="E128" s="2" t="n">
        <v>46185</v>
      </c>
      <c r="F128" t="inlineStr">
        <is>
          <t>11:00</t>
        </is>
      </c>
      <c r="G128" t="inlineStr">
        <is>
          <t>Request for Quotation</t>
        </is>
      </c>
      <c r="H128" t="inlineStr">
        <is>
          <t>Appointment of Service Provider for the Provision of Gardening and Vegetation Management Services at SSA Limpopo Provincial Office and Provincial House in Polokwane for a period of five years.</t>
        </is>
      </c>
      <c r="I128" t="inlineStr">
        <is>
          <t>ETENDERS.GOV.ZA</t>
        </is>
      </c>
      <c r="J128" t="inlineStr">
        <is>
          <t>State Security Agency</t>
        </is>
      </c>
      <c r="K128" t="inlineStr">
        <is>
          <t>Limpopo</t>
        </is>
      </c>
      <c r="L128" t="inlineStr">
        <is>
          <t>No</t>
        </is>
      </c>
      <c r="M128" t="inlineStr">
        <is>
          <t>Services to buildings and landscape activities</t>
        </is>
      </c>
      <c r="N128" t="inlineStr">
        <is>
          <t>Yes</t>
        </is>
      </c>
      <c r="O128" t="inlineStr">
        <is>
          <t>Yes</t>
        </is>
      </c>
      <c r="P128" t="inlineStr">
        <is>
          <t>Tsikoni Building, 19 Pierre Street, Bendor, Polokwane</t>
        </is>
      </c>
      <c r="Q128" s="3" t="inlineStr">
        <is>
          <t>https://www.etenders.gov.za/home/Download/?blobName=e07d42c0-e068-4e48-92f5-19bfb790c41a.doc&amp;downloadedFileName=RFQ.Garden%20Services.doc</t>
        </is>
      </c>
      <c r="R128" t="inlineStr"/>
      <c r="S128" t="inlineStr"/>
      <c r="T128" t="inlineStr"/>
      <c r="U128" t="inlineStr"/>
      <c r="V128" t="inlineStr"/>
    </row>
    <row r="129">
      <c r="A129" s="2" t="n">
        <v>46175</v>
      </c>
      <c r="B129" t="n">
        <v>122</v>
      </c>
      <c r="C129" t="inlineStr">
        <is>
          <t>EDT 003-26</t>
        </is>
      </c>
      <c r="D129" s="2" t="n">
        <v>46175</v>
      </c>
      <c r="E129" s="2" t="n">
        <v>46206</v>
      </c>
      <c r="F129" t="inlineStr">
        <is>
          <t>11:00</t>
        </is>
      </c>
      <c r="G129" t="inlineStr">
        <is>
          <t>Request for Bid(Open-Tender)</t>
        </is>
      </c>
      <c r="H129" t="inlineStr">
        <is>
          <t>EXPANSION OF A PANEL FOR CATERING SERVICE PROVIDERS FOR A PERIOD OF THREE (3) YEARS</t>
        </is>
      </c>
      <c r="I129" t="inlineStr">
        <is>
          <t>ETENDERS.GOV.ZA</t>
        </is>
      </c>
      <c r="J129" t="inlineStr">
        <is>
          <t>Western Cape - Economic Development and Tourism</t>
        </is>
      </c>
      <c r="K129" t="inlineStr">
        <is>
          <t>Western Cape</t>
        </is>
      </c>
      <c r="L129" t="inlineStr">
        <is>
          <t>No</t>
        </is>
      </c>
      <c r="M129" t="inlineStr">
        <is>
          <t>Food and beverage service activities</t>
        </is>
      </c>
      <c r="N129" t="inlineStr">
        <is>
          <t>No</t>
        </is>
      </c>
      <c r="O129" t="inlineStr">
        <is>
          <t>No</t>
        </is>
      </c>
      <c r="P129" t="inlineStr">
        <is>
          <t>N/A</t>
        </is>
      </c>
      <c r="Q129" s="3" t="inlineStr">
        <is>
          <t>https://www.etenders.gov.za/home/Download/?blobName=c0bdb925-eff9-40bf-9910-a54038998b5a.pdf&amp;downloadedFileName=EDT%20003-26%20RFQ%20for%20Expansion%20of%20Panel%20Catering%20Services%20Bid%20documents%20signed.pdf</t>
        </is>
      </c>
      <c r="R129" t="inlineStr"/>
      <c r="S129" t="inlineStr"/>
      <c r="T129" t="inlineStr"/>
      <c r="U129" t="inlineStr"/>
      <c r="V129" t="inlineStr"/>
    </row>
    <row r="130">
      <c r="A130" s="2" t="n">
        <v>46175</v>
      </c>
      <c r="B130" t="n">
        <v>121</v>
      </c>
      <c r="C130" t="inlineStr">
        <is>
          <t>RFQ0226</t>
        </is>
      </c>
      <c r="D130" s="2" t="n">
        <v>46175</v>
      </c>
      <c r="E130" s="2" t="n">
        <v>46204</v>
      </c>
      <c r="F130" t="inlineStr">
        <is>
          <t>11:00</t>
        </is>
      </c>
      <c r="G130" t="inlineStr">
        <is>
          <t>Request for Quotation</t>
        </is>
      </c>
      <c r="H130" t="inlineStr">
        <is>
          <t>REQUEST FOR QUOTATION FOR INDIRECT PUMPED SOLAR WATER HEATING SYSTEM INTERVENTION TO EXISTING SYSTEM.</t>
        </is>
      </c>
      <c r="I130" t="inlineStr">
        <is>
          <t>ETENDERS.GOV.ZA</t>
        </is>
      </c>
      <c r="J130" t="inlineStr">
        <is>
          <t>South African National Energy Development Institute</t>
        </is>
      </c>
      <c r="K130" t="inlineStr">
        <is>
          <t>Limpopo</t>
        </is>
      </c>
      <c r="L130" t="inlineStr">
        <is>
          <t>No</t>
        </is>
      </c>
      <c r="M130" t="inlineStr">
        <is>
          <t>Other service activities</t>
        </is>
      </c>
      <c r="N130" t="inlineStr">
        <is>
          <t>Yes</t>
        </is>
      </c>
      <c r="O130" t="inlineStr">
        <is>
          <t>Yes</t>
        </is>
      </c>
      <c r="P130" t="inlineStr">
        <is>
          <t>Refer to the RFQ document</t>
        </is>
      </c>
      <c r="Q130" s="3" t="inlineStr">
        <is>
          <t>https://www.etenders.gov.za/home/Download/?blobName=be091207-71f9-4c6d-85b9-5a5a226147bb.pdf&amp;downloadedFileName=RFQ%200226%20SAAF%20GYM%20Advert.pdf</t>
        </is>
      </c>
      <c r="R130" t="inlineStr"/>
      <c r="S130" t="inlineStr"/>
      <c r="T130" t="inlineStr"/>
      <c r="U130" t="inlineStr"/>
      <c r="V130" t="inlineStr"/>
    </row>
    <row r="131">
      <c r="A131" s="2" t="n">
        <v>46175</v>
      </c>
      <c r="B131" t="n">
        <v>120</v>
      </c>
      <c r="C131" t="inlineStr">
        <is>
          <t>RFQ 4483</t>
        </is>
      </c>
      <c r="D131" s="2" t="n">
        <v>46175</v>
      </c>
      <c r="E131" s="2" t="n">
        <v>46190</v>
      </c>
      <c r="F131" t="inlineStr">
        <is>
          <t>11:00</t>
        </is>
      </c>
      <c r="G131" t="inlineStr">
        <is>
          <t>Request for Quotation</t>
        </is>
      </c>
      <c r="H131" t="inlineStr">
        <is>
          <t>Appointment of electrical supplier to assist with electrical assessment at the Irene office</t>
        </is>
      </c>
      <c r="I131" t="inlineStr">
        <is>
          <t>ETENDERS.GOV.ZA</t>
        </is>
      </c>
      <c r="J131" t="inlineStr">
        <is>
          <t>South African Weather Service</t>
        </is>
      </c>
      <c r="K131" t="inlineStr">
        <is>
          <t>Gauteng</t>
        </is>
      </c>
      <c r="L131" t="inlineStr">
        <is>
          <t>No</t>
        </is>
      </c>
      <c r="M131" t="inlineStr">
        <is>
          <t>Electricity, gas, steam and air conditioning</t>
        </is>
      </c>
      <c r="N131" t="inlineStr">
        <is>
          <t>Yes</t>
        </is>
      </c>
      <c r="O131" t="inlineStr">
        <is>
          <t>Yes</t>
        </is>
      </c>
      <c r="P131" t="inlineStr">
        <is>
          <t>Irene Weather Office</t>
        </is>
      </c>
      <c r="Q131" s="3" t="inlineStr">
        <is>
          <t>https://www.etenders.gov.za/home/Download/?blobName=16b91939-2e9f-4836-abbb-29e4d325d216.pdf&amp;downloadedFileName=RFQ%204483.pdf</t>
        </is>
      </c>
      <c r="R131" t="inlineStr"/>
      <c r="S131" t="inlineStr"/>
      <c r="T131" t="inlineStr"/>
      <c r="U131" t="inlineStr"/>
      <c r="V131" t="inlineStr"/>
    </row>
    <row r="132">
      <c r="A132" s="2" t="n">
        <v>46175</v>
      </c>
      <c r="B132" t="n">
        <v>119</v>
      </c>
      <c r="C132" t="inlineStr">
        <is>
          <t>29445/MPNP/2026-27a</t>
        </is>
      </c>
      <c r="D132" s="2" t="n">
        <v>46175</v>
      </c>
      <c r="E132" s="2" t="n">
        <v>46184</v>
      </c>
      <c r="F132" t="inlineStr">
        <is>
          <t>11:00</t>
        </is>
      </c>
      <c r="G132" t="inlineStr">
        <is>
          <t>Request for Quotation</t>
        </is>
      </c>
      <c r="H132" t="inlineStr">
        <is>
          <t>Re-Issue Provision for E Coli Treatment at Mapungubwe National Park &amp; World Heritage Site.</t>
        </is>
      </c>
      <c r="I132" t="inlineStr">
        <is>
          <t>ETENDERS.GOV.ZA</t>
        </is>
      </c>
      <c r="J132" t="inlineStr">
        <is>
          <t>South African National Parks</t>
        </is>
      </c>
      <c r="K132" t="inlineStr">
        <is>
          <t>Limpopo</t>
        </is>
      </c>
      <c r="L132" t="inlineStr">
        <is>
          <t>No</t>
        </is>
      </c>
      <c r="M132" t="inlineStr">
        <is>
          <t>Water collection, treatment and supply</t>
        </is>
      </c>
      <c r="N132" t="inlineStr">
        <is>
          <t>No</t>
        </is>
      </c>
      <c r="O132" t="inlineStr">
        <is>
          <t>No</t>
        </is>
      </c>
      <c r="P132" t="inlineStr">
        <is>
          <t>N/A</t>
        </is>
      </c>
      <c r="Q132" s="3" t="inlineStr">
        <is>
          <t>https://www.etenders.gov.za/home/Download/?blobName=fe092bdc-657d-4105-a16a-08bf8f6262e1.jpg&amp;downloadedFileName=sample3.jpg</t>
        </is>
      </c>
      <c r="R132" t="inlineStr"/>
      <c r="S132" t="inlineStr"/>
      <c r="T132" t="inlineStr"/>
      <c r="U132" t="inlineStr"/>
      <c r="V132" t="inlineStr"/>
    </row>
    <row r="133">
      <c r="A133" s="2" t="n">
        <v>46175</v>
      </c>
      <c r="B133" t="n">
        <v>118</v>
      </c>
      <c r="C133" t="inlineStr">
        <is>
          <t>SANBI : NZG576/2026</t>
        </is>
      </c>
      <c r="D133" s="2" t="n">
        <v>46175</v>
      </c>
      <c r="E133" s="2" t="n">
        <v>46199</v>
      </c>
      <c r="F133" t="inlineStr">
        <is>
          <t>11:00</t>
        </is>
      </c>
      <c r="G133" t="inlineStr">
        <is>
          <t>Request for Bid(Open-Tender)</t>
        </is>
      </c>
      <c r="H133" t="inlineStr">
        <is>
          <t>THE APPOINTMENT OF A TURNKEY SERVICE PROVIDER TO ASSESS THE EXISTING FILTRATION SYSTEM, PROVIDE A FEASIBILITY/DESIGN SOLUTION, AND IMPLEMENT EITHER REPAIRS OR A NEW TURNKEY FILTRATION/WATER TREATMENT SYSTEM AT THE NATIONAL ZOOLOGICAL GARDEN (NZG), PRETORIA.</t>
        </is>
      </c>
      <c r="I133" t="inlineStr">
        <is>
          <t>ETENDERS.GOV.ZA</t>
        </is>
      </c>
      <c r="J133" t="inlineStr">
        <is>
          <t>South African National Biodiversity Institute</t>
        </is>
      </c>
      <c r="K133" t="inlineStr">
        <is>
          <t>Gauteng</t>
        </is>
      </c>
      <c r="L133" t="inlineStr">
        <is>
          <t>No</t>
        </is>
      </c>
      <c r="M133" t="inlineStr">
        <is>
          <t>Other service activities</t>
        </is>
      </c>
      <c r="N133" t="inlineStr">
        <is>
          <t>Yes</t>
        </is>
      </c>
      <c r="O133" t="inlineStr">
        <is>
          <t>Yes</t>
        </is>
      </c>
      <c r="P133" t="inlineStr">
        <is>
          <t>https://teams.microsoft.com/meet/357823925282201?p=dnW2032GDIfB6NtC97</t>
        </is>
      </c>
      <c r="Q133" s="3" t="inlineStr">
        <is>
          <t>https://www.etenders.gov.za/home/Download/?blobName=b9156aa0-29eb-4bb2-9580-212905457d2e.pdf&amp;downloadedFileName=Special%20Conditions%20of%20a%20Contract.pdf</t>
        </is>
      </c>
      <c r="R133" t="inlineStr"/>
      <c r="S133" t="inlineStr"/>
      <c r="T133" t="inlineStr"/>
      <c r="U133" t="inlineStr"/>
      <c r="V133" t="inlineStr"/>
    </row>
    <row r="134">
      <c r="A134" s="2" t="n">
        <v>46175</v>
      </c>
      <c r="B134" t="n">
        <v>117</v>
      </c>
      <c r="C134" t="inlineStr">
        <is>
          <t>RFQ-058-26</t>
        </is>
      </c>
      <c r="D134" s="2" t="n">
        <v>46175</v>
      </c>
      <c r="E134" s="2" t="n">
        <v>46182</v>
      </c>
      <c r="F134" t="inlineStr">
        <is>
          <t>12:00</t>
        </is>
      </c>
      <c r="G134" t="inlineStr">
        <is>
          <t>Request for Quotation</t>
        </is>
      </c>
      <c r="H134" t="inlineStr">
        <is>
          <t>APPOINTMENT OF A SERVICE PROVIDER TO PROVIDE A CUSTOMISED FIELD GUIDING TRAINING PROGRAMME FOR 15 LEARNERS AT THE KRUGER NATIONAL PARK</t>
        </is>
      </c>
      <c r="I134" t="inlineStr">
        <is>
          <t>ETENDERS.GOV.ZA</t>
        </is>
      </c>
      <c r="J134" t="inlineStr">
        <is>
          <t>South African National Parks</t>
        </is>
      </c>
      <c r="K134" t="inlineStr">
        <is>
          <t>Gauteng</t>
        </is>
      </c>
      <c r="L134" t="inlineStr">
        <is>
          <t>No</t>
        </is>
      </c>
      <c r="M134" t="inlineStr">
        <is>
          <t>Services: General</t>
        </is>
      </c>
      <c r="N134" t="inlineStr">
        <is>
          <t>Yes</t>
        </is>
      </c>
      <c r="O134" t="inlineStr">
        <is>
          <t>No</t>
        </is>
      </c>
      <c r="P134" t="inlineStr">
        <is>
          <t>N/A</t>
        </is>
      </c>
      <c r="Q134" s="3" t="inlineStr">
        <is>
          <t>https://www.etenders.gov.za/home/Download/?blobName=53dad4e1-744d-45bd-bd0c-fbe79e1e6b5e.pdf&amp;downloadedFileName=RFQ-058-26%2015%20Field%20Guide%20Learners.pdf</t>
        </is>
      </c>
      <c r="R134" t="inlineStr"/>
      <c r="S134" t="inlineStr"/>
      <c r="T134" t="inlineStr"/>
      <c r="U134" t="inlineStr"/>
      <c r="V134" t="inlineStr"/>
    </row>
    <row r="135">
      <c r="A135" s="2" t="n">
        <v>46175</v>
      </c>
      <c r="B135" t="n">
        <v>116</v>
      </c>
      <c r="C135" t="inlineStr">
        <is>
          <t>RFQ NO: 15/2026-2027 RE-ADVERTISEMENT</t>
        </is>
      </c>
      <c r="D135" s="2" t="n">
        <v>46175</v>
      </c>
      <c r="E135" s="2" t="n">
        <v>46182</v>
      </c>
      <c r="F135" t="inlineStr">
        <is>
          <t>12:00</t>
        </is>
      </c>
      <c r="G135" t="inlineStr">
        <is>
          <t>Request for Quotation</t>
        </is>
      </c>
      <c r="H135" t="inlineStr">
        <is>
          <t>RE-ADVERTISEMENT - SUITABLE SERVICE PROVIDER FOR OCCUPATIONAL HYGIENE SERVICES</t>
        </is>
      </c>
      <c r="I135" t="inlineStr">
        <is>
          <t>ETENDERS.GOV.ZA</t>
        </is>
      </c>
      <c r="J135" t="inlineStr">
        <is>
          <t>Alexkor Limited</t>
        </is>
      </c>
      <c r="K135" t="inlineStr">
        <is>
          <t>Northern Cape</t>
        </is>
      </c>
      <c r="L135" t="inlineStr">
        <is>
          <t>No</t>
        </is>
      </c>
      <c r="M135" t="inlineStr">
        <is>
          <t>Other service activities</t>
        </is>
      </c>
      <c r="N135" t="inlineStr">
        <is>
          <t>No</t>
        </is>
      </c>
      <c r="O135" t="inlineStr">
        <is>
          <t>No</t>
        </is>
      </c>
      <c r="P135" t="inlineStr">
        <is>
          <t>N/A</t>
        </is>
      </c>
      <c r="Q135" s="3" t="inlineStr">
        <is>
          <t>https://www.etenders.gov.za/home/Download/?blobName=ccd8d394-57bb-4d4f-afe1-3a3f66857176.doc&amp;downloadedFileName=Standard%20Bidding%20Document%20(SDB)%204_Annexure%20A.doc</t>
        </is>
      </c>
      <c r="R135" t="inlineStr"/>
      <c r="S135" t="inlineStr"/>
      <c r="T135" t="inlineStr"/>
      <c r="U135" t="inlineStr"/>
      <c r="V135" t="inlineStr"/>
    </row>
    <row r="136">
      <c r="A136" s="2" t="n">
        <v>46175</v>
      </c>
      <c r="B136" t="n">
        <v>115</v>
      </c>
      <c r="C136" t="inlineStr">
        <is>
          <t>RFQ/LOG/2026/10252270/25</t>
        </is>
      </c>
      <c r="D136" s="2" t="n">
        <v>46175</v>
      </c>
      <c r="E136" s="2" t="n">
        <v>46196</v>
      </c>
      <c r="F136" t="inlineStr">
        <is>
          <t>12:00</t>
        </is>
      </c>
      <c r="G136" t="inlineStr">
        <is>
          <t>Request for Quotation</t>
        </is>
      </c>
      <c r="H136" t="inlineStr">
        <is>
          <t>APPOINTMENT OF SERVICE PROVIDER FOR SERVICE, MAINTENANCE, REPAIRS AND SUPPLY STAND BY GENERATORS -SABC MPUMALANGA FOR A PERIOD OF FIVE (5) YEARS.</t>
        </is>
      </c>
      <c r="I136" t="inlineStr">
        <is>
          <t>ETENDERS.GOV.ZA</t>
        </is>
      </c>
      <c r="J136" t="inlineStr">
        <is>
          <t>South African Broadcasting Corporation Limited</t>
        </is>
      </c>
      <c r="K136" t="inlineStr">
        <is>
          <t>Mpumalanga</t>
        </is>
      </c>
      <c r="L136" t="inlineStr">
        <is>
          <t>No</t>
        </is>
      </c>
      <c r="M136" t="inlineStr">
        <is>
          <t>Administrative and support activities</t>
        </is>
      </c>
      <c r="N136" t="inlineStr">
        <is>
          <t>Yes</t>
        </is>
      </c>
      <c r="O136" t="inlineStr">
        <is>
          <t>No</t>
        </is>
      </c>
      <c r="P136" t="inlineStr">
        <is>
          <t>CORNER ANDREW AND MADIBA DRIVE CITY CENTER BUILDINGS SABC OFFICE/ LIGWALAGWALA, NELSPRUIT, 1200</t>
        </is>
      </c>
      <c r="Q136" s="3" t="inlineStr">
        <is>
          <t>https://www.etenders.gov.za/home/Download/?blobName=955c7c1e-872e-4090-bbd9-7141f6ff661f.pdf&amp;downloadedFileName=2026APPOINTMENT%20OF%20SERVICE%20PROVIDER%20FOR%20SERVICE%20MAINTENANCE%20REPAIRS%20AND%20SUPPLY%20STAND%20BY%20GENERATORS%20-SABC%20MPUMALANGA%20FOR%20A%20PERIOD%20OF%20(002).pdf</t>
        </is>
      </c>
      <c r="R136" t="inlineStr"/>
      <c r="S136" t="inlineStr"/>
      <c r="T136" t="inlineStr"/>
      <c r="U136" t="inlineStr"/>
      <c r="V136" t="inlineStr"/>
    </row>
    <row r="137">
      <c r="A137" s="2" t="n">
        <v>46175</v>
      </c>
      <c r="B137" t="n">
        <v>114</v>
      </c>
      <c r="C137" t="inlineStr">
        <is>
          <t>RFQ/ENG//2026/10252037/22</t>
        </is>
      </c>
      <c r="D137" s="2" t="n">
        <v>46175</v>
      </c>
      <c r="E137" s="2" t="n">
        <v>46199</v>
      </c>
      <c r="F137" t="inlineStr">
        <is>
          <t>11:00</t>
        </is>
      </c>
      <c r="G137" t="inlineStr">
        <is>
          <t>Request for Quotation</t>
        </is>
      </c>
      <c r="H137" t="inlineStr">
        <is>
          <t>APPOINTMENT OF A SERVICE PROVIDER TO COMPLETE THE BUILDNG WORKS OF MOTSWEDING FM STUDIOS IN MAHIKENG AS A ONCE OFF PROJECT</t>
        </is>
      </c>
      <c r="I137" t="inlineStr">
        <is>
          <t>ETENDERS.GOV.ZA</t>
        </is>
      </c>
      <c r="J137" t="inlineStr">
        <is>
          <t>South African Broadcasting Corporation Limited</t>
        </is>
      </c>
      <c r="K137" t="inlineStr">
        <is>
          <t>North West</t>
        </is>
      </c>
      <c r="L137" t="inlineStr">
        <is>
          <t>No</t>
        </is>
      </c>
      <c r="M137" t="inlineStr">
        <is>
          <t>Administrative and support activities</t>
        </is>
      </c>
      <c r="N137" t="inlineStr">
        <is>
          <t>Yes</t>
        </is>
      </c>
      <c r="O137" t="inlineStr">
        <is>
          <t>Yes</t>
        </is>
      </c>
      <c r="P137" t="inlineStr">
        <is>
          <t>SABC NORTHWEST CNR DR ALBERT LUTHULI DRIVE AND JAMES MOROKA, MAHIKENG</t>
        </is>
      </c>
      <c r="Q137" s="3" t="inlineStr">
        <is>
          <t>https://www.etenders.gov.za/home/Download/?blobName=dd02b6c5-49dc-4206-baee-658d269a2ec4.pdf&amp;downloadedFileName=SABC%2014012026%20(003).pdf</t>
        </is>
      </c>
      <c r="R137" t="inlineStr"/>
      <c r="S137" t="inlineStr"/>
      <c r="T137" t="inlineStr"/>
      <c r="U137" t="inlineStr"/>
      <c r="V137" t="inlineStr"/>
    </row>
    <row r="138">
      <c r="A138" s="2" t="n">
        <v>46175</v>
      </c>
      <c r="B138" t="n">
        <v>113</v>
      </c>
      <c r="C138" t="inlineStr">
        <is>
          <t>SP0022/26</t>
        </is>
      </c>
      <c r="D138" s="2" t="n">
        <v>46175</v>
      </c>
      <c r="E138" s="2" t="n">
        <v>46185</v>
      </c>
      <c r="F138" t="inlineStr">
        <is>
          <t>11:00</t>
        </is>
      </c>
      <c r="G138" t="inlineStr">
        <is>
          <t>Request for Quotation</t>
        </is>
      </c>
      <c r="H138" t="inlineStr">
        <is>
          <t>Customs Tariff Auditing</t>
        </is>
      </c>
      <c r="I138" t="inlineStr">
        <is>
          <t>ETENDERS.GOV.ZA</t>
        </is>
      </c>
      <c r="J138" t="inlineStr">
        <is>
          <t>South African Airways (Pty) Limited</t>
        </is>
      </c>
      <c r="K138" t="inlineStr">
        <is>
          <t>Gauteng</t>
        </is>
      </c>
      <c r="L138" t="inlineStr">
        <is>
          <t>No</t>
        </is>
      </c>
      <c r="M138" t="inlineStr">
        <is>
          <t>Other professional, scientific and technical activities</t>
        </is>
      </c>
      <c r="N138" t="inlineStr">
        <is>
          <t>No</t>
        </is>
      </c>
      <c r="O138" t="inlineStr">
        <is>
          <t>No</t>
        </is>
      </c>
      <c r="P138" t="inlineStr">
        <is>
          <t>N/A</t>
        </is>
      </c>
      <c r="Q138" s="3" t="inlineStr">
        <is>
          <t>https://www.etenders.gov.za/home/Download/?blobName=856b8949-79e6-4197-b2c5-2df418240a3c.pdf&amp;downloadedFileName=SBD%201%20-%20Customs%20Tariff%20Audidting.pdf</t>
        </is>
      </c>
      <c r="R138" t="inlineStr"/>
      <c r="S138" t="inlineStr"/>
      <c r="T138" t="inlineStr"/>
      <c r="U138" t="inlineStr"/>
      <c r="V138" t="inlineStr"/>
    </row>
    <row r="139">
      <c r="A139" s="2" t="n">
        <v>46175</v>
      </c>
      <c r="B139" t="n">
        <v>112</v>
      </c>
      <c r="C139" t="inlineStr">
        <is>
          <t>SACAA/LCPA/00003/2026-2027</t>
        </is>
      </c>
      <c r="D139" s="2" t="n">
        <v>46175</v>
      </c>
      <c r="E139" s="2" t="n">
        <v>46199</v>
      </c>
      <c r="F139" t="inlineStr">
        <is>
          <t>11:00</t>
        </is>
      </c>
      <c r="G139" t="inlineStr">
        <is>
          <t>Request for Bid(Open-Tender)</t>
        </is>
      </c>
      <c r="H139" t="inlineStr">
        <is>
          <t>TO CONDUCT LEADERSHIP, COMPETENCY AND PSYCHOMETRIC ASSESSMENTS FOR A PERIOD OF THREE (3) YEARS.</t>
        </is>
      </c>
      <c r="I139" t="inlineStr">
        <is>
          <t>ETENDERS.GOV.ZA</t>
        </is>
      </c>
      <c r="J139" t="inlineStr">
        <is>
          <t>South African Civil Aviation Authority</t>
        </is>
      </c>
      <c r="K139" t="inlineStr">
        <is>
          <t>Gauteng</t>
        </is>
      </c>
      <c r="L139" t="inlineStr">
        <is>
          <t>No</t>
        </is>
      </c>
      <c r="M139" t="inlineStr">
        <is>
          <t>Services: Professional</t>
        </is>
      </c>
      <c r="N139" t="inlineStr">
        <is>
          <t>No</t>
        </is>
      </c>
      <c r="O139" t="inlineStr">
        <is>
          <t>No</t>
        </is>
      </c>
      <c r="P139" t="inlineStr">
        <is>
          <t>N/A</t>
        </is>
      </c>
      <c r="Q139" s="3" t="inlineStr">
        <is>
          <t>https://www.etenders.gov.za/home/Download/?blobName=cdc87452-d140-4de1-a3c8-bbebd9bd31d7.pdf&amp;downloadedFileName=TENDER%20DOCUMENT%20-%20PSYCHOMETRICS%20OR%20A%20PERIOD%20OF%20THREE%20(3)%20YEARS%20-%20JUNE%202026.pdf</t>
        </is>
      </c>
      <c r="R139" t="inlineStr"/>
      <c r="S139" t="inlineStr"/>
      <c r="T139" t="inlineStr"/>
      <c r="U139" t="inlineStr"/>
      <c r="V139" t="inlineStr"/>
    </row>
    <row r="140">
      <c r="A140" s="2" t="n">
        <v>46175</v>
      </c>
      <c r="B140" t="n">
        <v>111</v>
      </c>
      <c r="C140" t="inlineStr">
        <is>
          <t>WTE1011CE</t>
        </is>
      </c>
      <c r="D140" s="2" t="n">
        <v>46175</v>
      </c>
      <c r="E140" s="2" t="n">
        <v>46191</v>
      </c>
      <c r="F140" t="inlineStr">
        <is>
          <t>11:00</t>
        </is>
      </c>
      <c r="G140" t="inlineStr">
        <is>
          <t>Request for Quotation</t>
        </is>
      </c>
      <c r="H140" t="inlineStr">
        <is>
          <t>THE SUPPLY AND DELIVERY OF LOCAL CONTENT MESH WIRE REF 888 AT MIDMAR ACCESS ROADS PROJECT IN MIDMAR DAM (HOWICK) IN KWAZULU NATAL PROVINCE</t>
        </is>
      </c>
      <c r="I140" t="inlineStr">
        <is>
          <t>ETENDERS.GOV.ZA</t>
        </is>
      </c>
      <c r="J140" t="inlineStr">
        <is>
          <t>Water and Sanitation</t>
        </is>
      </c>
      <c r="K140" t="inlineStr">
        <is>
          <t>KwaZulu-Natal</t>
        </is>
      </c>
      <c r="L140" t="inlineStr">
        <is>
          <t>No</t>
        </is>
      </c>
      <c r="M140" t="inlineStr">
        <is>
          <t>Construction</t>
        </is>
      </c>
      <c r="N140" t="inlineStr">
        <is>
          <t>Yes</t>
        </is>
      </c>
      <c r="O140" t="inlineStr">
        <is>
          <t>Yes</t>
        </is>
      </c>
      <c r="P140" t="inlineStr">
        <is>
          <t>Midmar dam near Howick</t>
        </is>
      </c>
      <c r="Q140" s="3" t="inlineStr">
        <is>
          <t>https://www.etenders.gov.za/home/Download/?blobName=7f2e4734-f6e6-4720-85a9-171bc9bce71b.pdf&amp;downloadedFileName=Annexure%20D-%20Local%20Content%20Annex%20%20D%20-%20Copy.pdf</t>
        </is>
      </c>
      <c r="R140" t="inlineStr"/>
      <c r="S140" t="inlineStr"/>
      <c r="T140" t="inlineStr"/>
      <c r="U140" t="inlineStr"/>
      <c r="V140" t="inlineStr"/>
    </row>
    <row r="141">
      <c r="A141" s="2" t="n">
        <v>46175</v>
      </c>
      <c r="B141" t="n">
        <v>110</v>
      </c>
      <c r="C141" t="inlineStr">
        <is>
          <t>Q93-2025-26</t>
        </is>
      </c>
      <c r="D141" s="2" t="n">
        <v>46175</v>
      </c>
      <c r="E141" s="2" t="n">
        <v>46184</v>
      </c>
      <c r="F141" t="inlineStr">
        <is>
          <t>11:00</t>
        </is>
      </c>
      <c r="G141" t="inlineStr">
        <is>
          <t>Request for Quotation</t>
        </is>
      </c>
      <c r="H141" t="inlineStr">
        <is>
          <t>ADVERTISEMENT: APPOINTMENT OF A SERVICE PROVIDER FOR THE DEVELOPMENT OF AN ENTERPRISE RISK MANAGEMENT SYSTEM, INCLUDING DESIGN, INSTALLATION, CONFIGURATION, ENHANCEMENT, SUPPORT AND MAINTENANCE, FOR THE CITY OF TSHWANE</t>
        </is>
      </c>
      <c r="I141" t="inlineStr">
        <is>
          <t>ETENDERS.GOV.ZA</t>
        </is>
      </c>
      <c r="J141" t="inlineStr">
        <is>
          <t>City of Tshwane</t>
        </is>
      </c>
      <c r="K141" t="inlineStr">
        <is>
          <t>Gauteng</t>
        </is>
      </c>
      <c r="L141" t="inlineStr">
        <is>
          <t>No</t>
        </is>
      </c>
      <c r="M141" t="inlineStr">
        <is>
          <t>Supplies: General</t>
        </is>
      </c>
      <c r="N141" t="inlineStr">
        <is>
          <t>No</t>
        </is>
      </c>
      <c r="O141" t="inlineStr">
        <is>
          <t>No</t>
        </is>
      </c>
      <c r="P141" t="inlineStr">
        <is>
          <t>N/A</t>
        </is>
      </c>
      <c r="Q141" s="3" t="inlineStr">
        <is>
          <t>https://www.etenders.gov.za/home/Download/?blobName=a2e0e4eb-ee81-40cc-985e-1e44ac30877f.pdf&amp;downloadedFileName=Q93-2025-26%20QUOTATION%20DOCUMENT.pdf</t>
        </is>
      </c>
      <c r="R141" t="inlineStr"/>
      <c r="S141" t="inlineStr"/>
      <c r="T141" t="inlineStr"/>
      <c r="U141" t="inlineStr"/>
      <c r="V141" t="inlineStr"/>
    </row>
    <row r="142">
      <c r="A142" s="2" t="n">
        <v>46175</v>
      </c>
      <c r="B142" t="n">
        <v>109</v>
      </c>
      <c r="C142" t="inlineStr">
        <is>
          <t>DOT/04/2026/ITP</t>
        </is>
      </c>
      <c r="D142" s="2" t="n">
        <v>46175</v>
      </c>
      <c r="E142" s="2" t="n">
        <v>46198</v>
      </c>
      <c r="F142" t="inlineStr">
        <is>
          <t>11:00</t>
        </is>
      </c>
      <c r="G142" t="inlineStr">
        <is>
          <t>Request for Bid(Open-Tender)</t>
        </is>
      </c>
      <c r="H142" t="inlineStr">
        <is>
          <t>APPOINTMENT OF A SERVICE PROVIDER TO DEVELOP AN IMPACT ANALYSIS MODEL OF TRANSPORT ON THE ECONOMY OF SOUTH AFRICA FOR A PERIOD OF THIRTY-SIX (36) MONTHS</t>
        </is>
      </c>
      <c r="I142" t="inlineStr">
        <is>
          <t>ETENDERS.GOV.ZA</t>
        </is>
      </c>
      <c r="J142" t="inlineStr">
        <is>
          <t>Transport</t>
        </is>
      </c>
      <c r="K142" t="inlineStr">
        <is>
          <t>Gauteng</t>
        </is>
      </c>
      <c r="L142" t="inlineStr">
        <is>
          <t>No</t>
        </is>
      </c>
      <c r="M142" t="inlineStr">
        <is>
          <t>Services: Professional</t>
        </is>
      </c>
      <c r="N142" t="inlineStr">
        <is>
          <t>Yes</t>
        </is>
      </c>
      <c r="O142" t="inlineStr">
        <is>
          <t>Yes</t>
        </is>
      </c>
      <c r="P142" t="inlineStr">
        <is>
          <t>DEPARTMENT OF TRANSPORT INDABA BOARDROOM</t>
        </is>
      </c>
      <c r="Q142" s="3" t="inlineStr">
        <is>
          <t>https://www.etenders.gov.za/home/Download/?blobName=2ca80959-2e5d-49ba-8286-a5181679996c.pdf&amp;downloadedFileName=IMPACT%20ANALYSIS%20MODEL%20DOT-04-2026-ITP%20(002).pdf</t>
        </is>
      </c>
      <c r="R142" t="inlineStr"/>
      <c r="S142" t="inlineStr"/>
      <c r="T142" t="inlineStr"/>
      <c r="U142" t="inlineStr"/>
      <c r="V142" t="inlineStr"/>
    </row>
    <row r="143">
      <c r="A143" s="2" t="n">
        <v>46175</v>
      </c>
      <c r="B143" t="n">
        <v>108</v>
      </c>
      <c r="C143" t="inlineStr">
        <is>
          <t>WTE1004CE</t>
        </is>
      </c>
      <c r="D143" s="2" t="n">
        <v>46175</v>
      </c>
      <c r="E143" s="2" t="n">
        <v>46191</v>
      </c>
      <c r="F143" t="inlineStr">
        <is>
          <t>11:00</t>
        </is>
      </c>
      <c r="G143" t="inlineStr">
        <is>
          <t>Request for Quotation</t>
        </is>
      </c>
      <c r="H143" t="inlineStr">
        <is>
          <t>SUPPLY, DELIVER AND SERVICE 6 CHEMICAL FLUSHABLE TOILETS TO NTSHINGWAYO DAM PROJECT FOR A PERIOD OF 10 MONTHS, NEAR NEWCASTLE TOWN IN KWAZULUNATAL PROVINCE</t>
        </is>
      </c>
      <c r="I143" t="inlineStr">
        <is>
          <t>ETENDERS.GOV.ZA</t>
        </is>
      </c>
      <c r="J143" t="inlineStr">
        <is>
          <t>Water and Sanitation</t>
        </is>
      </c>
      <c r="K143" t="inlineStr">
        <is>
          <t>KwaZulu-Natal</t>
        </is>
      </c>
      <c r="L143" t="inlineStr">
        <is>
          <t>No</t>
        </is>
      </c>
      <c r="M143" t="inlineStr">
        <is>
          <t>Construction</t>
        </is>
      </c>
      <c r="N143" t="inlineStr">
        <is>
          <t>Yes</t>
        </is>
      </c>
      <c r="O143" t="inlineStr">
        <is>
          <t>Yes</t>
        </is>
      </c>
      <c r="P143" t="inlineStr">
        <is>
          <t>Ntshingwayo Dam near Newcastle town</t>
        </is>
      </c>
      <c r="Q143" s="3" t="inlineStr">
        <is>
          <t>https://www.etenders.gov.za/home/Download/?blobName=f21a087e-4a6a-412d-9238-1a2f64696d67.pdf&amp;downloadedFileName=SBD%206.1%20IN%20TERMS%20OF%20PPR2022%20(80-20).pdf</t>
        </is>
      </c>
      <c r="R143" t="inlineStr"/>
      <c r="S143" t="inlineStr"/>
      <c r="T143" t="inlineStr"/>
      <c r="U143" t="inlineStr"/>
      <c r="V143" t="inlineStr"/>
    </row>
    <row r="144">
      <c r="A144" s="2" t="n">
        <v>46175</v>
      </c>
      <c r="B144" t="n">
        <v>107</v>
      </c>
      <c r="C144" t="inlineStr">
        <is>
          <t>SACAA/OSR/00005/2026 - 2027</t>
        </is>
      </c>
      <c r="D144" s="2" t="n">
        <v>46175</v>
      </c>
      <c r="E144" s="2" t="n">
        <v>46197</v>
      </c>
      <c r="F144" t="inlineStr">
        <is>
          <t>11:00</t>
        </is>
      </c>
      <c r="G144" t="inlineStr">
        <is>
          <t>Request for Bid(Open-Tender)</t>
        </is>
      </c>
      <c r="H144" t="inlineStr">
        <is>
          <t>APPOINTMENT OF A SERVICE PROVIDER TO CONDUCT AN ORGANISATIONAL STRUCTURE REVIEW AND DEVELOP A REVISED STRUCTURE FOR THE SACAA.</t>
        </is>
      </c>
      <c r="I144" t="inlineStr">
        <is>
          <t>ETENDERS.GOV.ZA</t>
        </is>
      </c>
      <c r="J144" t="inlineStr">
        <is>
          <t>South African Civil Aviation Authority</t>
        </is>
      </c>
      <c r="K144" t="inlineStr">
        <is>
          <t>Gauteng</t>
        </is>
      </c>
      <c r="L144" t="inlineStr">
        <is>
          <t>No</t>
        </is>
      </c>
      <c r="M144" t="inlineStr">
        <is>
          <t>Services: Professional</t>
        </is>
      </c>
      <c r="N144" t="inlineStr">
        <is>
          <t>Yes</t>
        </is>
      </c>
      <c r="O144" t="inlineStr">
        <is>
          <t>No</t>
        </is>
      </c>
      <c r="P144" t="inlineStr">
        <is>
          <t>https://teams.microsoft.com/meet/323066033804233?p=ncx2hk2ve2VItFX7Qo</t>
        </is>
      </c>
      <c r="Q144" s="3" t="inlineStr">
        <is>
          <t>https://www.etenders.gov.za/home/Download/?blobName=01e19c0a-6c50-4794-bb21-30b8332c4937.pdf&amp;downloadedFileName=Tender%20Document%20-%20Organisational%20Structure%20Review%20and%20develop%20a%20revised%20structure%20for%20%20the%20SACAA%20-%20June%202026.pdf</t>
        </is>
      </c>
      <c r="R144" t="inlineStr"/>
      <c r="S144" t="inlineStr"/>
      <c r="T144" t="inlineStr"/>
      <c r="U144" t="inlineStr"/>
      <c r="V144" t="inlineStr"/>
    </row>
    <row r="145">
      <c r="A145" s="2" t="n">
        <v>46175</v>
      </c>
      <c r="B145" t="n">
        <v>106</v>
      </c>
      <c r="C145" t="inlineStr">
        <is>
          <t>DIESEL/06/2026</t>
        </is>
      </c>
      <c r="D145" s="2" t="n">
        <v>46175</v>
      </c>
      <c r="E145" s="2" t="n">
        <v>46190</v>
      </c>
      <c r="F145" t="inlineStr">
        <is>
          <t>12:00</t>
        </is>
      </c>
      <c r="G145" t="inlineStr">
        <is>
          <t>Request for Quotation</t>
        </is>
      </c>
      <c r="H145" t="inlineStr">
        <is>
          <t>THE APPOINTMENT OF A SERVICE PROVIDER FOR A ONCE OFF SERVICING OF DIESEL ENGINES AT THE SANPC REFINERY</t>
        </is>
      </c>
      <c r="I145" t="inlineStr">
        <is>
          <t>ETENDERS.GOV.ZA</t>
        </is>
      </c>
      <c r="J145" t="inlineStr">
        <is>
          <t>CEF (Pty) Ltd</t>
        </is>
      </c>
      <c r="K145" t="inlineStr">
        <is>
          <t>KwaZulu-Natal</t>
        </is>
      </c>
      <c r="L145" t="inlineStr">
        <is>
          <t>No</t>
        </is>
      </c>
      <c r="M145" t="inlineStr">
        <is>
          <t>Services: General</t>
        </is>
      </c>
      <c r="N145" t="inlineStr">
        <is>
          <t>No</t>
        </is>
      </c>
      <c r="O145" t="inlineStr">
        <is>
          <t>No</t>
        </is>
      </c>
      <c r="P145" t="inlineStr">
        <is>
          <t>N/A</t>
        </is>
      </c>
      <c r="Q145" s="3" t="inlineStr">
        <is>
          <t>https://www.etenders.gov.za/home/Download/?blobName=ff290075-14d4-4cf5-872e-13f96b333c26.pdf&amp;downloadedFileName=5.%20Annexure%20D-%20Scope%20of%20Work%20and%20Evaluation.pdf</t>
        </is>
      </c>
      <c r="R145" t="inlineStr"/>
      <c r="S145" t="inlineStr"/>
      <c r="T145" t="inlineStr"/>
      <c r="U145" t="inlineStr"/>
      <c r="V145" t="inlineStr"/>
    </row>
    <row r="146">
      <c r="A146" s="2" t="n">
        <v>46175</v>
      </c>
      <c r="B146" t="n">
        <v>105</v>
      </c>
      <c r="C146" t="inlineStr">
        <is>
          <t>SLM/SCM/69(2)/2025/2026</t>
        </is>
      </c>
      <c r="D146" s="2" t="n">
        <v>46175</v>
      </c>
      <c r="E146" s="2" t="n">
        <v>46181</v>
      </c>
      <c r="F146" t="inlineStr">
        <is>
          <t>12:00</t>
        </is>
      </c>
      <c r="G146" t="inlineStr">
        <is>
          <t>Request for Bid(Open-Tender)</t>
        </is>
      </c>
      <c r="H146" t="inlineStr">
        <is>
          <t>RE:MEDICAL SURVEILLANCE FOR MUNICIPAL GENERAL WORKERS</t>
        </is>
      </c>
      <c r="I146" t="inlineStr">
        <is>
          <t>ETENDERS.GOV.ZA</t>
        </is>
      </c>
      <c r="J146" t="inlineStr">
        <is>
          <t>Sakhisizwe Local Municipality</t>
        </is>
      </c>
      <c r="K146" t="inlineStr">
        <is>
          <t>Eastern Cape</t>
        </is>
      </c>
      <c r="L146" t="inlineStr">
        <is>
          <t>No</t>
        </is>
      </c>
      <c r="M146" t="inlineStr">
        <is>
          <t>Human health activities</t>
        </is>
      </c>
      <c r="N146" t="inlineStr">
        <is>
          <t>No</t>
        </is>
      </c>
      <c r="O146" t="inlineStr">
        <is>
          <t>No</t>
        </is>
      </c>
      <c r="P146" t="inlineStr">
        <is>
          <t>N/A</t>
        </is>
      </c>
      <c r="Q146" s="3" t="inlineStr">
        <is>
          <t>https://www.etenders.gov.za/home/Download/?blobName=7157baae-46ce-44f6-a436-4edf7e5389e7.pdf&amp;downloadedFileName=TENDER%20DOCUMENT%20MEDICAL%20SURVEILLANCE%20FOR%20MUNICIPAL%20GENERAL%20WORKERS.pdf</t>
        </is>
      </c>
      <c r="R146" t="inlineStr"/>
      <c r="S146" t="inlineStr"/>
      <c r="T146" t="inlineStr"/>
      <c r="U146" t="inlineStr"/>
      <c r="V146" t="inlineStr"/>
    </row>
    <row r="147">
      <c r="A147" s="2" t="n">
        <v>46175</v>
      </c>
      <c r="B147" t="n">
        <v>104</v>
      </c>
      <c r="C147" t="inlineStr">
        <is>
          <t>RGT/06/2026</t>
        </is>
      </c>
      <c r="D147" s="2" t="n">
        <v>46175</v>
      </c>
      <c r="E147" s="2" t="n">
        <v>46195</v>
      </c>
      <c r="F147" t="inlineStr">
        <is>
          <t>12:00</t>
        </is>
      </c>
      <c r="G147" t="inlineStr">
        <is>
          <t>Request for Bid(Open-Tender)</t>
        </is>
      </c>
      <c r="H147" t="inlineStr">
        <is>
          <t>THE APPOINTMENT OF A SERVICE PROVIDER TO PROVIDE RENTAL OF GENERATORS AND TEMPORARY POWER SUPPLY EQUIPMENT AT THE SANPC REFINERY FOR 36 MONTHS.</t>
        </is>
      </c>
      <c r="I147" t="inlineStr">
        <is>
          <t>ETENDERS.GOV.ZA</t>
        </is>
      </c>
      <c r="J147" t="inlineStr">
        <is>
          <t>CEF (Pty) Ltd</t>
        </is>
      </c>
      <c r="K147" t="inlineStr">
        <is>
          <t>KwaZulu-Natal</t>
        </is>
      </c>
      <c r="L147" t="inlineStr">
        <is>
          <t>No</t>
        </is>
      </c>
      <c r="M147" t="inlineStr">
        <is>
          <t>Services: General</t>
        </is>
      </c>
      <c r="N147" t="inlineStr">
        <is>
          <t>Yes</t>
        </is>
      </c>
      <c r="O147" t="inlineStr">
        <is>
          <t>Yes</t>
        </is>
      </c>
      <c r="P147" t="inlineStr">
        <is>
          <t>1 Refinery Road, Prospecton, Durban, 4001</t>
        </is>
      </c>
      <c r="Q147" s="3" t="inlineStr">
        <is>
          <t>https://www.etenders.gov.za/home/Download/?blobName=1b3d6437-dbe4-4c23-bfab-77a93303186b.pdf&amp;downloadedFileName=3.%20SBD1%20-%20Invitation%20To%20Bid.pdf</t>
        </is>
      </c>
      <c r="R147" t="inlineStr"/>
      <c r="S147" t="inlineStr"/>
      <c r="T147" t="inlineStr"/>
      <c r="U147" t="inlineStr"/>
      <c r="V147" t="inlineStr"/>
    </row>
    <row r="148">
      <c r="A148" s="2" t="n">
        <v>46175</v>
      </c>
      <c r="B148" t="n">
        <v>103</v>
      </c>
      <c r="C148" t="inlineStr">
        <is>
          <t>CCB2026/06/01</t>
        </is>
      </c>
      <c r="D148" s="2" t="n">
        <v>46175</v>
      </c>
      <c r="E148" s="2" t="n">
        <v>46191</v>
      </c>
      <c r="F148" t="inlineStr">
        <is>
          <t>10:00</t>
        </is>
      </c>
      <c r="G148" t="inlineStr">
        <is>
          <t>Request for Quotation</t>
        </is>
      </c>
      <c r="H148" t="inlineStr">
        <is>
          <t>Professional printing services of marketing materials</t>
        </is>
      </c>
      <c r="I148" t="inlineStr">
        <is>
          <t>ETENDERS.GOV.ZA</t>
        </is>
      </c>
      <c r="J148" t="inlineStr">
        <is>
          <t>Castle Control Board</t>
        </is>
      </c>
      <c r="K148" t="inlineStr">
        <is>
          <t>Western Cape</t>
        </is>
      </c>
      <c r="L148" t="inlineStr">
        <is>
          <t>No</t>
        </is>
      </c>
      <c r="M148" t="inlineStr">
        <is>
          <t>Services: Professional</t>
        </is>
      </c>
      <c r="N148" t="inlineStr">
        <is>
          <t>No</t>
        </is>
      </c>
      <c r="O148" t="inlineStr">
        <is>
          <t>No</t>
        </is>
      </c>
      <c r="P148" t="inlineStr">
        <is>
          <t>N/A</t>
        </is>
      </c>
      <c r="Q148" s="3" t="inlineStr">
        <is>
          <t>https://www.etenders.gov.za/home/Download/?blobName=b1cd131d-9c1e-4e8d-b41d-e8e23a3680a9.pdf&amp;downloadedFileName=CCB2026-06-01%20.pdf</t>
        </is>
      </c>
      <c r="R148" t="inlineStr"/>
      <c r="S148" t="inlineStr"/>
      <c r="T148" t="inlineStr"/>
      <c r="U148" t="inlineStr"/>
      <c r="V148" t="inlineStr"/>
    </row>
    <row r="149">
      <c r="A149" s="2" t="n">
        <v>46175</v>
      </c>
      <c r="B149" t="n">
        <v>102</v>
      </c>
      <c r="C149" t="inlineStr">
        <is>
          <t>SLM/SCM/74/2025/2026</t>
        </is>
      </c>
      <c r="D149" s="2" t="n">
        <v>46175</v>
      </c>
      <c r="E149" s="2" t="n">
        <v>46181</v>
      </c>
      <c r="F149" t="inlineStr">
        <is>
          <t>12:00</t>
        </is>
      </c>
      <c r="G149" t="inlineStr">
        <is>
          <t>Request for Bid(Open-Tender)</t>
        </is>
      </c>
      <c r="H149" t="inlineStr">
        <is>
          <t>SUPPLY AND DELIVERY OF PROTECTIVE CLOTHING FOR STORM WATER PROJECT</t>
        </is>
      </c>
      <c r="I149" t="inlineStr">
        <is>
          <t>ETENDERS.GOV.ZA</t>
        </is>
      </c>
      <c r="J149" t="inlineStr">
        <is>
          <t>Sakhisizwe Local Municipality</t>
        </is>
      </c>
      <c r="K149" t="inlineStr">
        <is>
          <t>Eastern Cape</t>
        </is>
      </c>
      <c r="L149" t="inlineStr">
        <is>
          <t>No</t>
        </is>
      </c>
      <c r="M149" t="inlineStr">
        <is>
          <t>Supplies: Clothing/Textiles/Footwear</t>
        </is>
      </c>
      <c r="N149" t="inlineStr">
        <is>
          <t>No</t>
        </is>
      </c>
      <c r="O149" t="inlineStr">
        <is>
          <t>No</t>
        </is>
      </c>
      <c r="P149" t="inlineStr">
        <is>
          <t>N/A</t>
        </is>
      </c>
      <c r="Q149" s="3" t="inlineStr">
        <is>
          <t>https://www.etenders.gov.za/home/Download/?blobName=c4718ff5-3140-4aa8-915e-7f33e0a99a51.pdf&amp;downloadedFileName=TENDER%20DOCUMENT%20SUPPLY%20AND%20DELIVERY%20OF%20PROTECTIVE%20CLOTHING%20FOR%20STORMWATER%20PROJECT.pdf</t>
        </is>
      </c>
      <c r="R149" t="inlineStr"/>
      <c r="S149" t="inlineStr"/>
      <c r="T149" t="inlineStr"/>
      <c r="U149" t="inlineStr"/>
      <c r="V149" t="inlineStr"/>
    </row>
    <row r="150">
      <c r="A150" s="2" t="n">
        <v>46175</v>
      </c>
      <c r="B150" t="n">
        <v>101</v>
      </c>
      <c r="C150" t="inlineStr">
        <is>
          <t>CCB20206/06/02</t>
        </is>
      </c>
      <c r="D150" s="2" t="n">
        <v>46175</v>
      </c>
      <c r="E150" s="2" t="n">
        <v>46192</v>
      </c>
      <c r="F150" t="inlineStr">
        <is>
          <t>10:00</t>
        </is>
      </c>
      <c r="G150" t="inlineStr">
        <is>
          <t>Request for Quotation</t>
        </is>
      </c>
      <c r="H150" t="inlineStr">
        <is>
          <t>Design and printing of marketing materials and merchandise</t>
        </is>
      </c>
      <c r="I150" t="inlineStr">
        <is>
          <t>ETENDERS.GOV.ZA</t>
        </is>
      </c>
      <c r="J150" t="inlineStr">
        <is>
          <t>Castle Control Board</t>
        </is>
      </c>
      <c r="K150" t="inlineStr">
        <is>
          <t>Western Cape</t>
        </is>
      </c>
      <c r="L150" t="inlineStr">
        <is>
          <t>No</t>
        </is>
      </c>
      <c r="M150" t="inlineStr">
        <is>
          <t>Services: Professional</t>
        </is>
      </c>
      <c r="N150" t="inlineStr">
        <is>
          <t>No</t>
        </is>
      </c>
      <c r="O150" t="inlineStr">
        <is>
          <t>No</t>
        </is>
      </c>
      <c r="P150" t="inlineStr">
        <is>
          <t>N/A</t>
        </is>
      </c>
      <c r="Q150" s="3" t="inlineStr">
        <is>
          <t>https://www.etenders.gov.za/home/Download/?blobName=f00b9e1b-5747-49ee-8969-3b36176729e2.pdf&amp;downloadedFileName=CCB2026-06-02.pdf</t>
        </is>
      </c>
      <c r="R150" t="inlineStr"/>
      <c r="S150" t="inlineStr"/>
      <c r="T150" t="inlineStr"/>
      <c r="U150" t="inlineStr"/>
      <c r="V150" t="inlineStr"/>
    </row>
    <row r="151">
      <c r="A151" s="2" t="n">
        <v>46175</v>
      </c>
      <c r="B151" t="n">
        <v>100</v>
      </c>
      <c r="C151" t="inlineStr">
        <is>
          <t>SBM 24/25/26</t>
        </is>
      </c>
      <c r="D151" s="2" t="n">
        <v>46175</v>
      </c>
      <c r="E151" s="2" t="n">
        <v>46213</v>
      </c>
      <c r="F151" t="inlineStr">
        <is>
          <t>12:00</t>
        </is>
      </c>
      <c r="G151" t="inlineStr">
        <is>
          <t>Request for Bid(Open-Tender)</t>
        </is>
      </c>
      <c r="H151" t="inlineStr">
        <is>
          <t>PROVISION OF PHYSICAL GUARDING AND VIP PROTECTION SERVICES TO THE SALDANHA BAY MUNICIPALITY FOR A PERIOD 01 JULY 2026 TO 30 JUNE 2029.</t>
        </is>
      </c>
      <c r="I151" t="inlineStr">
        <is>
          <t>ETENDERS.GOV.ZA</t>
        </is>
      </c>
      <c r="J151" t="inlineStr">
        <is>
          <t>SALDANHA BAY MUNICIPALITY</t>
        </is>
      </c>
      <c r="K151" t="inlineStr">
        <is>
          <t>Western Cape</t>
        </is>
      </c>
      <c r="L151" t="inlineStr">
        <is>
          <t>No</t>
        </is>
      </c>
      <c r="M151" t="inlineStr">
        <is>
          <t>Services: Functional (Including Cleaning and Security Services)</t>
        </is>
      </c>
      <c r="N151" t="inlineStr">
        <is>
          <t>Yes</t>
        </is>
      </c>
      <c r="O151" t="inlineStr">
        <is>
          <t>Yes</t>
        </is>
      </c>
      <c r="P151" t="inlineStr">
        <is>
          <t>Municipal Council Chamber, 12 Main Road, Vredenburg</t>
        </is>
      </c>
      <c r="Q151" s="3" t="inlineStr">
        <is>
          <t>https://www.etenders.gov.za/home/Download/?blobName=f5e06909-77ef-4d48-a00f-fe5973da348f.pdf&amp;downloadedFileName=Tender%20Document%20SBM%2024%2025%2026.pdf</t>
        </is>
      </c>
      <c r="R151" t="inlineStr"/>
      <c r="S151" t="inlineStr"/>
      <c r="T151" t="inlineStr"/>
      <c r="U151" t="inlineStr"/>
      <c r="V151" t="inlineStr"/>
    </row>
    <row r="152">
      <c r="A152" s="2" t="n">
        <v>46175</v>
      </c>
      <c r="B152" t="n">
        <v>99</v>
      </c>
      <c r="C152" t="inlineStr">
        <is>
          <t>SBM 26/25/26</t>
        </is>
      </c>
      <c r="D152" s="2" t="n">
        <v>46175</v>
      </c>
      <c r="E152" s="2" t="n">
        <v>46199</v>
      </c>
      <c r="F152" t="inlineStr">
        <is>
          <t>12:00</t>
        </is>
      </c>
      <c r="G152" t="inlineStr">
        <is>
          <t>Request for Bid(Open-Tender)</t>
        </is>
      </c>
      <c r="H152" t="inlineStr">
        <is>
          <t>SUPPLY AND DELIVERY OF SMALL PLANT AND EQUIPMENT TO SALDANHA BAY MUNICIPALITY FOR THE PERIOD 1 JULY 2026 TILL 30 JUNE 2029</t>
        </is>
      </c>
      <c r="I152" t="inlineStr">
        <is>
          <t>ETENDERS.GOV.ZA</t>
        </is>
      </c>
      <c r="J152" t="inlineStr">
        <is>
          <t>SALDANHA BAY MUNICIPALITY</t>
        </is>
      </c>
      <c r="K152" t="inlineStr">
        <is>
          <t>Western Cape</t>
        </is>
      </c>
      <c r="L152" t="inlineStr">
        <is>
          <t>No</t>
        </is>
      </c>
      <c r="M152" t="inlineStr">
        <is>
          <t>Supplies: General</t>
        </is>
      </c>
      <c r="N152" t="inlineStr">
        <is>
          <t>No</t>
        </is>
      </c>
      <c r="O152" t="inlineStr">
        <is>
          <t>No</t>
        </is>
      </c>
      <c r="P152" t="inlineStr">
        <is>
          <t>N/A</t>
        </is>
      </c>
      <c r="Q152" s="3" t="inlineStr">
        <is>
          <t>https://www.etenders.gov.za/home/Download/?blobName=82e70407-4cf9-4541-ab82-c2e418f01309.pdf&amp;downloadedFileName=SBM%2026%2025%2026%20%20-%20Tender%20Document.pdf</t>
        </is>
      </c>
      <c r="R152" t="inlineStr"/>
      <c r="S152" t="inlineStr"/>
      <c r="T152" t="inlineStr"/>
      <c r="U152" t="inlineStr"/>
      <c r="V152" t="inlineStr"/>
    </row>
    <row r="153">
      <c r="A153" s="2" t="n">
        <v>46175</v>
      </c>
      <c r="B153" t="n">
        <v>98</v>
      </c>
      <c r="C153" t="inlineStr">
        <is>
          <t>SBM 27/25/26</t>
        </is>
      </c>
      <c r="D153" s="2" t="n">
        <v>46175</v>
      </c>
      <c r="E153" s="2" t="n">
        <v>46199</v>
      </c>
      <c r="F153" t="inlineStr">
        <is>
          <t>12:00</t>
        </is>
      </c>
      <c r="G153" t="inlineStr">
        <is>
          <t>Request for Bid(Open-Tender)</t>
        </is>
      </c>
      <c r="H153" t="inlineStr">
        <is>
          <t>MANAGEMENT AND OPERATION OF THE SALDANHA BAY MUNICIPAL ANIMAL POUND FOR THE PERIOD 01 JULY 2026 TO 30 JUNE 2029.</t>
        </is>
      </c>
      <c r="I153" t="inlineStr">
        <is>
          <t>ETENDERS.GOV.ZA</t>
        </is>
      </c>
      <c r="J153" t="inlineStr">
        <is>
          <t>SALDANHA BAY MUNICIPALITY</t>
        </is>
      </c>
      <c r="K153" t="inlineStr">
        <is>
          <t>Western Cape</t>
        </is>
      </c>
      <c r="L153" t="inlineStr">
        <is>
          <t>No</t>
        </is>
      </c>
      <c r="M153" t="inlineStr">
        <is>
          <t>Supplies: General</t>
        </is>
      </c>
      <c r="N153" t="inlineStr">
        <is>
          <t>Yes</t>
        </is>
      </c>
      <c r="O153" t="inlineStr">
        <is>
          <t>Yes</t>
        </is>
      </c>
      <c r="P153" t="inlineStr">
        <is>
          <t>19A School Street, Vredenburg</t>
        </is>
      </c>
      <c r="Q153" s="3" t="inlineStr">
        <is>
          <t>https://www.etenders.gov.za/home/Download/?blobName=c7112f4f-1b21-4356-888d-4e3dfd62e46b.pdf&amp;downloadedFileName=Tender%20Document%20SBM%2027%2025%2026.pdf</t>
        </is>
      </c>
      <c r="R153" t="inlineStr"/>
      <c r="S153" t="inlineStr"/>
      <c r="T153" t="inlineStr"/>
      <c r="U153" t="inlineStr"/>
      <c r="V153" t="inlineStr"/>
    </row>
    <row r="154">
      <c r="A154" s="2" t="n">
        <v>46175</v>
      </c>
      <c r="B154" t="n">
        <v>97</v>
      </c>
      <c r="C154" t="inlineStr">
        <is>
          <t>CCMA/2026/10/CS</t>
        </is>
      </c>
      <c r="D154" s="2" t="n">
        <v>46175</v>
      </c>
      <c r="E154" s="2" t="n">
        <v>46197</v>
      </c>
      <c r="F154" t="inlineStr">
        <is>
          <t>11:00</t>
        </is>
      </c>
      <c r="G154" t="inlineStr">
        <is>
          <t>Request for Bid(Open-Tender)</t>
        </is>
      </c>
      <c r="H154" t="inlineStr">
        <is>
          <t>APPOINTMENT OF A SERVICE PROVIDER TO RENDER AN INTEGRATED EMPLOYEE HEALTH, WELLNESS &amp; WORK-LIFE BALANCE PROGRAMME TO THE COMMISSION FOR CONCILIATION, MEDIATION AND ARBITRATION (CCMA) FOR A PERIOD OF THIRTY-SIX (36) MONTHS</t>
        </is>
      </c>
      <c r="I154" t="inlineStr">
        <is>
          <t>ETENDERS.GOV.ZA</t>
        </is>
      </c>
      <c r="J154" t="inlineStr">
        <is>
          <t>Commission for Conciliation Mediation &amp; Arbitration</t>
        </is>
      </c>
      <c r="K154" t="inlineStr">
        <is>
          <t>Gauteng</t>
        </is>
      </c>
      <c r="L154" t="inlineStr">
        <is>
          <t>No</t>
        </is>
      </c>
      <c r="M154" t="inlineStr">
        <is>
          <t>Services: Professional</t>
        </is>
      </c>
      <c r="N154" t="inlineStr">
        <is>
          <t>Yes</t>
        </is>
      </c>
      <c r="O154" t="inlineStr">
        <is>
          <t>Yes</t>
        </is>
      </c>
      <c r="P154" t="inlineStr">
        <is>
          <t>N/A</t>
        </is>
      </c>
      <c r="Q154" s="3" t="inlineStr">
        <is>
          <t>https://www.etenders.gov.za/home/Download/?blobName=bf2f47e7-cf3f-4d2e-af08-ec02c6f8a2d3.pdf&amp;downloadedFileName=BID%20DOCUMENT-%20APPOINTMENT%20OF%20A%20SERVICE%20PROVIDER%20TO%20RENDER%20AN%20INTEGRATED%20EMPLOYEE%20HEALTH,%20WELLNESS%20&amp;%20WORK-LIFE%20BALANCE%20PROGRAMME%20TO%20THE%20COMMISSION%20FOR%20CONCILIATION,%20MEDIATION%20AND%20ARBITRATION.pdf</t>
        </is>
      </c>
      <c r="R154" t="inlineStr"/>
      <c r="S154" t="inlineStr"/>
      <c r="T154" t="inlineStr"/>
      <c r="U154" t="inlineStr"/>
      <c r="V154" t="inlineStr"/>
    </row>
    <row r="155">
      <c r="A155" s="2" t="n">
        <v>46175</v>
      </c>
      <c r="B155" t="n">
        <v>96</v>
      </c>
      <c r="C155" t="inlineStr">
        <is>
          <t>N24/2025/2026</t>
        </is>
      </c>
      <c r="D155" s="2" t="n">
        <v>46175</v>
      </c>
      <c r="E155" s="2" t="n">
        <v>46184</v>
      </c>
      <c r="F155" t="inlineStr">
        <is>
          <t>11:00</t>
        </is>
      </c>
      <c r="G155" t="inlineStr">
        <is>
          <t>Request for Bid(Open-Tender)</t>
        </is>
      </c>
      <c r="H155" t="inlineStr">
        <is>
          <t>SUPPLY AND DELIVERY OF FLOOR TILES AT TSHIULUNGOMA STORES</t>
        </is>
      </c>
      <c r="I155" t="inlineStr">
        <is>
          <t>ETENDERS.GOV.ZA</t>
        </is>
      </c>
      <c r="J155" t="inlineStr">
        <is>
          <t>Thulamela Local Municipality</t>
        </is>
      </c>
      <c r="K155" t="inlineStr">
        <is>
          <t>Limpopo</t>
        </is>
      </c>
      <c r="L155" t="inlineStr">
        <is>
          <t>No</t>
        </is>
      </c>
      <c r="M155" t="inlineStr">
        <is>
          <t>Administrative and support activities</t>
        </is>
      </c>
      <c r="N155" t="inlineStr">
        <is>
          <t>No</t>
        </is>
      </c>
      <c r="O155" t="inlineStr">
        <is>
          <t>No</t>
        </is>
      </c>
      <c r="P155" t="inlineStr">
        <is>
          <t>N/A</t>
        </is>
      </c>
      <c r="Q155" s="3" t="inlineStr">
        <is>
          <t>https://www.etenders.gov.za/home/Download/?blobName=4ecb1ced-73df-4616-bf02-8520906d2c0c.pdf&amp;downloadedFileName=SUPPLY%20AND%20DELIVERY%20OF%20FLOOR%20TILES%20AT%20TSHIULUNGOMA%20STORES-05292026095802.pdf</t>
        </is>
      </c>
      <c r="R155" t="inlineStr"/>
      <c r="S155" t="inlineStr"/>
      <c r="T155" t="inlineStr"/>
      <c r="U155" t="inlineStr"/>
      <c r="V155" t="inlineStr"/>
    </row>
    <row r="156">
      <c r="A156" s="2" t="n">
        <v>46175</v>
      </c>
      <c r="B156" t="n">
        <v>95</v>
      </c>
      <c r="C156" t="inlineStr">
        <is>
          <t>RFP-01/26/27</t>
        </is>
      </c>
      <c r="D156" s="2" t="n">
        <v>46175</v>
      </c>
      <c r="E156" s="2" t="n">
        <v>46231</v>
      </c>
      <c r="F156" t="inlineStr">
        <is>
          <t>11:00</t>
        </is>
      </c>
      <c r="G156" t="inlineStr">
        <is>
          <t>Request for Proposal</t>
        </is>
      </c>
      <c r="H156" t="inlineStr">
        <is>
          <t>THE APPOINTMENT OF A PRIVATE PARTNER TO COMMERCIALISE AND OPERATE THE CAPE MORGAN FACILITY</t>
        </is>
      </c>
      <c r="I156" t="inlineStr">
        <is>
          <t>ETENDERS.GOV.ZA</t>
        </is>
      </c>
      <c r="J156" t="inlineStr">
        <is>
          <t>Eastern Cape - Eastern Cape Parks and Tourism Agency</t>
        </is>
      </c>
      <c r="K156" t="inlineStr">
        <is>
          <t>Eastern Cape</t>
        </is>
      </c>
      <c r="L156" t="inlineStr">
        <is>
          <t>No</t>
        </is>
      </c>
      <c r="M156" t="inlineStr">
        <is>
          <t>Administrative and support activities</t>
        </is>
      </c>
      <c r="N156" t="inlineStr">
        <is>
          <t>No</t>
        </is>
      </c>
      <c r="O156" t="inlineStr">
        <is>
          <t>No</t>
        </is>
      </c>
      <c r="P156" t="inlineStr">
        <is>
          <t>N/A</t>
        </is>
      </c>
      <c r="Q156" s="3" t="inlineStr">
        <is>
          <t>https://www.etenders.gov.za/home/Download/?blobName=9a944b11-bcd3-4646-a7cf-0dda0dcf86a1.pdf&amp;downloadedFileName=RFP%20%20Document%20-%2001.26.27.pdf</t>
        </is>
      </c>
      <c r="R156" t="inlineStr"/>
      <c r="S156" t="inlineStr"/>
      <c r="T156" t="inlineStr"/>
      <c r="U156" t="inlineStr"/>
      <c r="V156" t="inlineStr"/>
    </row>
    <row r="157">
      <c r="A157" s="2" t="n">
        <v>46175</v>
      </c>
      <c r="B157" t="n">
        <v>94</v>
      </c>
      <c r="C157" t="inlineStr">
        <is>
          <t>IM0882026</t>
        </is>
      </c>
      <c r="D157" s="2" t="n">
        <v>46175</v>
      </c>
      <c r="E157" s="2" t="n">
        <v>46182</v>
      </c>
      <c r="F157" t="inlineStr">
        <is>
          <t>11:00</t>
        </is>
      </c>
      <c r="G157" t="inlineStr">
        <is>
          <t>Request for Quotation</t>
        </is>
      </c>
      <c r="H157" t="inlineStr">
        <is>
          <t>Request for quote Design, Layout, Editing and Proofreading of Bojanala IM0882026</t>
        </is>
      </c>
      <c r="I157" t="inlineStr">
        <is>
          <t>ETENDERS.GOV.ZA</t>
        </is>
      </c>
      <c r="J157" t="inlineStr">
        <is>
          <t>Tourism</t>
        </is>
      </c>
      <c r="K157" t="inlineStr">
        <is>
          <t>National</t>
        </is>
      </c>
      <c r="L157" t="inlineStr">
        <is>
          <t>No</t>
        </is>
      </c>
      <c r="M157" t="inlineStr">
        <is>
          <t>Printing and reproduction of recorded media</t>
        </is>
      </c>
      <c r="N157" t="inlineStr">
        <is>
          <t>No</t>
        </is>
      </c>
      <c r="O157" t="inlineStr">
        <is>
          <t>No</t>
        </is>
      </c>
      <c r="P157" t="inlineStr">
        <is>
          <t>N/A</t>
        </is>
      </c>
      <c r="Q157" s="3" t="inlineStr">
        <is>
          <t>https://www.etenders.gov.za/home/Download/?blobName=d7bcc6a8-a96e-436d-8a4e-6189fbbf97cc.pdf&amp;downloadedFileName=SBD4.pdf</t>
        </is>
      </c>
      <c r="R157" t="inlineStr"/>
      <c r="S157" t="inlineStr"/>
      <c r="T157" t="inlineStr"/>
      <c r="U157" t="inlineStr"/>
      <c r="V157" t="inlineStr"/>
    </row>
    <row r="158">
      <c r="A158" s="2" t="n">
        <v>46175</v>
      </c>
      <c r="B158" t="n">
        <v>93</v>
      </c>
      <c r="C158" t="inlineStr">
        <is>
          <t>PR10116163</t>
        </is>
      </c>
      <c r="D158" s="2" t="n">
        <v>46175</v>
      </c>
      <c r="E158" s="2" t="n">
        <v>46178</v>
      </c>
      <c r="F158" t="inlineStr">
        <is>
          <t>11:00</t>
        </is>
      </c>
      <c r="G158" t="inlineStr">
        <is>
          <t>Request for Quotation</t>
        </is>
      </c>
      <c r="H158" t="inlineStr">
        <is>
          <t>The Road Accident Fund (RAF) wishes to appoint a suitable service provider to provide Personal Verification Services as and when required for a period of twelve (12) months</t>
        </is>
      </c>
      <c r="I158" t="inlineStr">
        <is>
          <t>ETENDERS.GOV.ZA</t>
        </is>
      </c>
      <c r="J158" t="inlineStr">
        <is>
          <t>Road Accident Fund</t>
        </is>
      </c>
      <c r="K158" t="inlineStr">
        <is>
          <t>Gauteng</t>
        </is>
      </c>
      <c r="L158" t="inlineStr">
        <is>
          <t>No</t>
        </is>
      </c>
      <c r="M158" t="inlineStr">
        <is>
          <t>Services: Professional</t>
        </is>
      </c>
      <c r="N158" t="inlineStr">
        <is>
          <t>No</t>
        </is>
      </c>
      <c r="O158" t="inlineStr">
        <is>
          <t>No</t>
        </is>
      </c>
      <c r="P158" t="inlineStr">
        <is>
          <t>N/A</t>
        </is>
      </c>
      <c r="Q158" s="3" t="inlineStr">
        <is>
          <t>https://www.etenders.gov.za/home/Download/?blobName=dba010df-fec4-46e6-8fe4-14680f1678e9.docx&amp;downloadedFileName=RFQ%20Document%20PR10116163%20for%20Personal%20Verification%20Services.docx</t>
        </is>
      </c>
      <c r="R158" t="inlineStr"/>
      <c r="S158" t="inlineStr"/>
      <c r="T158" t="inlineStr"/>
      <c r="U158" t="inlineStr"/>
      <c r="V158" t="inlineStr"/>
    </row>
    <row r="159">
      <c r="A159" s="2" t="n">
        <v>46175</v>
      </c>
      <c r="B159" t="n">
        <v>92</v>
      </c>
      <c r="C159" t="inlineStr">
        <is>
          <t>PR10116159</t>
        </is>
      </c>
      <c r="D159" s="2" t="n">
        <v>46175</v>
      </c>
      <c r="E159" s="2" t="n">
        <v>46181</v>
      </c>
      <c r="F159" t="inlineStr">
        <is>
          <t>14:00</t>
        </is>
      </c>
      <c r="G159" t="inlineStr">
        <is>
          <t>Request for Quotation</t>
        </is>
      </c>
      <c r="H159" t="inlineStr">
        <is>
          <t>The Road Accident Fund (RAF) wishes to appoint an accredited support partner of Ivanti for the Renewal of Ivanti ISM (Ivanti Neurons for Enterprise Service Management) Maintenance and Support for a period of twelve (12) months.</t>
        </is>
      </c>
      <c r="I159" t="inlineStr">
        <is>
          <t>ETENDERS.GOV.ZA</t>
        </is>
      </c>
      <c r="J159" t="inlineStr">
        <is>
          <t>Road Accident Fund</t>
        </is>
      </c>
      <c r="K159" t="inlineStr">
        <is>
          <t>Gauteng</t>
        </is>
      </c>
      <c r="L159" t="inlineStr">
        <is>
          <t>No</t>
        </is>
      </c>
      <c r="M159" t="inlineStr">
        <is>
          <t>Services: Professional</t>
        </is>
      </c>
      <c r="N159" t="inlineStr">
        <is>
          <t>No</t>
        </is>
      </c>
      <c r="O159" t="inlineStr">
        <is>
          <t>No</t>
        </is>
      </c>
      <c r="P159" t="inlineStr">
        <is>
          <t>N/A</t>
        </is>
      </c>
      <c r="Q159" s="3" t="inlineStr">
        <is>
          <t>https://www.etenders.gov.za/home/Download/?blobName=1f301ced-021a-46be-956c-21a951fa456d.pdf&amp;downloadedFileName=Annexure%20A%20-%20Security%20Measures.pdf</t>
        </is>
      </c>
      <c r="R159" t="inlineStr"/>
      <c r="S159" t="inlineStr"/>
      <c r="T159" t="inlineStr"/>
      <c r="U159" t="inlineStr"/>
      <c r="V159" t="inlineStr"/>
    </row>
    <row r="160">
      <c r="A160" s="2" t="n">
        <v>46175</v>
      </c>
      <c r="B160" t="n">
        <v>91</v>
      </c>
      <c r="C160" t="inlineStr">
        <is>
          <t>DTP/RFP/05/IFR/01/2026</t>
        </is>
      </c>
      <c r="D160" s="2" t="n">
        <v>46175</v>
      </c>
      <c r="E160" s="2" t="n">
        <v>46220</v>
      </c>
      <c r="F160" t="inlineStr">
        <is>
          <t>11:00</t>
        </is>
      </c>
      <c r="G160" t="inlineStr">
        <is>
          <t>Request for Proposal</t>
        </is>
      </c>
      <c r="H160" t="inlineStr">
        <is>
          <t>Appointment of a contractor for the upgrade/rehabilitation or additions and alterations of the TradeZone one buildings located within Dube TradePort TradeZone 1 precincts</t>
        </is>
      </c>
      <c r="I160" t="inlineStr">
        <is>
          <t>ETENDERS.GOV.ZA</t>
        </is>
      </c>
      <c r="J160" t="inlineStr">
        <is>
          <t>Dube Tradeport</t>
        </is>
      </c>
      <c r="K160" t="inlineStr">
        <is>
          <t>KwaZulu-Natal</t>
        </is>
      </c>
      <c r="L160" t="inlineStr">
        <is>
          <t>No</t>
        </is>
      </c>
      <c r="M160" t="inlineStr">
        <is>
          <t>Services: Building</t>
        </is>
      </c>
      <c r="N160" t="inlineStr">
        <is>
          <t>Yes</t>
        </is>
      </c>
      <c r="O160" t="inlineStr">
        <is>
          <t>Yes</t>
        </is>
      </c>
      <c r="P160" t="inlineStr">
        <is>
          <t>Dube Cargo Terminal Offices: 1 Thukela Drive, Dube Cargo Terminal, King Shaka International Airport</t>
        </is>
      </c>
      <c r="Q160" s="3" t="inlineStr">
        <is>
          <t>https://www.etenders.gov.za/home/Download/?blobName=d3d91e29-8542-414c-a613-8799c1dc4028.pdf&amp;downloadedFileName=DTPRFP05IFR012026%20Advert%20for%20TradeZone%20One%20Rehabilitation%20Project.pdf</t>
        </is>
      </c>
      <c r="R160" t="inlineStr"/>
      <c r="S160" t="inlineStr"/>
      <c r="T160" t="inlineStr"/>
      <c r="U160" t="inlineStr"/>
      <c r="V160" t="inlineStr"/>
    </row>
    <row r="161">
      <c r="A161" s="2" t="n">
        <v>46175</v>
      </c>
      <c r="B161" t="n">
        <v>90</v>
      </c>
      <c r="C161" t="inlineStr">
        <is>
          <t>02/FY/27</t>
        </is>
      </c>
      <c r="D161" s="2" t="n">
        <v>46175</v>
      </c>
      <c r="E161" s="2" t="n">
        <v>46203</v>
      </c>
      <c r="F161" t="inlineStr">
        <is>
          <t>11:00</t>
        </is>
      </c>
      <c r="G161" t="inlineStr">
        <is>
          <t>Request for Bid(Open-Tender)</t>
        </is>
      </c>
      <c r="H161" t="inlineStr">
        <is>
          <t>REPAIRS AND MAINTENANCE OF BOTHA’S POST (B6) STAFF ACCOMMODATION AT GREAT FISH RIVER NATURE RESERVE</t>
        </is>
      </c>
      <c r="I161" t="inlineStr">
        <is>
          <t>ETENDERS.GOV.ZA</t>
        </is>
      </c>
      <c r="J161" t="inlineStr">
        <is>
          <t>Eastern Cape - Eastern Cape Parks and Tourism Agency</t>
        </is>
      </c>
      <c r="K161" t="inlineStr">
        <is>
          <t>Eastern Cape</t>
        </is>
      </c>
      <c r="L161" t="inlineStr">
        <is>
          <t>No</t>
        </is>
      </c>
      <c r="M161" t="inlineStr">
        <is>
          <t>Construction</t>
        </is>
      </c>
      <c r="N161" t="inlineStr">
        <is>
          <t>Yes</t>
        </is>
      </c>
      <c r="O161" t="inlineStr">
        <is>
          <t>Yes</t>
        </is>
      </c>
      <c r="P161" t="inlineStr">
        <is>
          <t>Great Fish Nature Reserve (Double Drift – Alice) GPS Co- ordinates - Latitude 32°59’ 32.19” S Longit</t>
        </is>
      </c>
      <c r="Q161" s="3" t="inlineStr">
        <is>
          <t>https://www.etenders.gov.za/home/Download/?blobName=29fdc286-768e-4a6d-b3af-f4457f082fdb.pdf&amp;downloadedFileName=Tender%20Document%20-%2002FY27.pdf</t>
        </is>
      </c>
      <c r="R161" t="inlineStr"/>
      <c r="S161" t="inlineStr"/>
      <c r="T161" t="inlineStr"/>
      <c r="U161" t="inlineStr"/>
      <c r="V161" t="inlineStr"/>
    </row>
    <row r="162">
      <c r="A162" s="2" t="n">
        <v>46175</v>
      </c>
      <c r="B162" t="n">
        <v>89</v>
      </c>
      <c r="C162" t="inlineStr">
        <is>
          <t>10116399</t>
        </is>
      </c>
      <c r="D162" s="2" t="n">
        <v>46175</v>
      </c>
      <c r="E162" s="2" t="n">
        <v>46181</v>
      </c>
      <c r="F162" t="inlineStr">
        <is>
          <t>11:00</t>
        </is>
      </c>
      <c r="G162" t="inlineStr">
        <is>
          <t>Request for Quotation</t>
        </is>
      </c>
      <c r="H162" t="inlineStr">
        <is>
          <t>The Road Accident Fund (RAF) wishes to appoint a suitable service provider to Maintain, Service and Repair Security Systems at Durban Office on a month-to-month basis for a period not exceeding six (6) months).</t>
        </is>
      </c>
      <c r="I162" t="inlineStr">
        <is>
          <t>ETENDERS.GOV.ZA</t>
        </is>
      </c>
      <c r="J162" t="inlineStr">
        <is>
          <t>Road Accident Fund</t>
        </is>
      </c>
      <c r="K162" t="inlineStr">
        <is>
          <t>KwaZulu-Natal</t>
        </is>
      </c>
      <c r="L162" t="inlineStr">
        <is>
          <t>No</t>
        </is>
      </c>
      <c r="M162" t="inlineStr">
        <is>
          <t>Services: Functional (Including Cleaning and Security Services)</t>
        </is>
      </c>
      <c r="N162" t="inlineStr">
        <is>
          <t>No</t>
        </is>
      </c>
      <c r="O162" t="inlineStr">
        <is>
          <t>No</t>
        </is>
      </c>
      <c r="P162" t="inlineStr">
        <is>
          <t>N/A</t>
        </is>
      </c>
      <c r="Q162" s="3" t="inlineStr">
        <is>
          <t>https://www.etenders.gov.za/home/Download/?blobName=8ae124d9-96cb-409c-8ce4-3fdb77177486.docx&amp;downloadedFileName=RFQ%20Document%20-%20Security%20Systems%20Maintenance%202026.docx</t>
        </is>
      </c>
      <c r="R162" t="inlineStr"/>
      <c r="S162" t="inlineStr"/>
      <c r="T162" t="inlineStr"/>
      <c r="U162" t="inlineStr"/>
      <c r="V162" t="inlineStr"/>
    </row>
    <row r="163">
      <c r="A163" s="2" t="n">
        <v>46175</v>
      </c>
      <c r="B163" t="n">
        <v>88</v>
      </c>
      <c r="C163" t="inlineStr">
        <is>
          <t>PU5610/011</t>
        </is>
      </c>
      <c r="D163" s="2" t="n">
        <v>46175</v>
      </c>
      <c r="E163" s="2" t="n">
        <v>46197</v>
      </c>
      <c r="F163" t="inlineStr">
        <is>
          <t>23:30</t>
        </is>
      </c>
      <c r="G163" t="inlineStr">
        <is>
          <t>Request for Proposal</t>
        </is>
      </c>
      <c r="H163" t="inlineStr">
        <is>
          <t>The Supply, Delivery And Installation Of Furniture And All Related Goods And Services</t>
        </is>
      </c>
      <c r="I163" t="inlineStr">
        <is>
          <t>ETENDERS.GOV.ZA</t>
        </is>
      </c>
      <c r="J163" t="inlineStr">
        <is>
          <t>Purchasing Consortium Southern Africa (PURCOSA)</t>
        </is>
      </c>
      <c r="K163" t="inlineStr">
        <is>
          <t>National</t>
        </is>
      </c>
      <c r="L163" t="inlineStr">
        <is>
          <t>No</t>
        </is>
      </c>
      <c r="M163" t="inlineStr">
        <is>
          <t>Other service activities</t>
        </is>
      </c>
      <c r="N163" t="inlineStr">
        <is>
          <t>No</t>
        </is>
      </c>
      <c r="O163" t="inlineStr">
        <is>
          <t>No</t>
        </is>
      </c>
      <c r="P163" t="inlineStr">
        <is>
          <t>N/A</t>
        </is>
      </c>
      <c r="Q163" s="3" t="inlineStr">
        <is>
          <t>https://www.etenders.gov.za/home/Download/?blobName=a9fc443e-ddbf-4dd6-ac2d-154b6aea01c0.pdf&amp;downloadedFileName=Advert%20-%20PU5610-011%20The%20Supply%20and%20Delivery%20and%20Installation%20of%20Furniture%20and%20All%20Related%20Products%20and%20Services.pdf</t>
        </is>
      </c>
      <c r="R163" t="inlineStr"/>
      <c r="S163" t="inlineStr"/>
      <c r="T163" t="inlineStr"/>
      <c r="U163" t="inlineStr"/>
      <c r="V163" t="inlineStr"/>
    </row>
    <row r="164">
      <c r="A164" s="2" t="n">
        <v>46175</v>
      </c>
      <c r="B164" t="n">
        <v>87</v>
      </c>
      <c r="C164" t="inlineStr">
        <is>
          <t>AHT26827</t>
        </is>
      </c>
      <c r="D164" s="2" t="n">
        <v>46175</v>
      </c>
      <c r="E164" s="2" t="n">
        <v>46182</v>
      </c>
      <c r="F164" t="inlineStr">
        <is>
          <t>13:00</t>
        </is>
      </c>
      <c r="G164" t="inlineStr">
        <is>
          <t>Request for Bid(Open-Tender)</t>
        </is>
      </c>
      <c r="H164" t="inlineStr">
        <is>
          <t>NITROGEN PURGING SERVICES AT THE PetroSA GTL REFINERY, MOSSEL BAY</t>
        </is>
      </c>
      <c r="I164" t="inlineStr">
        <is>
          <t>ETENDERS.GOV.ZA</t>
        </is>
      </c>
      <c r="J164" t="inlineStr">
        <is>
          <t>PetroSA</t>
        </is>
      </c>
      <c r="K164" t="inlineStr">
        <is>
          <t>Western Cape</t>
        </is>
      </c>
      <c r="L164" t="inlineStr">
        <is>
          <t>No</t>
        </is>
      </c>
      <c r="M164" t="inlineStr">
        <is>
          <t>Services: Professional</t>
        </is>
      </c>
      <c r="N164" t="inlineStr">
        <is>
          <t>Yes</t>
        </is>
      </c>
      <c r="O164" t="inlineStr">
        <is>
          <t>No</t>
        </is>
      </c>
      <c r="P164" t="inlineStr">
        <is>
          <t>Microsoft Teams</t>
        </is>
      </c>
      <c r="Q164" s="3" t="inlineStr">
        <is>
          <t>https://www.etenders.gov.za/home/Download/?blobName=13b3d84f-fa5e-4574-9f3e-2f9624d5f049.pdf&amp;downloadedFileName=Minutes%20of%20Scope%20Clarification.pdf</t>
        </is>
      </c>
      <c r="R164" t="inlineStr"/>
      <c r="S164" t="inlineStr"/>
      <c r="T164" t="inlineStr"/>
      <c r="U164" t="inlineStr"/>
      <c r="V164" t="inlineStr"/>
    </row>
    <row r="165">
      <c r="A165" s="2" t="n">
        <v>46175</v>
      </c>
      <c r="B165" t="n">
        <v>86</v>
      </c>
      <c r="C165" t="inlineStr">
        <is>
          <t>SCMU8-26/27-0074</t>
        </is>
      </c>
      <c r="D165" s="2" t="n">
        <v>46175</v>
      </c>
      <c r="E165" s="2" t="n">
        <v>46195</v>
      </c>
      <c r="F165" t="inlineStr">
        <is>
          <t>11:00</t>
        </is>
      </c>
      <c r="G165" t="inlineStr">
        <is>
          <t>Request for Bid(Open-Tender)</t>
        </is>
      </c>
      <c r="H165" t="inlineStr">
        <is>
          <t>SUPPLY, DELIVERY AND OFFLOADING OF POULTRY DAY OLD CHICKS, POULTRY FEED MEDICATION AND SANITORY/HYGIENE CHEMICALS</t>
        </is>
      </c>
      <c r="I165" t="inlineStr">
        <is>
          <t>ETENDERS.GOV.ZA</t>
        </is>
      </c>
      <c r="J165" t="inlineStr">
        <is>
          <t>Eastern Cape - Agriculture</t>
        </is>
      </c>
      <c r="K165" t="inlineStr">
        <is>
          <t>Eastern Cape</t>
        </is>
      </c>
      <c r="L165" t="inlineStr">
        <is>
          <t>No</t>
        </is>
      </c>
      <c r="M165" t="inlineStr">
        <is>
          <t>Agricultural Products and Services</t>
        </is>
      </c>
      <c r="N165" t="inlineStr">
        <is>
          <t>No</t>
        </is>
      </c>
      <c r="O165" t="inlineStr">
        <is>
          <t>No</t>
        </is>
      </c>
      <c r="P165" t="inlineStr">
        <is>
          <t>N/A</t>
        </is>
      </c>
      <c r="Q165" s="3" t="inlineStr">
        <is>
          <t>https://www.etenders.gov.za/home/Download/?blobName=949341b3-9b33-4ffb-aa7d-db4d27186973.pdf&amp;downloadedFileName=0074%20-%20%20DAY%20OLD%20CHICKS%20DOCUMENT%20FINAL.pdf</t>
        </is>
      </c>
      <c r="R165" t="inlineStr"/>
      <c r="S165" t="inlineStr"/>
      <c r="T165" t="inlineStr"/>
      <c r="U165" t="inlineStr"/>
      <c r="V165" t="inlineStr"/>
    </row>
    <row r="166">
      <c r="A166" s="2" t="n">
        <v>46175</v>
      </c>
      <c r="B166" t="n">
        <v>85</v>
      </c>
      <c r="C166" t="inlineStr">
        <is>
          <t>SCMU8-26/27-0075</t>
        </is>
      </c>
      <c r="D166" s="2" t="n">
        <v>46175</v>
      </c>
      <c r="E166" s="2" t="n">
        <v>46195</v>
      </c>
      <c r="F166" t="inlineStr">
        <is>
          <t>11:00</t>
        </is>
      </c>
      <c r="G166" t="inlineStr">
        <is>
          <t>Request for Bid(Open-Tender)</t>
        </is>
      </c>
      <c r="H166" t="inlineStr">
        <is>
          <t>SUPPLY, DELIVERY AND OFF-LOADING OF POINT OF LAY PULLETS, LAYER FEED MEDICATION AND SANITORY/HYGIENE CHEMICALS</t>
        </is>
      </c>
      <c r="I166" t="inlineStr">
        <is>
          <t>ETENDERS.GOV.ZA</t>
        </is>
      </c>
      <c r="J166" t="inlineStr">
        <is>
          <t>Eastern Cape - Agriculture</t>
        </is>
      </c>
      <c r="K166" t="inlineStr">
        <is>
          <t>Eastern Cape</t>
        </is>
      </c>
      <c r="L166" t="inlineStr">
        <is>
          <t>No</t>
        </is>
      </c>
      <c r="M166" t="inlineStr">
        <is>
          <t>Agricultural Products and Services</t>
        </is>
      </c>
      <c r="N166" t="inlineStr">
        <is>
          <t>No</t>
        </is>
      </c>
      <c r="O166" t="inlineStr">
        <is>
          <t>No</t>
        </is>
      </c>
      <c r="P166" t="inlineStr">
        <is>
          <t>N/A</t>
        </is>
      </c>
      <c r="Q166" s="3" t="inlineStr">
        <is>
          <t>https://www.etenders.gov.za/home/Download/?blobName=c1002c5a-c70f-44be-9eac-40e045f49038.pdf&amp;downloadedFileName=0075%20-%20%20PULLETS%20POINT%20OF%20LAYS%20%20DOCUMENT%20final.pdf</t>
        </is>
      </c>
      <c r="R166" t="inlineStr"/>
      <c r="S166" t="inlineStr"/>
      <c r="T166" t="inlineStr"/>
      <c r="U166" t="inlineStr"/>
      <c r="V166" t="inlineStr"/>
    </row>
    <row r="167">
      <c r="A167" s="2" t="n">
        <v>46175</v>
      </c>
      <c r="B167" t="n">
        <v>84</v>
      </c>
      <c r="C167" t="inlineStr">
        <is>
          <t>ARC/PHP/02</t>
        </is>
      </c>
      <c r="D167" s="2" t="n">
        <v>46175</v>
      </c>
      <c r="E167" s="2" t="n">
        <v>46188</v>
      </c>
      <c r="F167" t="inlineStr">
        <is>
          <t>16:00</t>
        </is>
      </c>
      <c r="G167" t="inlineStr">
        <is>
          <t>Request for Quotation</t>
        </is>
      </c>
      <c r="H167" t="inlineStr">
        <is>
          <t>Structural analysis at Block C, Block A deck (above block L)</t>
        </is>
      </c>
      <c r="I167" t="inlineStr">
        <is>
          <t>ETENDERS.GOV.ZA</t>
        </is>
      </c>
      <c r="J167" t="inlineStr">
        <is>
          <t>Agricultural Research Council</t>
        </is>
      </c>
      <c r="K167" t="inlineStr">
        <is>
          <t>National</t>
        </is>
      </c>
      <c r="L167" t="inlineStr">
        <is>
          <t>No</t>
        </is>
      </c>
      <c r="M167" t="inlineStr">
        <is>
          <t>Civil engineering</t>
        </is>
      </c>
      <c r="N167" t="inlineStr">
        <is>
          <t>Yes</t>
        </is>
      </c>
      <c r="O167" t="inlineStr">
        <is>
          <t>Yes</t>
        </is>
      </c>
      <c r="P167" t="inlineStr">
        <is>
          <t>ARC-PHP 573 KwaMhlanga / Moloto Road Roodeplaat-East</t>
        </is>
      </c>
      <c r="Q167" s="3" t="inlineStr">
        <is>
          <t>https://www.etenders.gov.za/home/Download/?blobName=da7ed723-1f28-405e-a224-71f490de856d.docx&amp;downloadedFileName=Specification%20for%20structural%20assessment%20at%20PHP%20roodeplaat%2026%20pdf.docx</t>
        </is>
      </c>
      <c r="R167" t="inlineStr"/>
      <c r="S167" t="inlineStr"/>
      <c r="T167" t="inlineStr"/>
      <c r="U167" t="inlineStr"/>
      <c r="V167" t="inlineStr"/>
    </row>
    <row r="168">
      <c r="A168" s="2" t="n">
        <v>46175</v>
      </c>
      <c r="B168" t="n">
        <v>83</v>
      </c>
      <c r="C168" t="inlineStr">
        <is>
          <t>RFP-DMPR-001-2026-27</t>
        </is>
      </c>
      <c r="D168" s="2" t="n">
        <v>46175</v>
      </c>
      <c r="E168" s="2" t="n">
        <v>46184</v>
      </c>
      <c r="F168" t="inlineStr">
        <is>
          <t>11:00</t>
        </is>
      </c>
      <c r="G168" t="inlineStr">
        <is>
          <t>Request for Proposal</t>
        </is>
      </c>
      <c r="H168" t="inlineStr">
        <is>
          <t>REQUEST FOR PROPOSAL FOR THE APPOINMENT OF A SERVICE PROVIDER TO ASSIST THE DEPARTMENT OF MINERALS AND PETROLEUM RESOURCES(DMPR) WITH PRINTING OF ANNUAL FINANCIAL STATEMENTS.</t>
        </is>
      </c>
      <c r="I168" t="inlineStr">
        <is>
          <t>ETENDERS.GOV.ZA</t>
        </is>
      </c>
      <c r="J168" t="inlineStr">
        <is>
          <t>National - Department of Mineral and Petroleum Resources</t>
        </is>
      </c>
      <c r="K168" t="inlineStr">
        <is>
          <t>Gauteng</t>
        </is>
      </c>
      <c r="L168" t="inlineStr">
        <is>
          <t>No</t>
        </is>
      </c>
      <c r="M168" t="inlineStr">
        <is>
          <t>Printing and reproduction of recorded media</t>
        </is>
      </c>
      <c r="N168" t="inlineStr">
        <is>
          <t>Yes</t>
        </is>
      </c>
      <c r="O168" t="inlineStr">
        <is>
          <t>No</t>
        </is>
      </c>
      <c r="P168" t="inlineStr">
        <is>
          <t>https://teams.microsoft.com/meet/389495719779315?p=NDyFBZ0NwZiuyJDefV</t>
        </is>
      </c>
      <c r="Q168" s="3" t="inlineStr">
        <is>
          <t>https://www.etenders.gov.za/home/Download/?blobName=5593c8ee-76f7-4f64-9e97-22471f493057.pdf&amp;downloadedFileName=4.%20SBD%206.1%20IN%20TERMS%20OF%20PPR2022.pdf</t>
        </is>
      </c>
      <c r="R168" t="inlineStr"/>
      <c r="S168" t="inlineStr"/>
      <c r="T168" t="inlineStr"/>
      <c r="U168" t="inlineStr"/>
      <c r="V168" t="inlineStr"/>
    </row>
    <row r="169">
      <c r="A169" s="2" t="n">
        <v>46175</v>
      </c>
      <c r="B169" t="n">
        <v>82</v>
      </c>
      <c r="C169" t="inlineStr">
        <is>
          <t>H004L2706RFQ00059</t>
        </is>
      </c>
      <c r="D169" s="2" t="n">
        <v>46175</v>
      </c>
      <c r="E169" s="2" t="n">
        <v>46178</v>
      </c>
      <c r="F169" t="inlineStr">
        <is>
          <t>11:00</t>
        </is>
      </c>
      <c r="G169" t="inlineStr">
        <is>
          <t>Request for Quotation</t>
        </is>
      </c>
      <c r="H169" t="inlineStr">
        <is>
          <t>SUPPLY AND DELIVERY OF OFFICE FURNITURE FOR HEAD OFFICE</t>
        </is>
      </c>
      <c r="I169" t="inlineStr">
        <is>
          <t>ETENDERS.GOV.ZA</t>
        </is>
      </c>
      <c r="J169" t="inlineStr">
        <is>
          <t>Border Management Authority</t>
        </is>
      </c>
      <c r="K169" t="inlineStr">
        <is>
          <t>Gauteng</t>
        </is>
      </c>
      <c r="L169" t="inlineStr">
        <is>
          <t>No</t>
        </is>
      </c>
      <c r="M169" t="inlineStr">
        <is>
          <t>Manufacture of furniture</t>
        </is>
      </c>
      <c r="N169" t="inlineStr">
        <is>
          <t>No</t>
        </is>
      </c>
      <c r="O169" t="inlineStr">
        <is>
          <t>No</t>
        </is>
      </c>
      <c r="P169" t="inlineStr">
        <is>
          <t>N/A</t>
        </is>
      </c>
      <c r="Q169" s="3" t="inlineStr">
        <is>
          <t>https://www.etenders.gov.za/home/Download/?blobName=f923ed46-3be2-441a-827b-0188de6b28b7.pdf&amp;downloadedFileName=QUOTE%20PACK%20-%20RFQ00059.pdf</t>
        </is>
      </c>
      <c r="R169" t="inlineStr"/>
      <c r="S169" t="inlineStr"/>
      <c r="T169" t="inlineStr"/>
      <c r="U169" t="inlineStr"/>
      <c r="V169" t="inlineStr"/>
    </row>
    <row r="170">
      <c r="A170" s="2" t="n">
        <v>46175</v>
      </c>
      <c r="B170" t="n">
        <v>81</v>
      </c>
      <c r="C170" t="inlineStr">
        <is>
          <t>H004L2706RFQ00058</t>
        </is>
      </c>
      <c r="D170" s="2" t="n">
        <v>46175</v>
      </c>
      <c r="E170" s="2" t="n">
        <v>46185</v>
      </c>
      <c r="F170" t="inlineStr">
        <is>
          <t>11:00</t>
        </is>
      </c>
      <c r="G170" t="inlineStr">
        <is>
          <t>Request for Quotation</t>
        </is>
      </c>
      <c r="H170" t="inlineStr">
        <is>
          <t>Appointment of an Electricity Technician to Provide Wall Plugs and Inner Ceiling Drop-Down Round Power and Data Poles Plugs</t>
        </is>
      </c>
      <c r="I170" t="inlineStr">
        <is>
          <t>ETENDERS.GOV.ZA</t>
        </is>
      </c>
      <c r="J170" t="inlineStr">
        <is>
          <t>Border Management Authority</t>
        </is>
      </c>
      <c r="K170" t="inlineStr">
        <is>
          <t>Gauteng</t>
        </is>
      </c>
      <c r="L170" t="inlineStr">
        <is>
          <t>No</t>
        </is>
      </c>
      <c r="M170" t="inlineStr">
        <is>
          <t>Services: Electrical</t>
        </is>
      </c>
      <c r="N170" t="inlineStr">
        <is>
          <t>Yes</t>
        </is>
      </c>
      <c r="O170" t="inlineStr">
        <is>
          <t>Yes</t>
        </is>
      </c>
      <c r="P170" t="inlineStr">
        <is>
          <t>67 KORANA AVENUE, DORINGKLOOF, CENTURION, 0157</t>
        </is>
      </c>
      <c r="Q170" s="3" t="inlineStr">
        <is>
          <t>https://www.etenders.gov.za/home/Download/?blobName=b6b94a21-c6a1-4b75-a057-98fdb7b01c0e.pdf&amp;downloadedFileName=QUOTE%20PACK%20-H004L2706RFQ00058.pdf</t>
        </is>
      </c>
      <c r="R170" t="inlineStr"/>
      <c r="S170" t="inlineStr"/>
      <c r="T170" t="inlineStr"/>
      <c r="U170" t="inlineStr"/>
      <c r="V170" t="inlineStr"/>
    </row>
    <row r="171">
      <c r="A171" s="2" t="n">
        <v>46176</v>
      </c>
      <c r="B171" t="n">
        <v>80</v>
      </c>
      <c r="C171" t="inlineStr">
        <is>
          <t>IHLM/197/2025-26/ADMIN</t>
        </is>
      </c>
      <c r="D171" s="2" t="n">
        <v>46176</v>
      </c>
      <c r="E171" s="2" t="n">
        <v>46184</v>
      </c>
      <c r="F171" t="inlineStr">
        <is>
          <t>12:00</t>
        </is>
      </c>
      <c r="G171" t="inlineStr">
        <is>
          <t>Request for Quotation</t>
        </is>
      </c>
      <c r="H171" t="inlineStr">
        <is>
          <t>MASSAGE COORDINATOR FOR 100 EMPLOYEES</t>
        </is>
      </c>
      <c r="I171" t="inlineStr">
        <is>
          <t>ETENDERS.GOV.ZA</t>
        </is>
      </c>
      <c r="J171" t="inlineStr">
        <is>
          <t>Ingquza Hill Local Municipality</t>
        </is>
      </c>
      <c r="K171" t="inlineStr">
        <is>
          <t>Eastern Cape</t>
        </is>
      </c>
      <c r="L171" t="inlineStr">
        <is>
          <t>No</t>
        </is>
      </c>
      <c r="M171" t="inlineStr">
        <is>
          <t>Services: General</t>
        </is>
      </c>
      <c r="N171" t="inlineStr">
        <is>
          <t>No</t>
        </is>
      </c>
      <c r="O171" t="inlineStr">
        <is>
          <t>No</t>
        </is>
      </c>
      <c r="P171" t="inlineStr">
        <is>
          <t>N/A</t>
        </is>
      </c>
      <c r="Q171" s="3" t="inlineStr">
        <is>
          <t>https://www.etenders.gov.za/home/Download/?blobName=7f024768-545c-46c7-a9c9-7e885186e076.pdf&amp;downloadedFileName=TENDER%20DOCUMENT%20FOR%20MASSAGE%20COORDINATOR%20FOR%20100%20EMPLOYEES.pdf</t>
        </is>
      </c>
      <c r="R171" t="inlineStr"/>
      <c r="S171" t="inlineStr"/>
      <c r="T171" t="inlineStr"/>
      <c r="U171" t="inlineStr"/>
      <c r="V171" t="inlineStr"/>
    </row>
    <row r="172">
      <c r="A172" s="2" t="n">
        <v>46176</v>
      </c>
      <c r="B172" t="n">
        <v>79</v>
      </c>
      <c r="C172" t="inlineStr">
        <is>
          <t>RFI019/05/26-27</t>
        </is>
      </c>
      <c r="D172" s="2" t="n">
        <v>46176</v>
      </c>
      <c r="E172" s="2" t="n">
        <v>46183</v>
      </c>
      <c r="F172" t="inlineStr">
        <is>
          <t>11:00</t>
        </is>
      </c>
      <c r="G172" t="inlineStr">
        <is>
          <t>Request for Information</t>
        </is>
      </c>
      <c r="H172" t="inlineStr">
        <is>
          <t>360-DEGREE EMPLOYEE ASSESSMENT SOLUTION</t>
        </is>
      </c>
      <c r="I172" t="inlineStr">
        <is>
          <t>ETENDERS.GOV.ZA</t>
        </is>
      </c>
      <c r="J172" t="inlineStr">
        <is>
          <t>Water Research Commission</t>
        </is>
      </c>
      <c r="K172" t="inlineStr">
        <is>
          <t>National</t>
        </is>
      </c>
      <c r="L172" t="inlineStr">
        <is>
          <t>No</t>
        </is>
      </c>
      <c r="M172" t="inlineStr">
        <is>
          <t>Activities of head offices; management consultancy activities</t>
        </is>
      </c>
      <c r="N172" t="inlineStr">
        <is>
          <t>No</t>
        </is>
      </c>
      <c r="O172" t="inlineStr">
        <is>
          <t>No</t>
        </is>
      </c>
      <c r="P172" t="inlineStr">
        <is>
          <t>N/A</t>
        </is>
      </c>
      <c r="Q172" s="3" t="inlineStr">
        <is>
          <t>https://www.etenders.gov.za/home/Download/?blobName=2df6e175-a2e4-42b2-a1db-2578dd9a1b83.pdf&amp;downloadedFileName=Gathering%20of%20Information%20-%20RFI%20-%20360%20Degree%20Employee%20Assessment.pdf</t>
        </is>
      </c>
      <c r="R172" t="inlineStr"/>
      <c r="S172" t="inlineStr"/>
      <c r="T172" t="inlineStr"/>
      <c r="U172" t="inlineStr"/>
      <c r="V172" t="inlineStr"/>
    </row>
    <row r="173">
      <c r="A173" s="2" t="n">
        <v>46176</v>
      </c>
      <c r="B173" t="n">
        <v>78</v>
      </c>
      <c r="C173" t="inlineStr">
        <is>
          <t>IUCMA/001/BULKMETERS/2026</t>
        </is>
      </c>
      <c r="D173" s="2" t="n">
        <v>46176</v>
      </c>
      <c r="E173" s="2" t="n">
        <v>46203</v>
      </c>
      <c r="F173" t="inlineStr">
        <is>
          <t>11:00</t>
        </is>
      </c>
      <c r="G173" t="inlineStr">
        <is>
          <t>Request for Bid(Open-Tender)</t>
        </is>
      </c>
      <c r="H173" t="inlineStr">
        <is>
          <t>APPOINTMENT OF A PROFESSIONAL SERVICE PROVIDER TO DEVELOP THE SCOPE, DESIGN AND MONITOR THE IMPLEMENTATION OF BULK WATER METER INSTALLATIONS.</t>
        </is>
      </c>
      <c r="I173" t="inlineStr">
        <is>
          <t>ETENDERS.GOV.ZA</t>
        </is>
      </c>
      <c r="J173" t="inlineStr">
        <is>
          <t>Inkomati Catchment Management Agency</t>
        </is>
      </c>
      <c r="K173" t="inlineStr">
        <is>
          <t>Mpumalanga</t>
        </is>
      </c>
      <c r="L173" t="inlineStr">
        <is>
          <t>No</t>
        </is>
      </c>
      <c r="M173" t="inlineStr">
        <is>
          <t>Other professional, scientific and technical activities</t>
        </is>
      </c>
      <c r="N173" t="inlineStr">
        <is>
          <t>Yes</t>
        </is>
      </c>
      <c r="O173" t="inlineStr">
        <is>
          <t>Yes</t>
        </is>
      </c>
      <c r="P173" t="inlineStr">
        <is>
          <t>https://teams.microsoft.com/meet/351338737096191?p=klmuYru2BmxDvMUrtd</t>
        </is>
      </c>
      <c r="Q173" s="3" t="inlineStr">
        <is>
          <t>https://www.etenders.gov.za/home/Download/?blobName=41e42280-eb0a-4796-930e-98b741c9ff0b.pdf&amp;downloadedFileName=IUCMA-001-BULKMETER-2026%20BAC%2020-05-2026.pdf</t>
        </is>
      </c>
      <c r="R173" t="inlineStr"/>
      <c r="S173" t="inlineStr"/>
      <c r="T173" t="inlineStr"/>
      <c r="U173" t="inlineStr"/>
      <c r="V173" t="inlineStr"/>
    </row>
    <row r="174">
      <c r="A174" s="2" t="n">
        <v>46176</v>
      </c>
      <c r="B174" t="n">
        <v>77</v>
      </c>
      <c r="C174" t="inlineStr">
        <is>
          <t>10371257</t>
        </is>
      </c>
      <c r="D174" s="2" t="n">
        <v>46176</v>
      </c>
      <c r="E174" s="2" t="n">
        <v>46178</v>
      </c>
      <c r="F174" t="inlineStr">
        <is>
          <t>23:30</t>
        </is>
      </c>
      <c r="G174" t="inlineStr">
        <is>
          <t>Request for Quotation</t>
        </is>
      </c>
      <c r="H174" t="inlineStr">
        <is>
          <t>10371257 - REQUEST FOR QUOTATION (RFQ) FOR THE APPOINTMENT OF A SERVICE PROVIDER TO REPAIR CONTROL</t>
        </is>
      </c>
      <c r="I174" t="inlineStr">
        <is>
          <t>ETENDERS.GOV.ZA</t>
        </is>
      </c>
      <c r="J174" t="inlineStr">
        <is>
          <t>Passenger Rail Agency of South Africa</t>
        </is>
      </c>
      <c r="K174" t="inlineStr">
        <is>
          <t>Gauteng</t>
        </is>
      </c>
      <c r="L174" t="inlineStr">
        <is>
          <t>No</t>
        </is>
      </c>
      <c r="M174" t="inlineStr">
        <is>
          <t>Wholesale and retail trade and repair of motor vehicles and motorcycles</t>
        </is>
      </c>
      <c r="N174" t="inlineStr">
        <is>
          <t>No</t>
        </is>
      </c>
      <c r="O174" t="inlineStr">
        <is>
          <t>No</t>
        </is>
      </c>
      <c r="P174" t="inlineStr">
        <is>
          <t>N/A</t>
        </is>
      </c>
      <c r="Q174" s="3" t="inlineStr">
        <is>
          <t>https://www.etenders.gov.za/home/Download/?blobName=493a1703-51f9-4b29-b9c4-c616933ca60f.pdf&amp;downloadedFileName=10371257%20-%20REQUEST%20FOR%20QUOTATION%20(RFQ)%20FOR%20THE%20APPOINTMENT%20OF%20A%20SERVICE%20PROVIDER%20TO%20REPAIR%20CONTROL.pdf</t>
        </is>
      </c>
      <c r="R174" t="inlineStr"/>
      <c r="S174" t="inlineStr"/>
      <c r="T174" t="inlineStr"/>
      <c r="U174" t="inlineStr"/>
      <c r="V174" t="inlineStr"/>
    </row>
    <row r="175">
      <c r="A175" s="2" t="n">
        <v>46176</v>
      </c>
      <c r="B175" t="n">
        <v>76</v>
      </c>
      <c r="C175" t="inlineStr">
        <is>
          <t>10371134</t>
        </is>
      </c>
      <c r="D175" s="2" t="n">
        <v>46176</v>
      </c>
      <c r="E175" s="2" t="n">
        <v>46178</v>
      </c>
      <c r="F175" t="inlineStr">
        <is>
          <t>23:30</t>
        </is>
      </c>
      <c r="G175" t="inlineStr">
        <is>
          <t>Request for Quotation</t>
        </is>
      </c>
      <c r="H175" t="inlineStr">
        <is>
          <t>10371134 - REQUEST FOR QUOTATION (RFQ) FOR THE APPOINTMENT OF A SERVICE PROVIDER TO SUPPLY AND DELIVER GAS</t>
        </is>
      </c>
      <c r="I175" t="inlineStr">
        <is>
          <t>ETENDERS.GOV.ZA</t>
        </is>
      </c>
      <c r="J175" t="inlineStr">
        <is>
          <t>Passenger Rail Agency of South Africa</t>
        </is>
      </c>
      <c r="K175" t="inlineStr">
        <is>
          <t>Gauteng</t>
        </is>
      </c>
      <c r="L175" t="inlineStr">
        <is>
          <t>No</t>
        </is>
      </c>
      <c r="M175" t="inlineStr">
        <is>
          <t>Wholesale and retail trade and repair of motor vehicles and motorcycles</t>
        </is>
      </c>
      <c r="N175" t="inlineStr">
        <is>
          <t>No</t>
        </is>
      </c>
      <c r="O175" t="inlineStr">
        <is>
          <t>No</t>
        </is>
      </c>
      <c r="P175" t="inlineStr">
        <is>
          <t>N/A</t>
        </is>
      </c>
      <c r="Q175" s="3" t="inlineStr">
        <is>
          <t>https://www.etenders.gov.za/home/Download/?blobName=1aa64ceb-d852-4d2f-948c-2d187f793091.pdf&amp;downloadedFileName=10371134%20-%20REQUEST%20FOR%20QUOTATION%20(RFQ)%20FOR%20THE%20APPOINTMENT%20OF%20A%20SERVICE%20PROVIDER%20TO%20SUPPLY%20AND%20DELIVER%20GAS.pdf</t>
        </is>
      </c>
      <c r="R175" t="inlineStr"/>
      <c r="S175" t="inlineStr"/>
      <c r="T175" t="inlineStr"/>
      <c r="U175" t="inlineStr"/>
      <c r="V175" t="inlineStr"/>
    </row>
    <row r="176">
      <c r="A176" s="2" t="n">
        <v>46176</v>
      </c>
      <c r="B176" t="n">
        <v>75</v>
      </c>
      <c r="C176" t="inlineStr">
        <is>
          <t>E2772GXMPARN</t>
        </is>
      </c>
      <c r="D176" s="2" t="n">
        <v>46176</v>
      </c>
      <c r="E176" s="2" t="n">
        <v>46203</v>
      </c>
      <c r="F176" t="inlineStr">
        <is>
          <t>10:00</t>
        </is>
      </c>
      <c r="G176" t="inlineStr">
        <is>
          <t>Request for Bid(Open-Tender)</t>
        </is>
      </c>
      <c r="H176" t="inlineStr">
        <is>
          <t>THE SUPPLY AND DELIVERY OF TRANSDUCER AND TRANSMITTERS AT ARNOT POWER STATION FOR THE PERIOD OF 60 MONTHS.</t>
        </is>
      </c>
      <c r="I176" t="inlineStr">
        <is>
          <t>ETENDERS.GOV.ZA</t>
        </is>
      </c>
      <c r="J176" t="inlineStr">
        <is>
          <t>ESKOM</t>
        </is>
      </c>
      <c r="K176" t="inlineStr">
        <is>
          <t>Mpumalanga</t>
        </is>
      </c>
      <c r="L176" t="inlineStr">
        <is>
          <t>No</t>
        </is>
      </c>
      <c r="M176" t="inlineStr">
        <is>
          <t>Supplies: Electrical Equipment</t>
        </is>
      </c>
      <c r="N176" t="inlineStr">
        <is>
          <t>No</t>
        </is>
      </c>
      <c r="O176" t="inlineStr">
        <is>
          <t>No</t>
        </is>
      </c>
      <c r="P176" t="inlineStr">
        <is>
          <t>N/A</t>
        </is>
      </c>
      <c r="Q176" s="3" t="inlineStr">
        <is>
          <t>https://www.etenders.gov.za/home/Download/?blobName=ad7b30b3-31b1-4115-864d-ff3e68cb4524.pdf&amp;downloadedFileName=6.%20Supplier%20Quality%20Management%20Specification.pdf</t>
        </is>
      </c>
      <c r="R176" t="inlineStr"/>
      <c r="S176" t="inlineStr"/>
      <c r="T176" t="inlineStr"/>
      <c r="U176" t="inlineStr"/>
      <c r="V176" t="inlineStr"/>
    </row>
    <row r="177">
      <c r="A177" s="2" t="n">
        <v>46176</v>
      </c>
      <c r="B177" t="n">
        <v>74</v>
      </c>
      <c r="C177" t="inlineStr">
        <is>
          <t>ERITACT202502</t>
        </is>
      </c>
      <c r="D177" s="2" t="n">
        <v>46176</v>
      </c>
      <c r="E177" s="2" t="n">
        <v>46196</v>
      </c>
      <c r="F177" t="inlineStr">
        <is>
          <t>10:00</t>
        </is>
      </c>
      <c r="G177" t="inlineStr">
        <is>
          <t>Request for Bid(Open-Tender)</t>
        </is>
      </c>
      <c r="H177" t="inlineStr">
        <is>
          <t>Cancellation: The Supply and delivery of Gas</t>
        </is>
      </c>
      <c r="I177" t="inlineStr">
        <is>
          <t>ETENDERS.GOV.ZA</t>
        </is>
      </c>
      <c r="J177" t="inlineStr">
        <is>
          <t>ESKOM</t>
        </is>
      </c>
      <c r="K177" t="inlineStr">
        <is>
          <t>National</t>
        </is>
      </c>
      <c r="L177" t="inlineStr">
        <is>
          <t>No</t>
        </is>
      </c>
      <c r="M177" t="inlineStr">
        <is>
          <t>Supplies: General</t>
        </is>
      </c>
      <c r="N177" t="inlineStr">
        <is>
          <t>Yes</t>
        </is>
      </c>
      <c r="O177" t="inlineStr">
        <is>
          <t>Yes</t>
        </is>
      </c>
      <c r="P177" t="inlineStr">
        <is>
          <t>https://teams.microsoft.com/meet/32920817294920?p=avNWETdhruoL5Su89Q</t>
        </is>
      </c>
      <c r="Q177" s="3" t="inlineStr">
        <is>
          <t>https://www.etenders.gov.za/home/Download/?blobName=8f1abb52-f2a2-4097-a34a-56100640bdfd.pdf&amp;downloadedFileName=Tender%20Cancellation%20Letter%20The%20Supply%20and%20Delivery%20of%20Gas%2004%20May%202026.pdf</t>
        </is>
      </c>
      <c r="R177" t="inlineStr"/>
      <c r="S177" t="inlineStr"/>
      <c r="T177" t="inlineStr"/>
      <c r="U177" t="inlineStr"/>
      <c r="V177" t="inlineStr"/>
    </row>
    <row r="178">
      <c r="A178" s="2" t="n">
        <v>46176</v>
      </c>
      <c r="B178" t="n">
        <v>73</v>
      </c>
      <c r="C178" t="inlineStr">
        <is>
          <t>COM65/2026</t>
        </is>
      </c>
      <c r="D178" s="2" t="n">
        <v>46176</v>
      </c>
      <c r="E178" s="2" t="n">
        <v>46183</v>
      </c>
      <c r="F178" t="inlineStr">
        <is>
          <t>11:00</t>
        </is>
      </c>
      <c r="G178" t="inlineStr">
        <is>
          <t>Request for Quotation</t>
        </is>
      </c>
      <c r="H178" t="inlineStr">
        <is>
          <t>SUPPLY, DELIVERY AND OFFLOADING OF BRANDED TOURISM PROMOTIONAL EQUIPMENT FOR THE TOURISM PRODUCTS AND ESTABLISHMENTS SUPPORT PROGRAMME IN THE CITY OF MBOMBELA</t>
        </is>
      </c>
      <c r="I178" t="inlineStr">
        <is>
          <t>ETENDERS.GOV.ZA</t>
        </is>
      </c>
      <c r="J178" t="inlineStr">
        <is>
          <t>Mbombela Local Municipality</t>
        </is>
      </c>
      <c r="K178" t="inlineStr">
        <is>
          <t>Mpumalanga</t>
        </is>
      </c>
      <c r="L178" t="inlineStr">
        <is>
          <t>No</t>
        </is>
      </c>
      <c r="M178" t="inlineStr">
        <is>
          <t>Supplies: General</t>
        </is>
      </c>
      <c r="N178" t="inlineStr">
        <is>
          <t>No</t>
        </is>
      </c>
      <c r="O178" t="inlineStr">
        <is>
          <t>No</t>
        </is>
      </c>
      <c r="P178" t="inlineStr">
        <is>
          <t>N/A</t>
        </is>
      </c>
      <c r="Q178" s="3" t="inlineStr">
        <is>
          <t>https://www.etenders.gov.za/home/Download/?blobName=f2bf0fa8-4df2-4027-8f77-d2c0c76e579d.pdf&amp;downloadedFileName=COM65-2026%20SUPPLY%20OF%20BRANDED%20TOURISM%20PROMOTIONAL%20EQUIPMENT%20FOR%20THE%20TOURISM%20PRODUCTS%20AND%20ESTABLISHMENTS%20SUPPORT%20PROGRAMME.pdf</t>
        </is>
      </c>
      <c r="R178" t="inlineStr"/>
      <c r="S178" t="inlineStr"/>
      <c r="T178" t="inlineStr"/>
      <c r="U178" t="inlineStr"/>
      <c r="V178" t="inlineStr"/>
    </row>
    <row r="179">
      <c r="A179" s="2" t="n">
        <v>46176</v>
      </c>
      <c r="B179" t="n">
        <v>72</v>
      </c>
      <c r="C179" t="inlineStr">
        <is>
          <t>COM155/2025</t>
        </is>
      </c>
      <c r="D179" s="2" t="n">
        <v>46176</v>
      </c>
      <c r="E179" s="2" t="n">
        <v>46206</v>
      </c>
      <c r="F179" t="inlineStr">
        <is>
          <t>11:00</t>
        </is>
      </c>
      <c r="G179" t="inlineStr">
        <is>
          <t>Request for Bid(Open-Tender)</t>
        </is>
      </c>
      <c r="H179" t="inlineStr">
        <is>
          <t>APPOINTMENT OF A SERVICE PROVIDER FOR THE MONITORING, RAPID RESPONSE, MAINTENANCE AND INSTALLATION OF SECURITY SURVEILLANCE SYSTEMS FOR THE CITY OF MBOMBELA FOR A PERIOD OF 3 YEARS</t>
        </is>
      </c>
      <c r="I179" t="inlineStr">
        <is>
          <t>ETENDERS.GOV.ZA</t>
        </is>
      </c>
      <c r="J179" t="inlineStr">
        <is>
          <t>Mbombela Local Municipality</t>
        </is>
      </c>
      <c r="K179" t="inlineStr">
        <is>
          <t>Mpumalanga</t>
        </is>
      </c>
      <c r="L179" t="inlineStr">
        <is>
          <t>No</t>
        </is>
      </c>
      <c r="M179" t="inlineStr">
        <is>
          <t>Security and investigation activities</t>
        </is>
      </c>
      <c r="N179" t="inlineStr">
        <is>
          <t>Yes</t>
        </is>
      </c>
      <c r="O179" t="inlineStr">
        <is>
          <t>Yes</t>
        </is>
      </c>
      <c r="P179" t="inlineStr">
        <is>
          <t>Mbombela Stadium gate 10 Restaurant</t>
        </is>
      </c>
      <c r="Q179" s="3" t="inlineStr">
        <is>
          <t>https://www.etenders.gov.za/home/Download/?blobName=58fdb186-30f0-4f24-85c1-407e0a72df14.pdf&amp;downloadedFileName=COM155-2025%20MONITORING,%20RAPID%20RESPONSE,%20MAINTENANCE%20AND%20INSTALLATION%20OF%20....pdf</t>
        </is>
      </c>
      <c r="R179" t="inlineStr"/>
      <c r="S179" t="inlineStr"/>
      <c r="T179" t="inlineStr"/>
      <c r="U179" t="inlineStr"/>
      <c r="V179" t="inlineStr"/>
    </row>
    <row r="180">
      <c r="A180" s="2" t="n">
        <v>46176</v>
      </c>
      <c r="B180" t="n">
        <v>71</v>
      </c>
      <c r="C180" t="inlineStr">
        <is>
          <t>WTE-0532 CS</t>
        </is>
      </c>
      <c r="D180" s="2" t="n">
        <v>46176</v>
      </c>
      <c r="E180" s="2" t="n">
        <v>46191</v>
      </c>
      <c r="F180" t="inlineStr">
        <is>
          <t>11:00</t>
        </is>
      </c>
      <c r="G180" t="inlineStr">
        <is>
          <t>Request for Bid(Open-Tender)</t>
        </is>
      </c>
      <c r="H180" t="inlineStr">
        <is>
          <t>THE SUPPLY AND INSTALL 0.9MM REINFORCED POLYPROPELENE GEOMEMBRANE AT THE NAMAKWA BULK WATER SUPPLY PROJECT IN THE NORTHERN CAPE FOR DWS CONSTRUCTION SOUTH ONLY RESPONDENTS WITH CIDB GRADING 2CE OR HIGHER ARE ALIGIBLE TO BID</t>
        </is>
      </c>
      <c r="I180" t="inlineStr">
        <is>
          <t>ETENDERS.GOV.ZA</t>
        </is>
      </c>
      <c r="J180" t="inlineStr">
        <is>
          <t>Water and Sanitation</t>
        </is>
      </c>
      <c r="K180" t="inlineStr">
        <is>
          <t>Northern Cape</t>
        </is>
      </c>
      <c r="L180" t="inlineStr">
        <is>
          <t>No</t>
        </is>
      </c>
      <c r="M180" t="inlineStr">
        <is>
          <t>Construction</t>
        </is>
      </c>
      <c r="N180" t="inlineStr">
        <is>
          <t>No</t>
        </is>
      </c>
      <c r="O180" t="inlineStr">
        <is>
          <t>No</t>
        </is>
      </c>
      <c r="P180" t="inlineStr">
        <is>
          <t>N/A</t>
        </is>
      </c>
      <c r="Q180" s="3" t="inlineStr">
        <is>
          <t>https://www.etenders.gov.za/home/Download/?blobName=da4b0db2-b168-4f87-801f-3f443a5f82cc.pdf&amp;downloadedFileName=WTE-0532%20CS%20-%2009MM%20REINFORCED%20POLYPROPYLENE%20GEOMEMBRANE%20AT%20THE%20NAMAKWA%20BWS.pdf</t>
        </is>
      </c>
      <c r="R180" t="inlineStr"/>
      <c r="S180" t="inlineStr"/>
      <c r="T180" t="inlineStr"/>
      <c r="U180" t="inlineStr"/>
      <c r="V180" t="inlineStr"/>
    </row>
    <row r="181">
      <c r="A181" s="2" t="n">
        <v>46176</v>
      </c>
      <c r="B181" t="n">
        <v>70</v>
      </c>
      <c r="C181" t="inlineStr">
        <is>
          <t>E3009GXLPMED</t>
        </is>
      </c>
      <c r="D181" s="2" t="n">
        <v>46176</v>
      </c>
      <c r="E181" s="2" t="n">
        <v>46199</v>
      </c>
      <c r="F181" t="inlineStr">
        <is>
          <t>10:00</t>
        </is>
      </c>
      <c r="G181" t="inlineStr">
        <is>
          <t>Request for Bid(Open-Tender)</t>
        </is>
      </c>
      <c r="H181" t="inlineStr">
        <is>
          <t>SUPPLY AND DELIVERY OF SOLENOID VALVES, MAGNETS AND COILS—AS AND WHEN REQUIRED</t>
        </is>
      </c>
      <c r="I181" t="inlineStr">
        <is>
          <t>ETENDERS.GOV.ZA</t>
        </is>
      </c>
      <c r="J181" t="inlineStr">
        <is>
          <t>ESKOM</t>
        </is>
      </c>
      <c r="K181" t="inlineStr">
        <is>
          <t>Limpopo</t>
        </is>
      </c>
      <c r="L181" t="inlineStr">
        <is>
          <t>No</t>
        </is>
      </c>
      <c r="M181" t="inlineStr">
        <is>
          <t>Supplies: Electrical Equipment</t>
        </is>
      </c>
      <c r="N181" t="inlineStr">
        <is>
          <t>Yes</t>
        </is>
      </c>
      <c r="O181" t="inlineStr">
        <is>
          <t>No</t>
        </is>
      </c>
      <c r="P181" t="inlineStr">
        <is>
          <t>Microsoft Teams</t>
        </is>
      </c>
      <c r="Q181" s="3" t="inlineStr">
        <is>
          <t>https://www.etenders.gov.za/home/Download/?blobName=f4dc9cc7-29ab-4723-8d76-744d093dc437.PDF&amp;downloadedFileName=ANNEXU~2.PDF</t>
        </is>
      </c>
      <c r="R181" t="inlineStr"/>
      <c r="S181" t="inlineStr"/>
      <c r="T181" t="inlineStr"/>
      <c r="U181" t="inlineStr"/>
      <c r="V181" t="inlineStr"/>
    </row>
    <row r="182">
      <c r="A182" s="2" t="n">
        <v>46176</v>
      </c>
      <c r="B182" t="n">
        <v>69</v>
      </c>
      <c r="C182" t="inlineStr">
        <is>
          <t>E1685GXMPKRI Award</t>
        </is>
      </c>
      <c r="D182" s="2" t="n">
        <v>46176</v>
      </c>
      <c r="E182" s="2" t="n">
        <v>46206</v>
      </c>
      <c r="F182" t="inlineStr">
        <is>
          <t>10:00</t>
        </is>
      </c>
      <c r="G182" t="inlineStr">
        <is>
          <t>Request for Bid(Open-Tender)</t>
        </is>
      </c>
      <c r="H182" t="inlineStr">
        <is>
          <t>Publication of award for Supply, delivery and installation of canteen equipment at Kriel Power Station on a once-off basis.</t>
        </is>
      </c>
      <c r="I182" t="inlineStr">
        <is>
          <t>ETENDERS.GOV.ZA</t>
        </is>
      </c>
      <c r="J182" t="inlineStr">
        <is>
          <t>ESKOM</t>
        </is>
      </c>
      <c r="K182" t="inlineStr">
        <is>
          <t>Mpumalanga</t>
        </is>
      </c>
      <c r="L182" t="inlineStr">
        <is>
          <t>No</t>
        </is>
      </c>
      <c r="M182" t="inlineStr">
        <is>
          <t>Supplies: General</t>
        </is>
      </c>
      <c r="N182" t="inlineStr">
        <is>
          <t>No</t>
        </is>
      </c>
      <c r="O182" t="inlineStr">
        <is>
          <t>No</t>
        </is>
      </c>
      <c r="P182" t="inlineStr">
        <is>
          <t>N/A</t>
        </is>
      </c>
      <c r="Q182" s="3" t="inlineStr">
        <is>
          <t>https://www.etenders.gov.za/home/Download/?blobName=80d51917-b2e6-47a7-a5a5-a3b3263d944b.docx&amp;downloadedFileName=Notification%20of%20Tender%20Advertised%20and%20Awarded%20-%20Canteen%20Equipment.docx</t>
        </is>
      </c>
      <c r="R182" t="inlineStr"/>
      <c r="S182" t="inlineStr"/>
      <c r="T182" t="inlineStr"/>
      <c r="U182" t="inlineStr"/>
      <c r="V182" t="inlineStr"/>
    </row>
    <row r="183">
      <c r="A183" s="2" t="n">
        <v>46176</v>
      </c>
      <c r="B183" t="n">
        <v>68</v>
      </c>
      <c r="C183" t="inlineStr">
        <is>
          <t>E1026TSSERILIST</t>
        </is>
      </c>
      <c r="D183" s="2" t="n">
        <v>46176</v>
      </c>
      <c r="E183" s="2" t="n">
        <v>46191</v>
      </c>
      <c r="F183" t="inlineStr">
        <is>
          <t>10:00</t>
        </is>
      </c>
      <c r="G183" t="inlineStr">
        <is>
          <t>Request for Bid(Open-Tender)</t>
        </is>
      </c>
      <c r="H183" t="inlineStr">
        <is>
          <t>Bidders List for Workshop Cleaning Services for a period of 3 years</t>
        </is>
      </c>
      <c r="I183" t="inlineStr">
        <is>
          <t>ETENDERS.GOV.ZA</t>
        </is>
      </c>
      <c r="J183" t="inlineStr">
        <is>
          <t>ESKOM</t>
        </is>
      </c>
      <c r="K183" t="inlineStr">
        <is>
          <t>National</t>
        </is>
      </c>
      <c r="L183" t="inlineStr">
        <is>
          <t>No</t>
        </is>
      </c>
      <c r="M183" t="inlineStr">
        <is>
          <t>Services: Functional (Including Cleaning and Security Services)</t>
        </is>
      </c>
      <c r="N183" t="inlineStr">
        <is>
          <t>No</t>
        </is>
      </c>
      <c r="O183" t="inlineStr">
        <is>
          <t>No</t>
        </is>
      </c>
      <c r="P183" t="inlineStr">
        <is>
          <t>N/A</t>
        </is>
      </c>
      <c r="Q183" s="3" t="inlineStr">
        <is>
          <t>https://www.etenders.gov.za/home/Download/?blobName=734ec062-7a67-4383-b106-498ad6961a99.pdf&amp;downloadedFileName=List%20of%20Bidders.pdf</t>
        </is>
      </c>
      <c r="R183" t="inlineStr"/>
      <c r="S183" t="inlineStr"/>
      <c r="T183" t="inlineStr"/>
      <c r="U183" t="inlineStr"/>
      <c r="V183" t="inlineStr"/>
    </row>
    <row r="184">
      <c r="A184" s="2" t="n">
        <v>46176</v>
      </c>
      <c r="B184" t="n">
        <v>67</v>
      </c>
      <c r="C184" t="inlineStr">
        <is>
          <t>RFQ Number: 4485/26</t>
        </is>
      </c>
      <c r="D184" s="2" t="n">
        <v>46176</v>
      </c>
      <c r="E184" s="2" t="n">
        <v>46190</v>
      </c>
      <c r="F184" t="inlineStr">
        <is>
          <t>11:00</t>
        </is>
      </c>
      <c r="G184" t="inlineStr">
        <is>
          <t>Request for Quotation</t>
        </is>
      </c>
      <c r="H184" t="inlineStr">
        <is>
          <t>Appointment of service provider to assist with assessment of underground water table for purpose of borehole drilling.</t>
        </is>
      </c>
      <c r="I184" t="inlineStr">
        <is>
          <t>ETENDERS.GOV.ZA</t>
        </is>
      </c>
      <c r="J184" t="inlineStr">
        <is>
          <t>South African Weather Service</t>
        </is>
      </c>
      <c r="K184" t="inlineStr">
        <is>
          <t>Gauteng</t>
        </is>
      </c>
      <c r="L184" t="inlineStr">
        <is>
          <t>No</t>
        </is>
      </c>
      <c r="M184" t="inlineStr">
        <is>
          <t>Services: Professional</t>
        </is>
      </c>
      <c r="N184" t="inlineStr">
        <is>
          <t>Yes</t>
        </is>
      </c>
      <c r="O184" t="inlineStr">
        <is>
          <t>Yes</t>
        </is>
      </c>
      <c r="P184" t="inlineStr">
        <is>
          <t>Irene Weather Office Main Road, Irene, within the Agricultural Research Council (ARC) Farm Doornkloo</t>
        </is>
      </c>
      <c r="Q184" s="3" t="inlineStr">
        <is>
          <t>https://www.etenders.gov.za/home/Download/?blobName=955af9e0-8bf3-4f87-8568-34f73981911c.pdf&amp;downloadedFileName=RFQ%204485.pdf</t>
        </is>
      </c>
      <c r="R184" t="inlineStr"/>
      <c r="S184" t="inlineStr"/>
      <c r="T184" t="inlineStr"/>
      <c r="U184" t="inlineStr"/>
      <c r="V184" t="inlineStr"/>
    </row>
    <row r="185">
      <c r="A185" s="2" t="n">
        <v>46176</v>
      </c>
      <c r="B185" t="n">
        <v>66</v>
      </c>
      <c r="C185" t="inlineStr">
        <is>
          <t>T/ICT/01/05/2025/2026</t>
        </is>
      </c>
      <c r="D185" s="2" t="n">
        <v>46176</v>
      </c>
      <c r="E185" s="2" t="n">
        <v>46212</v>
      </c>
      <c r="F185" t="inlineStr">
        <is>
          <t>10:00</t>
        </is>
      </c>
      <c r="G185" t="inlineStr">
        <is>
          <t>Request for Bid(Open-Tender)</t>
        </is>
      </c>
      <c r="H185" t="inlineStr">
        <is>
          <t>APPOINTMENT OF THREE PANEL OF SERVICE PROVIDERS TO PROVIDE WITH ACQUISITION OF ADDITIONAL SOFTWARE LICENSES, SOFTWARE LICENSE RENEWALS, ICT IMPLEMENTATIONS, ENHANCEMENTS, SUPPORT AND MAINTENANCE ON AN AS AND WHEN REQUIRED FOR THE PERIOD OF 36 MONTHS</t>
        </is>
      </c>
      <c r="I185" t="inlineStr">
        <is>
          <t>ETENDERS.GOV.ZA</t>
        </is>
      </c>
      <c r="J185" t="inlineStr">
        <is>
          <t>Victor Khanye Local Municipality</t>
        </is>
      </c>
      <c r="K185" t="inlineStr">
        <is>
          <t>Mpumalanga</t>
        </is>
      </c>
      <c r="L185" t="inlineStr">
        <is>
          <t>No</t>
        </is>
      </c>
      <c r="M185" t="inlineStr">
        <is>
          <t>Professional, scientific and technical activities</t>
        </is>
      </c>
      <c r="N185" t="inlineStr">
        <is>
          <t>No</t>
        </is>
      </c>
      <c r="O185" t="inlineStr">
        <is>
          <t>No</t>
        </is>
      </c>
      <c r="P185" t="inlineStr">
        <is>
          <t>N/A</t>
        </is>
      </c>
      <c r="Q185" s="3" t="inlineStr">
        <is>
          <t>https://www.etenders.gov.za/home/Download/?blobName=3bfa9b67-5a1b-4acb-86a5-fd145731541e.pdf&amp;downloadedFileName=THREE%20PANEL%20OF%20SERVICE%20PROVIDERS%20TO%20PROVIDE%20WITH%20ACQUISITION%20OF%20ADDITIONAL%20SOFTWARE%20LICENSES,%20SOFTWARE%20LICENSE%20RENEWALS,%20ICT%20IMPLEMENTATIONS,%20ENHANCEMENTS,%20SUPPORT%20AND%20MAINTENANCE%20ON%20AN%20AS%20AND%20WHEN.pdf</t>
        </is>
      </c>
      <c r="R185" t="inlineStr"/>
      <c r="S185" t="inlineStr"/>
      <c r="T185" t="inlineStr"/>
      <c r="U185" t="inlineStr"/>
      <c r="V185" t="inlineStr"/>
    </row>
    <row r="186">
      <c r="A186" s="2" t="n">
        <v>46176</v>
      </c>
      <c r="B186" t="n">
        <v>65</v>
      </c>
      <c r="C186" t="inlineStr">
        <is>
          <t>T/SS/01/05/2025/2026</t>
        </is>
      </c>
      <c r="D186" s="2" t="n">
        <v>46176</v>
      </c>
      <c r="E186" s="2" t="n">
        <v>46212</v>
      </c>
      <c r="F186" t="inlineStr">
        <is>
          <t>10:00</t>
        </is>
      </c>
      <c r="G186" t="inlineStr">
        <is>
          <t>Request for Bid(Open-Tender)</t>
        </is>
      </c>
      <c r="H186" t="inlineStr">
        <is>
          <t>APPOINTMENT OF THREE PANEL OF A SERVICE PROVIDERS FOR THE REPAIRS SERVICING AND MAINTANCEOF THE MUNICIPAL RESUE AND FIREFIGHTING GENERAL EQUIPMENT AT VICTOR KHANYE LOCAL MUNICIPALITY FOR A PERIOD OF THREE YEARS.</t>
        </is>
      </c>
      <c r="I186" t="inlineStr">
        <is>
          <t>ETENDERS.GOV.ZA</t>
        </is>
      </c>
      <c r="J186" t="inlineStr">
        <is>
          <t>Victor Khanye Local Municipality</t>
        </is>
      </c>
      <c r="K186" t="inlineStr">
        <is>
          <t>Mpumalanga</t>
        </is>
      </c>
      <c r="L186" t="inlineStr">
        <is>
          <t>No</t>
        </is>
      </c>
      <c r="M186" t="inlineStr">
        <is>
          <t>Wholesale and retail trade and repair of motor vehicles and motorcycles</t>
        </is>
      </c>
      <c r="N186" t="inlineStr">
        <is>
          <t>No</t>
        </is>
      </c>
      <c r="O186" t="inlineStr">
        <is>
          <t>No</t>
        </is>
      </c>
      <c r="P186" t="inlineStr">
        <is>
          <t>N/A</t>
        </is>
      </c>
      <c r="Q186" s="3" t="inlineStr">
        <is>
          <t>https://www.etenders.gov.za/home/Download/?blobName=79c909c4-3394-47ff-b297-8c1712570536.pdf&amp;downloadedFileName=APPOINTMENT%20OF%20THREE%20PANEL%20OF%20A%20SERVICE%20PROVIDERS%20FOR%20THE%20REPAIRS%20SERVICING%20AND%20MAINTANCEOF%20THE%20MUNICIPAL%20RESUE%20AND%20FIREFIGHTING%20GENERAL%20EQUIPMENT%20AT%20VICTOR%20KHANYE%20LOCAL%20MUNICIPALITY%20FOR%20A.pdf</t>
        </is>
      </c>
      <c r="R186" t="inlineStr"/>
      <c r="S186" t="inlineStr"/>
      <c r="T186" t="inlineStr"/>
      <c r="U186" t="inlineStr"/>
      <c r="V186" t="inlineStr"/>
    </row>
    <row r="187">
      <c r="A187" s="2" t="n">
        <v>46176</v>
      </c>
      <c r="B187" t="n">
        <v>64</v>
      </c>
      <c r="C187" t="inlineStr">
        <is>
          <t>RFQ Number 4185/26</t>
        </is>
      </c>
      <c r="D187" s="2" t="n">
        <v>46176</v>
      </c>
      <c r="E187" s="2" t="n">
        <v>46191</v>
      </c>
      <c r="F187" t="inlineStr">
        <is>
          <t>11:00</t>
        </is>
      </c>
      <c r="G187" t="inlineStr">
        <is>
          <t>Request for Quotation</t>
        </is>
      </c>
      <c r="H187" t="inlineStr">
        <is>
          <t>Supply and Installation of retractable security aluminium window burglar at Irene Weather Office and aluminium single door at Polokwane Weather office.</t>
        </is>
      </c>
      <c r="I187" t="inlineStr">
        <is>
          <t>ETENDERS.GOV.ZA</t>
        </is>
      </c>
      <c r="J187" t="inlineStr">
        <is>
          <t>South African Weather Service</t>
        </is>
      </c>
      <c r="K187" t="inlineStr">
        <is>
          <t>Gauteng</t>
        </is>
      </c>
      <c r="L187" t="inlineStr">
        <is>
          <t>No</t>
        </is>
      </c>
      <c r="M187" t="inlineStr">
        <is>
          <t>Construction of buildings</t>
        </is>
      </c>
      <c r="N187" t="inlineStr">
        <is>
          <t>Yes</t>
        </is>
      </c>
      <c r="O187" t="inlineStr">
        <is>
          <t>Yes</t>
        </is>
      </c>
      <c r="P187" t="inlineStr">
        <is>
          <t>Irene Weather Office</t>
        </is>
      </c>
      <c r="Q187" s="3" t="inlineStr">
        <is>
          <t>https://www.etenders.gov.za/home/Download/?blobName=5d088367-b6e5-4cb1-b6be-a9f4d666c88d.pdf&amp;downloadedFileName=RFQ-4185%20Installation%20of%20Burglar%20bars%20and%20Aluminium%20door%201.pdf</t>
        </is>
      </c>
      <c r="R187" t="inlineStr"/>
      <c r="S187" t="inlineStr"/>
      <c r="T187" t="inlineStr"/>
      <c r="U187" t="inlineStr"/>
      <c r="V187" t="inlineStr"/>
    </row>
    <row r="188">
      <c r="A188" s="2" t="n">
        <v>46176</v>
      </c>
      <c r="B188" t="n">
        <v>63</v>
      </c>
      <c r="C188" t="inlineStr">
        <is>
          <t>PPLS-MM-2026-2029-KMHLM</t>
        </is>
      </c>
      <c r="D188" s="2" t="n">
        <v>46176</v>
      </c>
      <c r="E188" s="2" t="n">
        <v>46224</v>
      </c>
      <c r="F188" t="inlineStr">
        <is>
          <t>12:00</t>
        </is>
      </c>
      <c r="G188" t="inlineStr">
        <is>
          <t>Request for Proposal</t>
        </is>
      </c>
      <c r="H188" t="inlineStr">
        <is>
          <t>Provision of Legal Services Through a Panel of Four Service Providers for a Period of Three Years.</t>
        </is>
      </c>
      <c r="I188" t="inlineStr">
        <is>
          <t>ETENDERS.GOV.ZA</t>
        </is>
      </c>
      <c r="J188" t="inlineStr">
        <is>
          <t>Mhlontlo Local Municipality</t>
        </is>
      </c>
      <c r="K188" t="inlineStr">
        <is>
          <t>Eastern Cape</t>
        </is>
      </c>
      <c r="L188" t="inlineStr">
        <is>
          <t>No</t>
        </is>
      </c>
      <c r="M188" t="inlineStr">
        <is>
          <t>Legal and accounting activities</t>
        </is>
      </c>
      <c r="N188" t="inlineStr">
        <is>
          <t>No</t>
        </is>
      </c>
      <c r="O188" t="inlineStr">
        <is>
          <t>No</t>
        </is>
      </c>
      <c r="P188" t="inlineStr">
        <is>
          <t>N/A</t>
        </is>
      </c>
      <c r="Q188" s="3" t="inlineStr">
        <is>
          <t>https://www.etenders.gov.za/home/Download/?blobName=6a9d00bc-97f9-4b45-88dc-09f68e29141a.pdf&amp;downloadedFileName=Panel%20of%20Legal%20Service%20providers%202026%20edited.pdf</t>
        </is>
      </c>
      <c r="R188" t="inlineStr"/>
      <c r="S188" t="inlineStr"/>
      <c r="T188" t="inlineStr"/>
      <c r="U188" t="inlineStr"/>
      <c r="V188" t="inlineStr"/>
    </row>
    <row r="189">
      <c r="A189" s="2" t="n">
        <v>46176</v>
      </c>
      <c r="B189" t="n">
        <v>62</v>
      </c>
      <c r="C189" t="inlineStr">
        <is>
          <t>IPID01/2026/27</t>
        </is>
      </c>
      <c r="D189" s="2" t="n">
        <v>46176</v>
      </c>
      <c r="E189" s="2" t="n">
        <v>46199</v>
      </c>
      <c r="F189" t="inlineStr">
        <is>
          <t>11:00</t>
        </is>
      </c>
      <c r="G189" t="inlineStr">
        <is>
          <t>Request for Proposal</t>
        </is>
      </c>
      <c r="H189" t="inlineStr">
        <is>
          <t>REQUEST FOR PROPOSAL FOR APPOINTMENT OF A SERVICE PROVIDER TO RENDER TRAVEL AND ACCOMMODATION MANAGEMENT SERVICES TO THE INDEPENDENT POLICE INVESTIGATIVE DIRECTORATE (IPID) FOR A PERIOD OF 36 MONTHS</t>
        </is>
      </c>
      <c r="I189" t="inlineStr">
        <is>
          <t>ETENDERS.GOV.ZA</t>
        </is>
      </c>
      <c r="J189" t="inlineStr">
        <is>
          <t>Independent Police Investigative Directorate</t>
        </is>
      </c>
      <c r="K189" t="inlineStr">
        <is>
          <t>National</t>
        </is>
      </c>
      <c r="L189" t="inlineStr">
        <is>
          <t>No</t>
        </is>
      </c>
      <c r="M189" t="inlineStr">
        <is>
          <t>Travel agency, tour operator, reservation service and related activities</t>
        </is>
      </c>
      <c r="N189" t="inlineStr">
        <is>
          <t>Yes</t>
        </is>
      </c>
      <c r="O189" t="inlineStr">
        <is>
          <t>Yes</t>
        </is>
      </c>
      <c r="P189" t="inlineStr">
        <is>
          <t>473B STANZA BOPAPE STREET, BENSTRA BUILDING, ARCADIA, PRETORIA</t>
        </is>
      </c>
      <c r="Q189" s="3" t="inlineStr">
        <is>
          <t>https://www.etenders.gov.za/home/Download/?blobName=bb4bb6ed-f5b4-432e-b164-6878af1c7e8a.pdf&amp;downloadedFileName=BID%20DOCUMENT%20FOR%20TRAVEL%20AND%20ACCOMODATION%20MANAGEMENT%20SERVICES%20IPID01202627.pdf</t>
        </is>
      </c>
      <c r="R189" t="inlineStr"/>
      <c r="S189" t="inlineStr"/>
      <c r="T189" t="inlineStr"/>
      <c r="U189" t="inlineStr"/>
      <c r="V189" t="inlineStr"/>
    </row>
    <row r="190">
      <c r="A190" s="2" t="n">
        <v>46176</v>
      </c>
      <c r="B190" t="n">
        <v>61</v>
      </c>
      <c r="C190" t="inlineStr">
        <is>
          <t>ADVERTISED RFQ 01/06/2026</t>
        </is>
      </c>
      <c r="D190" s="2" t="n">
        <v>46176</v>
      </c>
      <c r="E190" s="2" t="n">
        <v>46185</v>
      </c>
      <c r="F190" t="inlineStr">
        <is>
          <t>12:00</t>
        </is>
      </c>
      <c r="G190" t="inlineStr">
        <is>
          <t>Request for Quotation</t>
        </is>
      </c>
      <c r="H190" t="inlineStr">
        <is>
          <t>ADVERTISED RFQ 01/06/2026: REQUEST FOR QUOTATION: SUPPLY AND DELIVERY OF NAS STORAGE DEVICE (PERIOD OF 1 YEAR)</t>
        </is>
      </c>
      <c r="I190" t="inlineStr">
        <is>
          <t>ETENDERS.GOV.ZA</t>
        </is>
      </c>
      <c r="J190" t="inlineStr">
        <is>
          <t>Oudtshoorn Municipality</t>
        </is>
      </c>
      <c r="K190" t="inlineStr">
        <is>
          <t>Western Cape</t>
        </is>
      </c>
      <c r="L190" t="inlineStr">
        <is>
          <t>No</t>
        </is>
      </c>
      <c r="M190" t="inlineStr">
        <is>
          <t>Supplies: Computer Equipment</t>
        </is>
      </c>
      <c r="N190" t="inlineStr">
        <is>
          <t>No</t>
        </is>
      </c>
      <c r="O190" t="inlineStr">
        <is>
          <t>No</t>
        </is>
      </c>
      <c r="P190" t="inlineStr">
        <is>
          <t>N/A</t>
        </is>
      </c>
      <c r="Q190" s="3" t="inlineStr">
        <is>
          <t>https://www.etenders.gov.za/home/Download/?blobName=1165e77f-d8fc-4651-9db2-7e8772f4f1e1.pdf&amp;downloadedFileName=RFQ%2001%20OF%2006%20OF%202025%20%20ADVERT.pdf</t>
        </is>
      </c>
      <c r="R190" t="inlineStr"/>
      <c r="S190" t="inlineStr"/>
      <c r="T190" t="inlineStr"/>
      <c r="U190" t="inlineStr"/>
      <c r="V190" t="inlineStr"/>
    </row>
    <row r="191">
      <c r="A191" s="2" t="n">
        <v>46176</v>
      </c>
      <c r="B191" t="n">
        <v>60</v>
      </c>
      <c r="C191" t="inlineStr">
        <is>
          <t>UMZ/2026-27/INFRA/CAP/004</t>
        </is>
      </c>
      <c r="D191" s="2" t="n">
        <v>46176</v>
      </c>
      <c r="E191" s="2" t="n">
        <v>46192</v>
      </c>
      <c r="F191" t="inlineStr">
        <is>
          <t>11:00</t>
        </is>
      </c>
      <c r="G191" t="inlineStr">
        <is>
          <t>Request for Bid(Open-Tender)</t>
        </is>
      </c>
      <c r="H191" t="inlineStr">
        <is>
          <t>BAQUQENI ACCESS ROAD MAINTENANCE</t>
        </is>
      </c>
      <c r="I191" t="inlineStr">
        <is>
          <t>ETENDERS.GOV.ZA</t>
        </is>
      </c>
      <c r="J191" t="inlineStr">
        <is>
          <t>Umzimvubu Local Municipality</t>
        </is>
      </c>
      <c r="K191" t="inlineStr">
        <is>
          <t>Eastern Cape</t>
        </is>
      </c>
      <c r="L191" t="inlineStr">
        <is>
          <t>No</t>
        </is>
      </c>
      <c r="M191" t="inlineStr">
        <is>
          <t>Construction</t>
        </is>
      </c>
      <c r="N191" t="inlineStr">
        <is>
          <t>Yes</t>
        </is>
      </c>
      <c r="O191" t="inlineStr">
        <is>
          <t>Yes</t>
        </is>
      </c>
      <c r="P191" t="inlineStr">
        <is>
          <t>EMAXESIBENI OFFICES UMZIMVUBU LOCAL MUNICIPALITY</t>
        </is>
      </c>
      <c r="Q191" s="3" t="inlineStr">
        <is>
          <t>https://www.etenders.gov.za/home/Download/?blobName=982d9be7-323f-43a6-8925-98a403c72a3a.pdf&amp;downloadedFileName=ADVERT%20FOR%20BAQUQENI%20ACCESS%20ROAD%20MAINTENANCE.pdf</t>
        </is>
      </c>
      <c r="R191" t="inlineStr"/>
      <c r="S191" t="inlineStr"/>
      <c r="T191" t="inlineStr"/>
      <c r="U191" t="inlineStr"/>
      <c r="V191" t="inlineStr"/>
    </row>
    <row r="192">
      <c r="A192" s="2" t="n">
        <v>46176</v>
      </c>
      <c r="B192" t="n">
        <v>59</v>
      </c>
      <c r="C192" t="inlineStr">
        <is>
          <t>UMZ/2026-27/INFRA/CAP/020</t>
        </is>
      </c>
      <c r="D192" s="2" t="n">
        <v>46176</v>
      </c>
      <c r="E192" s="2" t="n">
        <v>46190</v>
      </c>
      <c r="F192" t="inlineStr">
        <is>
          <t>12:00</t>
        </is>
      </c>
      <c r="G192" t="inlineStr">
        <is>
          <t>Request for Bid(Open-Tender)</t>
        </is>
      </c>
      <c r="H192" t="inlineStr">
        <is>
          <t>SUGARBUSH ACCESS ROAD MAINTENANCE</t>
        </is>
      </c>
      <c r="I192" t="inlineStr">
        <is>
          <t>ETENDERS.GOV.ZA</t>
        </is>
      </c>
      <c r="J192" t="inlineStr">
        <is>
          <t>Umzimvubu Local Municipality</t>
        </is>
      </c>
      <c r="K192" t="inlineStr">
        <is>
          <t>Eastern Cape</t>
        </is>
      </c>
      <c r="L192" t="inlineStr">
        <is>
          <t>No</t>
        </is>
      </c>
      <c r="M192" t="inlineStr">
        <is>
          <t>Construction</t>
        </is>
      </c>
      <c r="N192" t="inlineStr">
        <is>
          <t>Yes</t>
        </is>
      </c>
      <c r="O192" t="inlineStr">
        <is>
          <t>Yes</t>
        </is>
      </c>
      <c r="P192" t="inlineStr">
        <is>
          <t>EMAXESIBENI OFFICES UMZIMVUBU LOCAL MUNICIPALITY</t>
        </is>
      </c>
      <c r="Q192" s="3" t="inlineStr">
        <is>
          <t>https://www.etenders.gov.za/home/Download/?blobName=b9bd3add-2ddf-4e81-aa17-75d0985d9d88.pdf&amp;downloadedFileName=ADVERT%20FOR%20SUGARBUSH%20ACCESS%20ROAD%20MAINTENANCE.pdf</t>
        </is>
      </c>
      <c r="R192" t="inlineStr"/>
      <c r="S192" t="inlineStr"/>
      <c r="T192" t="inlineStr"/>
      <c r="U192" t="inlineStr"/>
      <c r="V192" t="inlineStr"/>
    </row>
    <row r="193">
      <c r="A193" s="2" t="n">
        <v>46176</v>
      </c>
      <c r="B193" t="n">
        <v>58</v>
      </c>
      <c r="C193" t="inlineStr">
        <is>
          <t>UMZ/2026-27/INFRA/MIG/009</t>
        </is>
      </c>
      <c r="D193" s="2" t="n">
        <v>46176</v>
      </c>
      <c r="E193" s="2" t="n">
        <v>46190</v>
      </c>
      <c r="F193" t="inlineStr">
        <is>
          <t>12:00</t>
        </is>
      </c>
      <c r="G193" t="inlineStr">
        <is>
          <t>Request for Bid(Open-Tender)</t>
        </is>
      </c>
      <c r="H193" t="inlineStr">
        <is>
          <t>CONSTRUCTION OF ZIQUNGWINI TO NQABENI ACCESS ROAD</t>
        </is>
      </c>
      <c r="I193" t="inlineStr">
        <is>
          <t>ETENDERS.GOV.ZA</t>
        </is>
      </c>
      <c r="J193" t="inlineStr">
        <is>
          <t>Umzimvubu Local Municipality</t>
        </is>
      </c>
      <c r="K193" t="inlineStr">
        <is>
          <t>Eastern Cape</t>
        </is>
      </c>
      <c r="L193" t="inlineStr">
        <is>
          <t>No</t>
        </is>
      </c>
      <c r="M193" t="inlineStr">
        <is>
          <t>Construction</t>
        </is>
      </c>
      <c r="N193" t="inlineStr">
        <is>
          <t>Yes</t>
        </is>
      </c>
      <c r="O193" t="inlineStr">
        <is>
          <t>Yes</t>
        </is>
      </c>
      <c r="P193" t="inlineStr">
        <is>
          <t>EMAXESIBENI OFFICES UMZIMVUBU LOCAL MUNICIPALITY</t>
        </is>
      </c>
      <c r="Q193" s="3" t="inlineStr">
        <is>
          <t>https://www.etenders.gov.za/home/Download/?blobName=43b62313-1692-49be-9fb1-75f52fa01f2a.pdf&amp;downloadedFileName=ADVERT%20FOR%20CONSTRUCTION%20OF%20ZIQUNGWINI%20TO%20NQABENI%20ACCESS%20ROAD.pdf</t>
        </is>
      </c>
      <c r="R193" t="inlineStr"/>
      <c r="S193" t="inlineStr"/>
      <c r="T193" t="inlineStr"/>
      <c r="U193" t="inlineStr"/>
      <c r="V193" t="inlineStr"/>
    </row>
    <row r="194">
      <c r="A194" s="2" t="n">
        <v>46176</v>
      </c>
      <c r="B194" t="n">
        <v>57</v>
      </c>
      <c r="C194" t="inlineStr">
        <is>
          <t>BSM 102/26</t>
        </is>
      </c>
      <c r="D194" s="2" t="n">
        <v>46176</v>
      </c>
      <c r="E194" s="2" t="n">
        <v>46209</v>
      </c>
      <c r="F194" t="inlineStr">
        <is>
          <t>12:00</t>
        </is>
      </c>
      <c r="G194" t="inlineStr">
        <is>
          <t>Request for Bid(Open-Tender)</t>
        </is>
      </c>
      <c r="H194" t="inlineStr">
        <is>
          <t>BSM 102/26: SUPPLY AND DELIVERY OF REPLACEMENT ICT HARDWARE EQUIPMENT AS AND WHEN REQUIRED FOR THE STELLENBOSCH MUNICIPALITY FOR A PERIOD ENDING 30 JUNE 2028.</t>
        </is>
      </c>
      <c r="I194" t="inlineStr">
        <is>
          <t>ETENDERS.GOV.ZA</t>
        </is>
      </c>
      <c r="J194" t="inlineStr">
        <is>
          <t>Stellenbosch Municipality</t>
        </is>
      </c>
      <c r="K194" t="inlineStr">
        <is>
          <t>Western Cape</t>
        </is>
      </c>
      <c r="L194" t="inlineStr">
        <is>
          <t>No</t>
        </is>
      </c>
      <c r="M194" t="inlineStr">
        <is>
          <t>Supplies: Computer Equipment</t>
        </is>
      </c>
      <c r="N194" t="inlineStr">
        <is>
          <t>Yes</t>
        </is>
      </c>
      <c r="O194" t="inlineStr">
        <is>
          <t>Yes</t>
        </is>
      </c>
      <c r="P194" t="inlineStr">
        <is>
          <t>Stellenbosch Municipality Main Entrance Foyer (where the bid box is).</t>
        </is>
      </c>
      <c r="Q194" s="3" t="inlineStr">
        <is>
          <t>https://www.etenders.gov.za/home/Download/?blobName=6b2bde9b-9522-4a1a-ab7d-0b6065462ff7.pdf&amp;downloadedFileName=BSM102%2026%20Supply%20and%20delivery%20of%20replacement%20ICT%20Hardware%20equipment%20period%20ending%2030%20June%202028.pdf</t>
        </is>
      </c>
      <c r="R194" t="inlineStr"/>
      <c r="S194" t="inlineStr"/>
      <c r="T194" t="inlineStr"/>
      <c r="U194" t="inlineStr"/>
      <c r="V194" t="inlineStr"/>
    </row>
    <row r="195">
      <c r="A195" s="2" t="n">
        <v>46176</v>
      </c>
      <c r="B195" t="n">
        <v>56</v>
      </c>
      <c r="C195" t="inlineStr">
        <is>
          <t>HSRC/03/06/2026</t>
        </is>
      </c>
      <c r="D195" s="2" t="n">
        <v>46176</v>
      </c>
      <c r="E195" s="2" t="n">
        <v>46184</v>
      </c>
      <c r="F195" t="inlineStr">
        <is>
          <t>16:00</t>
        </is>
      </c>
      <c r="G195" t="inlineStr">
        <is>
          <t>Request for Proposal</t>
        </is>
      </c>
      <c r="H195" t="inlineStr">
        <is>
          <t>PROCUREMENT OF AN INTERNAL EMPLOYEE COMMUNICATION PLATFORM FOR THE HUMAN SCIENCES RESEARCH COUNCIL (HSRC)</t>
        </is>
      </c>
      <c r="I195" t="inlineStr">
        <is>
          <t>ETENDERS.GOV.ZA</t>
        </is>
      </c>
      <c r="J195" t="inlineStr">
        <is>
          <t>Human Sciences Research Council</t>
        </is>
      </c>
      <c r="K195" t="inlineStr">
        <is>
          <t>National</t>
        </is>
      </c>
      <c r="L195" t="inlineStr">
        <is>
          <t>No</t>
        </is>
      </c>
      <c r="M195" t="inlineStr">
        <is>
          <t>Other service activities</t>
        </is>
      </c>
      <c r="N195" t="inlineStr">
        <is>
          <t>No</t>
        </is>
      </c>
      <c r="O195" t="inlineStr">
        <is>
          <t>No</t>
        </is>
      </c>
      <c r="P195" t="inlineStr">
        <is>
          <t>N/A</t>
        </is>
      </c>
      <c r="Q195" s="3" t="inlineStr">
        <is>
          <t>https://www.etenders.gov.za/home/Download/?blobName=fdce3588-2ca9-41d3-8992-8702051aa10c.docx&amp;downloadedFileName=Standard%20Bidding%20Document%20(SDB)%204_Annexure%20A%20(1).docx</t>
        </is>
      </c>
      <c r="R195" t="inlineStr"/>
      <c r="S195" t="inlineStr"/>
      <c r="T195" t="inlineStr"/>
      <c r="U195" t="inlineStr"/>
      <c r="V195" t="inlineStr"/>
    </row>
    <row r="196">
      <c r="A196" s="2" t="n">
        <v>46176</v>
      </c>
      <c r="B196" t="n">
        <v>55</v>
      </c>
      <c r="C196" t="inlineStr">
        <is>
          <t>SCM/1367/S/2025-2026</t>
        </is>
      </c>
      <c r="D196" s="2" t="n">
        <v>46176</v>
      </c>
      <c r="E196" s="2" t="n">
        <v>46212</v>
      </c>
      <c r="F196" t="inlineStr">
        <is>
          <t>11:00</t>
        </is>
      </c>
      <c r="G196" t="inlineStr">
        <is>
          <t>Request for Quotation</t>
        </is>
      </c>
      <c r="H196" t="inlineStr">
        <is>
          <t>THE CO- MANAGEMENT AND OPERATION OF MUNICIPAL POUND</t>
        </is>
      </c>
      <c r="I196" t="inlineStr">
        <is>
          <t>ETENDERS.GOV.ZA</t>
        </is>
      </c>
      <c r="J196" t="inlineStr">
        <is>
          <t>Nelson Mandela Bay Municipality</t>
        </is>
      </c>
      <c r="K196" t="inlineStr">
        <is>
          <t>Eastern Cape</t>
        </is>
      </c>
      <c r="L196" t="inlineStr">
        <is>
          <t>No</t>
        </is>
      </c>
      <c r="M196" t="inlineStr">
        <is>
          <t>Services: Professional</t>
        </is>
      </c>
      <c r="N196" t="inlineStr">
        <is>
          <t>No</t>
        </is>
      </c>
      <c r="O196" t="inlineStr">
        <is>
          <t>No</t>
        </is>
      </c>
      <c r="P196" t="inlineStr">
        <is>
          <t>N/A</t>
        </is>
      </c>
      <c r="Q196" s="3" t="inlineStr">
        <is>
          <t>https://www.etenders.gov.za/home/Download/?blobName=af46c4fb-4a35-4a1f-9079-b81bcd889310.pdf&amp;downloadedFileName=Advert%2003-06-2026._%20(002).pdf</t>
        </is>
      </c>
      <c r="R196" t="inlineStr"/>
      <c r="S196" t="inlineStr"/>
      <c r="T196" t="inlineStr"/>
      <c r="U196" t="inlineStr"/>
      <c r="V196" t="inlineStr"/>
    </row>
    <row r="197">
      <c r="A197" s="2" t="n">
        <v>46176</v>
      </c>
      <c r="B197" t="n">
        <v>54</v>
      </c>
      <c r="C197" t="inlineStr">
        <is>
          <t>SCM/1351/G/2025-2026</t>
        </is>
      </c>
      <c r="D197" s="2" t="n">
        <v>46176</v>
      </c>
      <c r="E197" s="2" t="n">
        <v>46212</v>
      </c>
      <c r="F197" t="inlineStr">
        <is>
          <t>11:00</t>
        </is>
      </c>
      <c r="G197" t="inlineStr">
        <is>
          <t>Request for Quotation</t>
        </is>
      </c>
      <c r="H197" t="inlineStr">
        <is>
          <t>SUPPLY AND DELIVERY OF WATER METERS, METER INTERFACE UNIT’S AND RELATED MATERIALS</t>
        </is>
      </c>
      <c r="I197" t="inlineStr">
        <is>
          <t>ETENDERS.GOV.ZA</t>
        </is>
      </c>
      <c r="J197" t="inlineStr">
        <is>
          <t>Nelson Mandela Bay Municipality</t>
        </is>
      </c>
      <c r="K197" t="inlineStr">
        <is>
          <t>Eastern Cape</t>
        </is>
      </c>
      <c r="L197" t="inlineStr">
        <is>
          <t>No</t>
        </is>
      </c>
      <c r="M197" t="inlineStr">
        <is>
          <t>Supplies: General</t>
        </is>
      </c>
      <c r="N197" t="inlineStr">
        <is>
          <t>No</t>
        </is>
      </c>
      <c r="O197" t="inlineStr">
        <is>
          <t>No</t>
        </is>
      </c>
      <c r="P197" t="inlineStr">
        <is>
          <t>N/A</t>
        </is>
      </c>
      <c r="Q197" s="3" t="inlineStr">
        <is>
          <t>https://www.etenders.gov.za/home/Download/?blobName=33abc6f1-726c-4f15-9978-53f8b0bf12e6.pdf&amp;downloadedFileName=Advert%2003-06-2026._%20(002).pdf</t>
        </is>
      </c>
      <c r="R197" t="inlineStr"/>
      <c r="S197" t="inlineStr"/>
      <c r="T197" t="inlineStr"/>
      <c r="U197" t="inlineStr"/>
      <c r="V197" t="inlineStr"/>
    </row>
    <row r="198">
      <c r="A198" s="2" t="n">
        <v>46176</v>
      </c>
      <c r="B198" t="n">
        <v>53</v>
      </c>
      <c r="C198" t="inlineStr">
        <is>
          <t>SCM/1347/G/2025-2026</t>
        </is>
      </c>
      <c r="D198" s="2" t="n">
        <v>46176</v>
      </c>
      <c r="E198" s="2" t="n">
        <v>46212</v>
      </c>
      <c r="F198" t="inlineStr">
        <is>
          <t>11:00</t>
        </is>
      </c>
      <c r="G198" t="inlineStr">
        <is>
          <t>Request for Quotation</t>
        </is>
      </c>
      <c r="H198" t="inlineStr">
        <is>
          <t>EXPRESSION OF INTEREST (EOI) FOR THE SUPPLY AND DELIVERY OF VARIOUS CLEANING MATERIAL</t>
        </is>
      </c>
      <c r="I198" t="inlineStr">
        <is>
          <t>ETENDERS.GOV.ZA</t>
        </is>
      </c>
      <c r="J198" t="inlineStr">
        <is>
          <t>Nelson Mandela Bay Municipality</t>
        </is>
      </c>
      <c r="K198" t="inlineStr">
        <is>
          <t>Eastern Cape</t>
        </is>
      </c>
      <c r="L198" t="inlineStr">
        <is>
          <t>No</t>
        </is>
      </c>
      <c r="M198" t="inlineStr">
        <is>
          <t>Supplies: General</t>
        </is>
      </c>
      <c r="N198" t="inlineStr">
        <is>
          <t>No</t>
        </is>
      </c>
      <c r="O198" t="inlineStr">
        <is>
          <t>No</t>
        </is>
      </c>
      <c r="P198" t="inlineStr">
        <is>
          <t>N/A</t>
        </is>
      </c>
      <c r="Q198" s="3" t="inlineStr">
        <is>
          <t>https://www.etenders.gov.za/home/Download/?blobName=83486909-49d5-41af-947c-03b771ff9ff0.pdf&amp;downloadedFileName=Advert%2003-06-2026._%20(002).pdf</t>
        </is>
      </c>
      <c r="R198" t="inlineStr"/>
      <c r="S198" t="inlineStr"/>
      <c r="T198" t="inlineStr"/>
      <c r="U198" t="inlineStr"/>
      <c r="V198" t="inlineStr"/>
    </row>
    <row r="199">
      <c r="A199" s="2" t="n">
        <v>46176</v>
      </c>
      <c r="B199" t="n">
        <v>52</v>
      </c>
      <c r="C199" t="inlineStr">
        <is>
          <t>RFQ 042 2026/27</t>
        </is>
      </c>
      <c r="D199" s="2" t="n">
        <v>46176</v>
      </c>
      <c r="E199" s="2" t="n">
        <v>46185</v>
      </c>
      <c r="F199" t="inlineStr">
        <is>
          <t>16:00</t>
        </is>
      </c>
      <c r="G199" t="inlineStr">
        <is>
          <t>Request for Quotation</t>
        </is>
      </c>
      <c r="H199" t="inlineStr">
        <is>
          <t>Appointment for a service provider to provide Television Commercial Production (TVC) to the Special Investigating Unit (SIU)</t>
        </is>
      </c>
      <c r="I199" t="inlineStr">
        <is>
          <t>ETENDERS.GOV.ZA</t>
        </is>
      </c>
      <c r="J199" t="inlineStr">
        <is>
          <t>Special Investigation Unit</t>
        </is>
      </c>
      <c r="K199" t="inlineStr">
        <is>
          <t>Gauteng</t>
        </is>
      </c>
      <c r="L199" t="inlineStr">
        <is>
          <t>No</t>
        </is>
      </c>
      <c r="M199" t="inlineStr">
        <is>
          <t>Employment activities</t>
        </is>
      </c>
      <c r="N199" t="inlineStr">
        <is>
          <t>Yes</t>
        </is>
      </c>
      <c r="O199" t="inlineStr">
        <is>
          <t>Yes</t>
        </is>
      </c>
      <c r="P199" t="inlineStr">
        <is>
          <t>The Special Investigating Unit, Rentmeester Building, 74 Watermeyer street, Meyersparpark, Pretori</t>
        </is>
      </c>
      <c r="Q199" s="3" t="inlineStr">
        <is>
          <t>https://www.etenders.gov.za/home/Download/?blobName=e43eb197-5c6b-4260-8e92-1b8358ee7f7b.pdf&amp;downloadedFileName=Script%20Guide%20for%20SIU%20TVC.pdf</t>
        </is>
      </c>
      <c r="R199" t="inlineStr"/>
      <c r="S199" t="inlineStr"/>
      <c r="T199" t="inlineStr"/>
      <c r="U199" t="inlineStr"/>
      <c r="V199" t="inlineStr"/>
    </row>
    <row r="200">
      <c r="A200" s="2" t="n">
        <v>46176</v>
      </c>
      <c r="B200" t="n">
        <v>51</v>
      </c>
      <c r="C200" t="inlineStr">
        <is>
          <t>UMZ/2026-27/INFRA/CAP/001</t>
        </is>
      </c>
      <c r="D200" s="2" t="n">
        <v>46176</v>
      </c>
      <c r="E200" s="2" t="n">
        <v>46191</v>
      </c>
      <c r="F200" t="inlineStr">
        <is>
          <t>12:00</t>
        </is>
      </c>
      <c r="G200" t="inlineStr">
        <is>
          <t>Request for Bid(Open-Tender)</t>
        </is>
      </c>
      <c r="H200" t="inlineStr">
        <is>
          <t>MALENGE ACCESS ROAD MAINTENANCE</t>
        </is>
      </c>
      <c r="I200" t="inlineStr">
        <is>
          <t>ETENDERS.GOV.ZA</t>
        </is>
      </c>
      <c r="J200" t="inlineStr">
        <is>
          <t>Umzimvubu Local Municipality</t>
        </is>
      </c>
      <c r="K200" t="inlineStr">
        <is>
          <t>Eastern Cape</t>
        </is>
      </c>
      <c r="L200" t="inlineStr">
        <is>
          <t>No</t>
        </is>
      </c>
      <c r="M200" t="inlineStr">
        <is>
          <t>Construction</t>
        </is>
      </c>
      <c r="N200" t="inlineStr">
        <is>
          <t>Yes</t>
        </is>
      </c>
      <c r="O200" t="inlineStr">
        <is>
          <t>Yes</t>
        </is>
      </c>
      <c r="P200" t="inlineStr">
        <is>
          <t>EMAXESIBENI OFFICES UMZIMVUBU LOCAL MUNICIPALITY</t>
        </is>
      </c>
      <c r="Q200" s="3" t="inlineStr">
        <is>
          <t>https://www.etenders.gov.za/home/Download/?blobName=e49f403b-0f51-44fe-b515-dbfa9498f84f.pdf&amp;downloadedFileName=ADVERT%20FOR%20FOR%20MALENGE%20ACCESS%20ROAD%20MAINTENANCE.pdf</t>
        </is>
      </c>
      <c r="R200" t="inlineStr"/>
      <c r="S200" t="inlineStr"/>
      <c r="T200" t="inlineStr"/>
      <c r="U200" t="inlineStr"/>
      <c r="V200" t="inlineStr"/>
    </row>
    <row r="201">
      <c r="A201" s="2" t="n">
        <v>46176</v>
      </c>
      <c r="B201" t="n">
        <v>50</v>
      </c>
      <c r="C201" t="inlineStr">
        <is>
          <t>UMZ/2026-27/INFRA/CAP/005</t>
        </is>
      </c>
      <c r="D201" s="2" t="n">
        <v>46176</v>
      </c>
      <c r="E201" s="2" t="n">
        <v>46191</v>
      </c>
      <c r="F201" t="inlineStr">
        <is>
          <t>12:00</t>
        </is>
      </c>
      <c r="G201" t="inlineStr">
        <is>
          <t>Request for Bid(Open-Tender)</t>
        </is>
      </c>
      <c r="H201" t="inlineStr">
        <is>
          <t>NGWEKAZANA ACCESS ROAD MAINTENANCE</t>
        </is>
      </c>
      <c r="I201" t="inlineStr">
        <is>
          <t>ETENDERS.GOV.ZA</t>
        </is>
      </c>
      <c r="J201" t="inlineStr">
        <is>
          <t>Umzimvubu Local Municipality</t>
        </is>
      </c>
      <c r="K201" t="inlineStr">
        <is>
          <t>Eastern Cape</t>
        </is>
      </c>
      <c r="L201" t="inlineStr">
        <is>
          <t>No</t>
        </is>
      </c>
      <c r="M201" t="inlineStr">
        <is>
          <t>Construction</t>
        </is>
      </c>
      <c r="N201" t="inlineStr">
        <is>
          <t>Yes</t>
        </is>
      </c>
      <c r="O201" t="inlineStr">
        <is>
          <t>Yes</t>
        </is>
      </c>
      <c r="P201" t="inlineStr">
        <is>
          <t>EMAXESIBENI OFFICES UMZIMVUBU LOCAL MUNICIPALITY</t>
        </is>
      </c>
      <c r="Q201" s="3" t="inlineStr">
        <is>
          <t>https://www.etenders.gov.za/home/Download/?blobName=516a92f0-0ec5-43bb-b57f-8cf99c6a41e0.pdf&amp;downloadedFileName=ADVERT%20FOR%20NGWEKAZANA%20ACCESSS%20ROAD%20MAINTENANCE.pdf</t>
        </is>
      </c>
      <c r="R201" t="inlineStr"/>
      <c r="S201" t="inlineStr"/>
      <c r="T201" t="inlineStr"/>
      <c r="U201" t="inlineStr"/>
      <c r="V201" t="inlineStr"/>
    </row>
    <row r="202">
      <c r="A202" s="2" t="n">
        <v>46176</v>
      </c>
      <c r="B202" t="n">
        <v>49</v>
      </c>
      <c r="C202" t="inlineStr">
        <is>
          <t>UMZ/2026-27/INFRA/CAP/003</t>
        </is>
      </c>
      <c r="D202" s="2" t="n">
        <v>46176</v>
      </c>
      <c r="E202" s="2" t="n">
        <v>46192</v>
      </c>
      <c r="F202" t="inlineStr">
        <is>
          <t>12:00</t>
        </is>
      </c>
      <c r="G202" t="inlineStr">
        <is>
          <t>Request for Bid(Open-Tender)</t>
        </is>
      </c>
      <c r="H202" t="inlineStr">
        <is>
          <t>QADU ACCESS ROAD MAINTENANCE</t>
        </is>
      </c>
      <c r="I202" t="inlineStr">
        <is>
          <t>ETENDERS.GOV.ZA</t>
        </is>
      </c>
      <c r="J202" t="inlineStr">
        <is>
          <t>Umzimvubu Local Municipality</t>
        </is>
      </c>
      <c r="K202" t="inlineStr">
        <is>
          <t>Eastern Cape</t>
        </is>
      </c>
      <c r="L202" t="inlineStr">
        <is>
          <t>No</t>
        </is>
      </c>
      <c r="M202" t="inlineStr">
        <is>
          <t>Construction</t>
        </is>
      </c>
      <c r="N202" t="inlineStr">
        <is>
          <t>Yes</t>
        </is>
      </c>
      <c r="O202" t="inlineStr">
        <is>
          <t>Yes</t>
        </is>
      </c>
      <c r="P202" t="inlineStr">
        <is>
          <t>EMAXESIBENI OFFICES UMZIMVUBU LOCAL MUNICIPALITY</t>
        </is>
      </c>
      <c r="Q202" s="3" t="inlineStr">
        <is>
          <t>https://www.etenders.gov.za/home/Download/?blobName=90076e25-6b7d-4363-879e-3c7a8d048fef.pdf&amp;downloadedFileName=ADVERT%20FOR%20QADU%20ACCESS%20ROAD%20MAINTENANCE.pdf</t>
        </is>
      </c>
      <c r="R202" t="inlineStr"/>
      <c r="S202" t="inlineStr"/>
      <c r="T202" t="inlineStr"/>
      <c r="U202" t="inlineStr"/>
      <c r="V202" t="inlineStr"/>
    </row>
    <row r="203">
      <c r="A203" s="2" t="n">
        <v>46176</v>
      </c>
      <c r="B203" t="n">
        <v>48</v>
      </c>
      <c r="C203" t="inlineStr">
        <is>
          <t>0010568073</t>
        </is>
      </c>
      <c r="D203" s="2" t="n">
        <v>46176</v>
      </c>
      <c r="E203" s="2" t="n">
        <v>46198</v>
      </c>
      <c r="F203" t="inlineStr">
        <is>
          <t>11:00</t>
        </is>
      </c>
      <c r="G203" t="inlineStr">
        <is>
          <t>Request for Bid(Open-Tender)</t>
        </is>
      </c>
      <c r="H203" t="inlineStr">
        <is>
          <t>HOME VISIT BALLOT BOX 5 CARDBOARD</t>
        </is>
      </c>
      <c r="I203" t="inlineStr">
        <is>
          <t>ETENDERS.GOV.ZA</t>
        </is>
      </c>
      <c r="J203" t="inlineStr">
        <is>
          <t>Electoral Commission (IEC)</t>
        </is>
      </c>
      <c r="K203" t="inlineStr">
        <is>
          <t>National</t>
        </is>
      </c>
      <c r="L203" t="inlineStr">
        <is>
          <t>No</t>
        </is>
      </c>
      <c r="M203" t="inlineStr">
        <is>
          <t>Supplies: General</t>
        </is>
      </c>
      <c r="N203" t="inlineStr">
        <is>
          <t>Yes</t>
        </is>
      </c>
      <c r="O203" t="inlineStr">
        <is>
          <t>No</t>
        </is>
      </c>
      <c r="P203" t="inlineStr">
        <is>
          <t>Riverside Office Park,Election House, 1303 Heuwel Avenue, Centurion</t>
        </is>
      </c>
      <c r="Q203" s="3" t="inlineStr">
        <is>
          <t>https://www.etenders.gov.za/home/Download/?blobName=5b8410a3-9531-48c8-88b9-c747bb5c75e2.pdf&amp;downloadedFileName=Bid%20Specifications%20{Cardboard%20Home%20Visit%20Ballot%20Box}.pdf</t>
        </is>
      </c>
      <c r="R203" t="inlineStr"/>
      <c r="S203" t="inlineStr"/>
      <c r="T203" t="inlineStr"/>
      <c r="U203" t="inlineStr"/>
      <c r="V203" t="inlineStr"/>
    </row>
    <row r="204">
      <c r="A204" s="2" t="n">
        <v>46176</v>
      </c>
      <c r="B204" t="n">
        <v>47</v>
      </c>
      <c r="C204" t="inlineStr">
        <is>
          <t>EHC/STOVES/2026</t>
        </is>
      </c>
      <c r="D204" s="2" t="n">
        <v>46176</v>
      </c>
      <c r="E204" s="2" t="n">
        <v>46184</v>
      </c>
      <c r="F204" t="inlineStr">
        <is>
          <t>11:00</t>
        </is>
      </c>
      <c r="G204" t="inlineStr">
        <is>
          <t>Request for Quotation</t>
        </is>
      </c>
      <c r="H204" t="inlineStr">
        <is>
          <t>The service provider shall supply only X 15 of Defy hob 600 slimline 4 plate stove with control switches. Do a site visit to ensure correctness of the requirement.</t>
        </is>
      </c>
      <c r="I204" t="inlineStr">
        <is>
          <t>ETENDERS.GOV.ZA</t>
        </is>
      </c>
      <c r="J204" t="inlineStr">
        <is>
          <t>Ekurhuieni Housing Company</t>
        </is>
      </c>
      <c r="K204" t="inlineStr">
        <is>
          <t>Gauteng</t>
        </is>
      </c>
      <c r="L204" t="inlineStr">
        <is>
          <t>No</t>
        </is>
      </c>
      <c r="M204" t="inlineStr">
        <is>
          <t>Electricity, gas, steam and air conditioning</t>
        </is>
      </c>
      <c r="N204" t="inlineStr">
        <is>
          <t>No</t>
        </is>
      </c>
      <c r="O204" t="inlineStr">
        <is>
          <t>No</t>
        </is>
      </c>
      <c r="P204" t="inlineStr">
        <is>
          <t>N/A</t>
        </is>
      </c>
      <c r="Q204" s="3" t="inlineStr">
        <is>
          <t>https://www.etenders.gov.za/home/Download/?blobName=e388c016-5751-4024-af1a-ba4fcaefa661.pdf&amp;downloadedFileName=etender%20advert%2015%20Defy%20stoves.pdf</t>
        </is>
      </c>
      <c r="R204" t="inlineStr"/>
      <c r="S204" t="inlineStr"/>
      <c r="T204" t="inlineStr"/>
      <c r="U204" t="inlineStr"/>
      <c r="V204" t="inlineStr"/>
    </row>
    <row r="205">
      <c r="A205" s="2" t="n">
        <v>46176</v>
      </c>
      <c r="B205" t="n">
        <v>46</v>
      </c>
      <c r="C205" t="inlineStr">
        <is>
          <t>NRWDI/COMPL/2026-02</t>
        </is>
      </c>
      <c r="D205" s="2" t="n">
        <v>46176</v>
      </c>
      <c r="E205" s="2" t="n">
        <v>46182</v>
      </c>
      <c r="F205" t="inlineStr">
        <is>
          <t>17:00</t>
        </is>
      </c>
      <c r="G205" t="inlineStr">
        <is>
          <t>Request for Quotation</t>
        </is>
      </c>
      <c r="H205" t="inlineStr">
        <is>
          <t>Provision of Advance Driving Training</t>
        </is>
      </c>
      <c r="I205" t="inlineStr">
        <is>
          <t>ETENDERS.GOV.ZA</t>
        </is>
      </c>
      <c r="J205" t="inlineStr">
        <is>
          <t>National Radioactive Waste Disposal Institute (NRWDI)</t>
        </is>
      </c>
      <c r="K205" t="inlineStr">
        <is>
          <t>North West</t>
        </is>
      </c>
      <c r="L205" t="inlineStr">
        <is>
          <t>No</t>
        </is>
      </c>
      <c r="M205" t="inlineStr">
        <is>
          <t>Administrative and support activities</t>
        </is>
      </c>
      <c r="N205" t="inlineStr">
        <is>
          <t>No</t>
        </is>
      </c>
      <c r="O205" t="inlineStr">
        <is>
          <t>No</t>
        </is>
      </c>
      <c r="P205" t="inlineStr">
        <is>
          <t>N/A</t>
        </is>
      </c>
      <c r="Q205" s="3" t="inlineStr">
        <is>
          <t>https://www.etenders.gov.za/home/Download/?blobName=d04ee8f3-2bfa-4be0-a0a2-d2ad3174c212.pdf&amp;downloadedFileName=RFQ%20,,.pdf</t>
        </is>
      </c>
      <c r="R205" t="inlineStr"/>
      <c r="S205" t="inlineStr"/>
      <c r="T205" t="inlineStr"/>
      <c r="U205" t="inlineStr"/>
      <c r="V205" t="inlineStr"/>
    </row>
    <row r="206">
      <c r="A206" s="2" t="n">
        <v>46176</v>
      </c>
      <c r="B206" t="n">
        <v>45</v>
      </c>
      <c r="C206" t="inlineStr">
        <is>
          <t>SPSC-B-003-2026</t>
        </is>
      </c>
      <c r="D206" s="2" t="n">
        <v>46176</v>
      </c>
      <c r="E206" s="2" t="n">
        <v>46198</v>
      </c>
      <c r="F206" t="inlineStr">
        <is>
          <t>11:00</t>
        </is>
      </c>
      <c r="G206" t="inlineStr">
        <is>
          <t>Request for Bid(Open-Tender)</t>
        </is>
      </c>
      <c r="H206" t="inlineStr">
        <is>
          <t>THE SUPPLY, DELIVERY, INSTALLATION, DEMONSTRATION AND TRAINING OF PERSONNEL FOR A ZEISS IOL MASTER 700 OPTICAL BIOMETER OR EQUIVALENT WITH INSTRUMENT TABLE,INCLUDING A THREE (3) YEAR SERVICE AND MAINTENANCE CONTRACT COMMENCING AFTER OEM WARRANTY EXPIRY DOD PROC PLAN 2627/SAMHS/3140AND FOR A COMPLETE ZEISS VISULUS 532 COMBI YAG/SLT OPHTHALMIC LASER SYSTEM OR EQUIVALENT, INCLUDING A THREE (3) YEAR SERVICE AND MAINTEANCE CONTRACT COMMENCING AFTER OEM WARRANTY EXPIRY FOR 2 MILITARY HOSPITAL, WYNBERG, CAPE TOWN DOD PROC PLAN 2627/SAMHS/3137</t>
        </is>
      </c>
      <c r="I206" t="inlineStr">
        <is>
          <t>ETENDERS.GOV.ZA</t>
        </is>
      </c>
      <c r="J206" t="inlineStr">
        <is>
          <t>Defence</t>
        </is>
      </c>
      <c r="K206" t="inlineStr">
        <is>
          <t>Western Cape</t>
        </is>
      </c>
      <c r="L206" t="inlineStr">
        <is>
          <t>No</t>
        </is>
      </c>
      <c r="M206" t="inlineStr">
        <is>
          <t>Supplies: Medical</t>
        </is>
      </c>
      <c r="N206" t="inlineStr">
        <is>
          <t>No</t>
        </is>
      </c>
      <c r="O206" t="inlineStr">
        <is>
          <t>No</t>
        </is>
      </c>
      <c r="P206" t="inlineStr">
        <is>
          <t>N/A</t>
        </is>
      </c>
      <c r="Q206" s="3" t="inlineStr">
        <is>
          <t>https://www.etenders.gov.za/home/Download/?blobName=1917be4f-2580-42b9-9902-c83d4d0819ac.pdf&amp;downloadedFileName=SPSC%20B%20003%2026.pdf</t>
        </is>
      </c>
      <c r="R206" t="inlineStr"/>
      <c r="S206" t="inlineStr"/>
      <c r="T206" t="inlineStr"/>
      <c r="U206" t="inlineStr"/>
      <c r="V206" t="inlineStr"/>
    </row>
    <row r="207">
      <c r="A207" s="2" t="n">
        <v>46176</v>
      </c>
      <c r="B207" t="n">
        <v>44</v>
      </c>
      <c r="C207" t="inlineStr">
        <is>
          <t>POS9711</t>
        </is>
      </c>
      <c r="D207" s="2" t="n">
        <v>46176</v>
      </c>
      <c r="E207" s="2" t="n">
        <v>46181</v>
      </c>
      <c r="F207" t="inlineStr">
        <is>
          <t>09:00</t>
        </is>
      </c>
      <c r="G207" t="inlineStr">
        <is>
          <t>Request for Quotation</t>
        </is>
      </c>
      <c r="H207" t="inlineStr">
        <is>
          <t>Solvents</t>
        </is>
      </c>
      <c r="I207" t="inlineStr">
        <is>
          <t>ETENDERS.GOV.ZA</t>
        </is>
      </c>
      <c r="J207" t="inlineStr">
        <is>
          <t>Technology Innovation Agency</t>
        </is>
      </c>
      <c r="K207" t="inlineStr">
        <is>
          <t>KwaZulu-Natal</t>
        </is>
      </c>
      <c r="L207" t="inlineStr">
        <is>
          <t>No</t>
        </is>
      </c>
      <c r="M207" t="inlineStr">
        <is>
          <t>Manufacture of chemicals and chemical products</t>
        </is>
      </c>
      <c r="N207" t="inlineStr">
        <is>
          <t>No</t>
        </is>
      </c>
      <c r="O207" t="inlineStr">
        <is>
          <t>No</t>
        </is>
      </c>
      <c r="P207" t="inlineStr">
        <is>
          <t>N/A</t>
        </is>
      </c>
      <c r="Q207" s="3" t="inlineStr">
        <is>
          <t>https://www.etenders.gov.za/home/Download/?blobName=baec54a8-e9b0-4073-8e21-17d6649224ac.docx&amp;downloadedFileName=POS9771.docx</t>
        </is>
      </c>
      <c r="R207" t="inlineStr"/>
      <c r="S207" t="inlineStr"/>
      <c r="T207" t="inlineStr"/>
      <c r="U207" t="inlineStr"/>
      <c r="V207" t="inlineStr"/>
    </row>
    <row r="208">
      <c r="A208" s="2" t="n">
        <v>46176</v>
      </c>
      <c r="B208" t="n">
        <v>43</v>
      </c>
      <c r="C208" t="inlineStr">
        <is>
          <t>POS9772</t>
        </is>
      </c>
      <c r="D208" s="2" t="n">
        <v>46176</v>
      </c>
      <c r="E208" s="2" t="n">
        <v>46181</v>
      </c>
      <c r="F208" t="inlineStr">
        <is>
          <t>09:00</t>
        </is>
      </c>
      <c r="G208" t="inlineStr">
        <is>
          <t>Request for Quotation</t>
        </is>
      </c>
      <c r="H208" t="inlineStr">
        <is>
          <t>Special chemicals</t>
        </is>
      </c>
      <c r="I208" t="inlineStr">
        <is>
          <t>ETENDERS.GOV.ZA</t>
        </is>
      </c>
      <c r="J208" t="inlineStr">
        <is>
          <t>Technology Innovation Agency</t>
        </is>
      </c>
      <c r="K208" t="inlineStr">
        <is>
          <t>KwaZulu-Natal</t>
        </is>
      </c>
      <c r="L208" t="inlineStr">
        <is>
          <t>No</t>
        </is>
      </c>
      <c r="M208" t="inlineStr">
        <is>
          <t>Manufacture of chemicals and chemical products</t>
        </is>
      </c>
      <c r="N208" t="inlineStr">
        <is>
          <t>No</t>
        </is>
      </c>
      <c r="O208" t="inlineStr">
        <is>
          <t>No</t>
        </is>
      </c>
      <c r="P208" t="inlineStr">
        <is>
          <t>N/A</t>
        </is>
      </c>
      <c r="Q208" s="3" t="inlineStr">
        <is>
          <t>https://www.etenders.gov.za/home/Download/?blobName=d5a6413a-0ecc-4802-b148-1a1b3243e575.docx&amp;downloadedFileName=POS9772.docx</t>
        </is>
      </c>
      <c r="R208" t="inlineStr"/>
      <c r="S208" t="inlineStr"/>
      <c r="T208" t="inlineStr"/>
      <c r="U208" t="inlineStr"/>
      <c r="V208" t="inlineStr"/>
    </row>
    <row r="209">
      <c r="A209" s="2" t="n">
        <v>46176</v>
      </c>
      <c r="B209" t="n">
        <v>42</v>
      </c>
      <c r="C209" t="inlineStr">
        <is>
          <t>DOT-HO-26/27-0015</t>
        </is>
      </c>
      <c r="D209" s="2" t="n">
        <v>46176</v>
      </c>
      <c r="E209" s="2" t="n">
        <v>46185</v>
      </c>
      <c r="F209" t="inlineStr">
        <is>
          <t>11:00</t>
        </is>
      </c>
      <c r="G209" t="inlineStr">
        <is>
          <t>Request for Bid(Open-Tender)</t>
        </is>
      </c>
      <c r="H209" t="inlineStr">
        <is>
          <t>APPOINTMENT OF A SERVICE PROVIDER TO CONDUCT VERIFICATRION OF PROSPECTIVE EMPLOYEES’ CREDENTIALS</t>
        </is>
      </c>
      <c r="I209" t="inlineStr">
        <is>
          <t>ETENDERS.GOV.ZA</t>
        </is>
      </c>
      <c r="J209" t="inlineStr">
        <is>
          <t>Eastern Cape - Transport</t>
        </is>
      </c>
      <c r="K209" t="inlineStr">
        <is>
          <t>Eastern Cape</t>
        </is>
      </c>
      <c r="L209" t="inlineStr">
        <is>
          <t>No</t>
        </is>
      </c>
      <c r="M209" t="inlineStr">
        <is>
          <t>Administrative and support activities</t>
        </is>
      </c>
      <c r="N209" t="inlineStr">
        <is>
          <t>Yes</t>
        </is>
      </c>
      <c r="O209" t="inlineStr">
        <is>
          <t>Yes</t>
        </is>
      </c>
      <c r="P209" t="inlineStr">
        <is>
          <t>https://teams.microsoft.com/meet/318301760096268?p=idjoUoJ1ibO3ZlC0mf</t>
        </is>
      </c>
      <c r="Q209" s="3" t="inlineStr">
        <is>
          <t>https://www.etenders.gov.za/home/Download/?blobName=5c12e01d-0566-4132-bdb3-d606049e780b.pdf&amp;downloadedFileName=Verification%20of%20Employees.pdf</t>
        </is>
      </c>
      <c r="R209" t="inlineStr"/>
      <c r="S209" t="inlineStr"/>
      <c r="T209" t="inlineStr"/>
      <c r="U209" t="inlineStr"/>
      <c r="V209" t="inlineStr"/>
    </row>
    <row r="210">
      <c r="A210" s="2" t="n">
        <v>46176</v>
      </c>
      <c r="B210" t="n">
        <v>41</v>
      </c>
      <c r="C210" t="inlineStr">
        <is>
          <t>iLABS/RFQ 2026/27:35</t>
        </is>
      </c>
      <c r="D210" s="2" t="n">
        <v>46176</v>
      </c>
      <c r="E210" s="2" t="n">
        <v>46183</v>
      </c>
      <c r="F210" t="inlineStr">
        <is>
          <t>11:00</t>
        </is>
      </c>
      <c r="G210" t="inlineStr">
        <is>
          <t>Request for Quotation</t>
        </is>
      </c>
      <c r="H210" t="inlineStr">
        <is>
          <t>Metalised (Alu.) PET 100 µm thick x 12mm wide, non- adhesive tape. core diameter 76mm length per reel 480m</t>
        </is>
      </c>
      <c r="I210" t="inlineStr">
        <is>
          <t>ETENDERS.GOV.ZA</t>
        </is>
      </c>
      <c r="J210" t="inlineStr">
        <is>
          <t>National Research Foundation</t>
        </is>
      </c>
      <c r="K210" t="inlineStr">
        <is>
          <t>Western Cape</t>
        </is>
      </c>
      <c r="L210" t="inlineStr">
        <is>
          <t>No</t>
        </is>
      </c>
      <c r="M210" t="inlineStr">
        <is>
          <t>Scientific research and development</t>
        </is>
      </c>
      <c r="N210" t="inlineStr">
        <is>
          <t>No</t>
        </is>
      </c>
      <c r="O210" t="inlineStr">
        <is>
          <t>No</t>
        </is>
      </c>
      <c r="P210" t="inlineStr">
        <is>
          <t>N/A</t>
        </is>
      </c>
      <c r="Q210" s="3" t="inlineStr">
        <is>
          <t>https://www.etenders.gov.za/home/Download/?blobName=5138dbd9-3959-4838-8dcb-5f245c7c5071.pdf&amp;downloadedFileName=RFQ%20for%20Metalise.pdf</t>
        </is>
      </c>
      <c r="R210" t="inlineStr"/>
      <c r="S210" t="inlineStr"/>
      <c r="T210" t="inlineStr"/>
      <c r="U210" t="inlineStr"/>
      <c r="V210" t="inlineStr"/>
    </row>
    <row r="211">
      <c r="A211" s="2" t="n">
        <v>46176</v>
      </c>
      <c r="B211" t="n">
        <v>40</v>
      </c>
      <c r="C211" t="inlineStr">
        <is>
          <t>GMT055/25-26</t>
        </is>
      </c>
      <c r="D211" s="2" t="n">
        <v>46176</v>
      </c>
      <c r="E211" s="2" t="n">
        <v>46209</v>
      </c>
      <c r="F211" t="inlineStr">
        <is>
          <t>12:00</t>
        </is>
      </c>
      <c r="G211" t="inlineStr">
        <is>
          <t>Request for Bid(Open-Tender)</t>
        </is>
      </c>
      <c r="H211" t="inlineStr">
        <is>
          <t>TENDER FOR THE APPOINTMENT OF A SERVICE PROVIDER FOR THE READING OF WATER AND ELECTRICITY METERS AND PROVISION OF OTHER METER RELATED SERVICES ON BEHALF OF GEORGE MUNICIPALITY FROM DATE OF APPOINTMENT UNTIL 30 JUNE 2029.</t>
        </is>
      </c>
      <c r="I211" t="inlineStr">
        <is>
          <t>ETENDERS.GOV.ZA</t>
        </is>
      </c>
      <c r="J211" t="inlineStr">
        <is>
          <t>George Municipality</t>
        </is>
      </c>
      <c r="K211" t="inlineStr">
        <is>
          <t>Western Cape</t>
        </is>
      </c>
      <c r="L211" t="inlineStr">
        <is>
          <t>No</t>
        </is>
      </c>
      <c r="M211" t="inlineStr">
        <is>
          <t>Information service activities</t>
        </is>
      </c>
      <c r="N211" t="inlineStr">
        <is>
          <t>No</t>
        </is>
      </c>
      <c r="O211" t="inlineStr">
        <is>
          <t>No</t>
        </is>
      </c>
      <c r="P211" t="inlineStr">
        <is>
          <t>N/A</t>
        </is>
      </c>
      <c r="Q211" s="3" t="inlineStr">
        <is>
          <t>https://www.etenders.gov.za/home/Download/?blobName=85f97308-049f-4dcb-9f54-6e6491329bd7.pdf&amp;downloadedFileName=ADVERT_GMT055%20%2025%2026.pdf</t>
        </is>
      </c>
      <c r="R211" t="inlineStr"/>
      <c r="S211" t="inlineStr"/>
      <c r="T211" t="inlineStr"/>
      <c r="U211" t="inlineStr"/>
      <c r="V211" t="inlineStr"/>
    </row>
    <row r="212">
      <c r="A212" s="2" t="n">
        <v>46176</v>
      </c>
      <c r="B212" t="n">
        <v>39</v>
      </c>
      <c r="C212" t="inlineStr">
        <is>
          <t>POS9805</t>
        </is>
      </c>
      <c r="D212" s="2" t="n">
        <v>46176</v>
      </c>
      <c r="E212" s="2" t="n">
        <v>46185</v>
      </c>
      <c r="F212" t="inlineStr">
        <is>
          <t>09:00</t>
        </is>
      </c>
      <c r="G212" t="inlineStr">
        <is>
          <t>Request for Quotation</t>
        </is>
      </c>
      <c r="H212" t="inlineStr">
        <is>
          <t>HYLAND SHAREBASE LICENCES X 100</t>
        </is>
      </c>
      <c r="I212" t="inlineStr">
        <is>
          <t>ETENDERS.GOV.ZA</t>
        </is>
      </c>
      <c r="J212" t="inlineStr">
        <is>
          <t>Technology Innovation Agency</t>
        </is>
      </c>
      <c r="K212" t="inlineStr">
        <is>
          <t>National</t>
        </is>
      </c>
      <c r="L212" t="inlineStr">
        <is>
          <t>No</t>
        </is>
      </c>
      <c r="M212" t="inlineStr">
        <is>
          <t>Information and communication</t>
        </is>
      </c>
      <c r="N212" t="inlineStr">
        <is>
          <t>No</t>
        </is>
      </c>
      <c r="O212" t="inlineStr">
        <is>
          <t>No</t>
        </is>
      </c>
      <c r="P212" t="inlineStr">
        <is>
          <t>N/A</t>
        </is>
      </c>
      <c r="Q212" s="3" t="inlineStr">
        <is>
          <t>https://www.etenders.gov.za/home/Download/?blobName=2fbc572d-7dda-40be-b0b7-00ff5b7ff2cb.docx&amp;downloadedFileName=POS9805.docx</t>
        </is>
      </c>
      <c r="R212" t="inlineStr"/>
      <c r="S212" t="inlineStr"/>
      <c r="T212" t="inlineStr"/>
      <c r="U212" t="inlineStr"/>
      <c r="V212" t="inlineStr"/>
    </row>
    <row r="213">
      <c r="A213" s="2" t="n">
        <v>46176</v>
      </c>
      <c r="B213" t="n">
        <v>38</v>
      </c>
      <c r="C213" t="inlineStr">
        <is>
          <t>iLABS/RFQ 2026/27:36</t>
        </is>
      </c>
      <c r="D213" s="2" t="n">
        <v>46176</v>
      </c>
      <c r="E213" s="2" t="n">
        <v>46185</v>
      </c>
      <c r="F213" t="inlineStr">
        <is>
          <t>16:00</t>
        </is>
      </c>
      <c r="G213" t="inlineStr">
        <is>
          <t>Request for Quotation</t>
        </is>
      </c>
      <c r="H213" t="inlineStr">
        <is>
          <t>The provision of publishing services for the proceedings of Kruger2026 Conference for NRF iThemba LABS</t>
        </is>
      </c>
      <c r="I213" t="inlineStr">
        <is>
          <t>ETENDERS.GOV.ZA</t>
        </is>
      </c>
      <c r="J213" t="inlineStr">
        <is>
          <t>National Research Foundation</t>
        </is>
      </c>
      <c r="K213" t="inlineStr">
        <is>
          <t>Western Cape</t>
        </is>
      </c>
      <c r="L213" t="inlineStr">
        <is>
          <t>No</t>
        </is>
      </c>
      <c r="M213" t="inlineStr">
        <is>
          <t>Publishing activities</t>
        </is>
      </c>
      <c r="N213" t="inlineStr">
        <is>
          <t>No</t>
        </is>
      </c>
      <c r="O213" t="inlineStr">
        <is>
          <t>No</t>
        </is>
      </c>
      <c r="P213" t="inlineStr">
        <is>
          <t>N/A</t>
        </is>
      </c>
      <c r="Q213" s="3" t="inlineStr">
        <is>
          <t>https://www.etenders.gov.za/home/Download/?blobName=4731765a-dbf2-4e3e-bdcc-4501634cadff.pdf&amp;downloadedFileName=RFQ%20Proceedings%20Kruger%202026.pdf</t>
        </is>
      </c>
      <c r="R213" t="inlineStr"/>
      <c r="S213" t="inlineStr"/>
      <c r="T213" t="inlineStr"/>
      <c r="U213" t="inlineStr"/>
      <c r="V213" t="inlineStr"/>
    </row>
    <row r="214">
      <c r="A214" s="2" t="n">
        <v>46176</v>
      </c>
      <c r="B214" t="n">
        <v>37</v>
      </c>
      <c r="C214" t="inlineStr">
        <is>
          <t>SASSA:01-26-GA-FS</t>
        </is>
      </c>
      <c r="D214" s="2" t="n">
        <v>46176</v>
      </c>
      <c r="E214" s="2" t="n">
        <v>46197</v>
      </c>
      <c r="F214" t="inlineStr">
        <is>
          <t>11:00</t>
        </is>
      </c>
      <c r="G214" t="inlineStr">
        <is>
          <t>Request for Bid(Open-Tender)</t>
        </is>
      </c>
      <c r="H214" t="inlineStr">
        <is>
          <t>The South African Social Security Agency hereby invites proposals for appointment of a panel of service providers to supply and deliver school uniform for Free State Region for a period of thirty-six (36) months</t>
        </is>
      </c>
      <c r="I214" t="inlineStr">
        <is>
          <t>ETENDERS.GOV.ZA</t>
        </is>
      </c>
      <c r="J214" t="inlineStr">
        <is>
          <t>South African Social Security Agency</t>
        </is>
      </c>
      <c r="K214" t="inlineStr">
        <is>
          <t>Free State</t>
        </is>
      </c>
      <c r="L214" t="inlineStr">
        <is>
          <t>No</t>
        </is>
      </c>
      <c r="M214" t="inlineStr">
        <is>
          <t>Services: General</t>
        </is>
      </c>
      <c r="N214" t="inlineStr">
        <is>
          <t>Yes</t>
        </is>
      </c>
      <c r="O214" t="inlineStr">
        <is>
          <t>Yes</t>
        </is>
      </c>
      <c r="P214" t="inlineStr">
        <is>
          <t>As per notification attached</t>
        </is>
      </c>
      <c r="Q214" s="3" t="inlineStr">
        <is>
          <t>https://www.etenders.gov.za/home/Download/?blobName=3dcd4efc-9264-48e2-93cb-80a86551b764.zip&amp;downloadedFileName=INVITATION%20TO%20BID%20SASSA%2001-26-GA-FS.zip</t>
        </is>
      </c>
      <c r="R214" t="inlineStr"/>
      <c r="S214" t="inlineStr"/>
      <c r="T214" t="inlineStr"/>
      <c r="U214" t="inlineStr"/>
      <c r="V214" t="inlineStr"/>
    </row>
    <row r="215">
      <c r="A215" s="2" t="n">
        <v>46176</v>
      </c>
      <c r="B215" t="n">
        <v>36</v>
      </c>
      <c r="C215" t="inlineStr">
        <is>
          <t>GMA/001/26</t>
        </is>
      </c>
      <c r="D215" s="2" t="n">
        <v>46176</v>
      </c>
      <c r="E215" s="2" t="n">
        <v>46197</v>
      </c>
      <c r="F215" t="inlineStr">
        <is>
          <t>11:00</t>
        </is>
      </c>
      <c r="G215" t="inlineStr">
        <is>
          <t>Request for Proposal</t>
        </is>
      </c>
      <c r="H215" t="inlineStr">
        <is>
          <t>Request for Proposals for the supply and delivery of stationery to the GMA operated Driving Licence Testing Centres (DLTCs), on as and when required basis, for a period of Three (3) Years</t>
        </is>
      </c>
      <c r="I215" t="inlineStr">
        <is>
          <t>ETENDERS.GOV.ZA</t>
        </is>
      </c>
      <c r="J215" t="inlineStr">
        <is>
          <t>Gauteng - Gautrain Management Agency</t>
        </is>
      </c>
      <c r="K215" t="inlineStr">
        <is>
          <t>Gauteng</t>
        </is>
      </c>
      <c r="L215" t="inlineStr">
        <is>
          <t>No</t>
        </is>
      </c>
      <c r="M215" t="inlineStr">
        <is>
          <t>Supplies: General</t>
        </is>
      </c>
      <c r="N215" t="inlineStr">
        <is>
          <t>No</t>
        </is>
      </c>
      <c r="O215" t="inlineStr">
        <is>
          <t>No</t>
        </is>
      </c>
      <c r="P215" t="inlineStr">
        <is>
          <t>N/A</t>
        </is>
      </c>
      <c r="Q215" s="3" t="inlineStr">
        <is>
          <t>https://www.etenders.gov.za/home/Download/?blobName=353c25ab-e5a2-4456-8079-7fd1afbefb04.pdf&amp;downloadedFileName=RFP%20-%20Supply%20and%20Delivery%20of%20stationery%20to%20the%20GMA%20operated%20driving%20licence%20testing%20centres%20(DLTCs).pdf</t>
        </is>
      </c>
      <c r="R215" t="inlineStr"/>
      <c r="S215" t="inlineStr"/>
      <c r="T215" t="inlineStr"/>
      <c r="U215" t="inlineStr"/>
      <c r="V215" t="inlineStr"/>
    </row>
    <row r="216">
      <c r="A216" s="2" t="n">
        <v>46176</v>
      </c>
      <c r="B216" t="n">
        <v>35</v>
      </c>
      <c r="C216" t="inlineStr">
        <is>
          <t>FBC T4/2026</t>
        </is>
      </c>
      <c r="D216" s="2" t="n">
        <v>46176</v>
      </c>
      <c r="E216" s="2" t="n">
        <v>46210</v>
      </c>
      <c r="F216" t="inlineStr">
        <is>
          <t>11:00</t>
        </is>
      </c>
      <c r="G216" t="inlineStr">
        <is>
          <t>Request for Bid(Open-Tender)</t>
        </is>
      </c>
      <c r="H216" t="inlineStr">
        <is>
          <t>FURNITURE FOR THE NEW MITCHELL’S PLAIN CAMPUS. TENDERERS TO SUBMIT TECHNICAL AND FINANCIAL PROPOSALS IN TWO SEPARATE ENVELOPES. TECHNICAL PROPOSAL WILL BE EVALUATED BEFORE THE FINANCIAL PROPOSAL.</t>
        </is>
      </c>
      <c r="I216" t="inlineStr">
        <is>
          <t>ETENDERS.GOV.ZA</t>
        </is>
      </c>
      <c r="J216" t="inlineStr">
        <is>
          <t>False Bay TVET College</t>
        </is>
      </c>
      <c r="K216" t="inlineStr">
        <is>
          <t>Western Cape</t>
        </is>
      </c>
      <c r="L216" t="inlineStr">
        <is>
          <t>No</t>
        </is>
      </c>
      <c r="M216" t="inlineStr">
        <is>
          <t>Manufacture of furniture</t>
        </is>
      </c>
      <c r="N216" t="inlineStr">
        <is>
          <t>Yes</t>
        </is>
      </c>
      <c r="O216" t="inlineStr">
        <is>
          <t>Yes</t>
        </is>
      </c>
      <c r="P216" t="inlineStr">
        <is>
          <t>ONLINE</t>
        </is>
      </c>
      <c r="Q216" s="3" t="inlineStr">
        <is>
          <t>https://www.etenders.gov.za/home/Download/?blobName=7a1a0ba2-e104-4071-8405-db22111cafa8.pdf&amp;downloadedFileName=TENDER%20NOTICE%20AND%20INVITATION%20TO%20BID%20-%20FBC%20T4-2026.pdf</t>
        </is>
      </c>
      <c r="R216" t="inlineStr"/>
      <c r="S216" t="inlineStr"/>
      <c r="T216" t="inlineStr"/>
      <c r="U216" t="inlineStr"/>
      <c r="V216" t="inlineStr"/>
    </row>
    <row r="217">
      <c r="A217" s="2" t="n">
        <v>46176</v>
      </c>
      <c r="B217" t="n">
        <v>34</v>
      </c>
      <c r="C217" t="inlineStr">
        <is>
          <t>RFQ 201985</t>
        </is>
      </c>
      <c r="D217" s="2" t="n">
        <v>46176</v>
      </c>
      <c r="E217" s="2" t="n">
        <v>46191</v>
      </c>
      <c r="F217" t="inlineStr">
        <is>
          <t>11:00</t>
        </is>
      </c>
      <c r="G217" t="inlineStr">
        <is>
          <t>Request for Quotation</t>
        </is>
      </c>
      <c r="H217" t="inlineStr">
        <is>
          <t>DECOMMISSION AND REMOVAL OF EXISTING WALK-IN FREEZER. SUPPLY, INSTALLATION AND COMMISSIONING OF A NEW WALK-IN FREEZER SYSTEM.</t>
        </is>
      </c>
      <c r="I217" t="inlineStr">
        <is>
          <t>ETENDERS.GOV.ZA</t>
        </is>
      </c>
      <c r="J217" t="inlineStr">
        <is>
          <t>SA Bureau of Standards</t>
        </is>
      </c>
      <c r="K217" t="inlineStr">
        <is>
          <t>Gauteng</t>
        </is>
      </c>
      <c r="L217" t="inlineStr">
        <is>
          <t>No</t>
        </is>
      </c>
      <c r="M217" t="inlineStr">
        <is>
          <t>Services: Professional</t>
        </is>
      </c>
      <c r="N217" t="inlineStr">
        <is>
          <t>Yes</t>
        </is>
      </c>
      <c r="O217" t="inlineStr">
        <is>
          <t>Yes</t>
        </is>
      </c>
      <c r="P217" t="inlineStr">
        <is>
          <t>1 Dr Lategan Road, Groenkloof, Pretoria, 0001</t>
        </is>
      </c>
      <c r="Q217" s="3" t="inlineStr">
        <is>
          <t>https://www.etenders.gov.za/home/Download/?blobName=d18abe94-6d87-4192-bc22-df28002e43e3.pdf&amp;downloadedFileName=RFQ201985%20Walk%20in%20freezer.pdf</t>
        </is>
      </c>
      <c r="R217" t="inlineStr"/>
      <c r="S217" t="inlineStr"/>
      <c r="T217" t="inlineStr"/>
      <c r="U217" t="inlineStr"/>
      <c r="V217" t="inlineStr"/>
    </row>
    <row r="218">
      <c r="A218" s="2" t="n">
        <v>46176</v>
      </c>
      <c r="B218" t="n">
        <v>33</v>
      </c>
      <c r="C218" t="inlineStr">
        <is>
          <t>RFQ 201983</t>
        </is>
      </c>
      <c r="D218" s="2" t="n">
        <v>46176</v>
      </c>
      <c r="E218" s="2" t="n">
        <v>46182</v>
      </c>
      <c r="F218" t="inlineStr">
        <is>
          <t>11:00</t>
        </is>
      </c>
      <c r="G218" t="inlineStr">
        <is>
          <t>Request for Quotation</t>
        </is>
      </c>
      <c r="H218" t="inlineStr">
        <is>
          <t>RFQ 201983 SUPPLY AND DELIVERY OF ELECTRICAL SUPPLIES</t>
        </is>
      </c>
      <c r="I218" t="inlineStr">
        <is>
          <t>ETENDERS.GOV.ZA</t>
        </is>
      </c>
      <c r="J218" t="inlineStr">
        <is>
          <t>SA Bureau of Standards</t>
        </is>
      </c>
      <c r="K218" t="inlineStr">
        <is>
          <t>Gauteng</t>
        </is>
      </c>
      <c r="L218" t="inlineStr">
        <is>
          <t>No</t>
        </is>
      </c>
      <c r="M218" t="inlineStr">
        <is>
          <t>Supplies: Electrical Equipment</t>
        </is>
      </c>
      <c r="N218" t="inlineStr">
        <is>
          <t>No</t>
        </is>
      </c>
      <c r="O218" t="inlineStr">
        <is>
          <t>No</t>
        </is>
      </c>
      <c r="P218" t="inlineStr">
        <is>
          <t>N/A</t>
        </is>
      </c>
      <c r="Q218" s="3" t="inlineStr">
        <is>
          <t>https://www.etenders.gov.za/home/Download/?blobName=c1539d0d-fb83-4d5e-9045-f0bc0ce06f9c.pdf&amp;downloadedFileName=SUPPLY%20AND%20DELIVERY%20OF%20ELECTRICAL%20SUPPLIES.pdf</t>
        </is>
      </c>
      <c r="R218" t="inlineStr"/>
      <c r="S218" t="inlineStr"/>
      <c r="T218" t="inlineStr"/>
      <c r="U218" t="inlineStr"/>
      <c r="V218" t="inlineStr"/>
    </row>
    <row r="219">
      <c r="A219" s="2" t="n">
        <v>46176</v>
      </c>
      <c r="B219" t="n">
        <v>32</v>
      </c>
      <c r="C219" t="inlineStr">
        <is>
          <t>NB040/2026</t>
        </is>
      </c>
      <c r="D219" s="2" t="n">
        <v>46176</v>
      </c>
      <c r="E219" s="2" t="n">
        <v>46182</v>
      </c>
      <c r="F219" t="inlineStr">
        <is>
          <t>10:00</t>
        </is>
      </c>
      <c r="G219" t="inlineStr">
        <is>
          <t>Request for Proposal</t>
        </is>
      </c>
      <c r="H219" t="inlineStr">
        <is>
          <t>REQUEST FOR PROPOSAL : INTEGRATED TOURISM KNOWLEDGE SYSTEM</t>
        </is>
      </c>
      <c r="I219" t="inlineStr">
        <is>
          <t>ETENDERS.GOV.ZA</t>
        </is>
      </c>
      <c r="J219" t="inlineStr">
        <is>
          <t>Tourism</t>
        </is>
      </c>
      <c r="K219" t="inlineStr">
        <is>
          <t>Gauteng</t>
        </is>
      </c>
      <c r="L219" t="inlineStr">
        <is>
          <t>No</t>
        </is>
      </c>
      <c r="M219" t="inlineStr">
        <is>
          <t>Professional, scientific and technical activities</t>
        </is>
      </c>
      <c r="N219" t="inlineStr">
        <is>
          <t>No</t>
        </is>
      </c>
      <c r="O219" t="inlineStr">
        <is>
          <t>No</t>
        </is>
      </c>
      <c r="P219" t="inlineStr">
        <is>
          <t>N/A</t>
        </is>
      </c>
      <c r="Q219" s="3" t="inlineStr">
        <is>
          <t>https://www.etenders.gov.za/home/Download/?blobName=46b220e0-1a7f-40a6-b8dc-201419abad06.docx&amp;downloadedFileName=ADDENDUM%204%20-%20TEMPLATE%20-%20SWORN%20AFFIDAVIT%20OF%20BOTH%20EME%20AND%20QSE%20-.docx</t>
        </is>
      </c>
      <c r="R219" t="inlineStr"/>
      <c r="S219" t="inlineStr"/>
      <c r="T219" t="inlineStr"/>
      <c r="U219" t="inlineStr"/>
      <c r="V219" t="inlineStr"/>
    </row>
    <row r="220">
      <c r="A220" s="2" t="n">
        <v>46176</v>
      </c>
      <c r="B220" t="n">
        <v>31</v>
      </c>
      <c r="C220" t="inlineStr">
        <is>
          <t>CHR5-26/27-0008</t>
        </is>
      </c>
      <c r="D220" s="2" t="n">
        <v>46176</v>
      </c>
      <c r="E220" s="2" t="n">
        <v>46191</v>
      </c>
      <c r="F220" t="inlineStr">
        <is>
          <t>11:00</t>
        </is>
      </c>
      <c r="G220" t="inlineStr">
        <is>
          <t>Request for Quotation</t>
        </is>
      </c>
      <c r="H220" t="inlineStr">
        <is>
          <t>APPOINTMENT OF A SUITABLE SERVICE PROVIDER TO RENDER OFF-SITE TRAVEL MANAGEMENT SERVICES IN RESPECT OF ACCOMMODATION FOR THE DEPARTMENT OF PUBLIC WORKS &amp; INFRASTRUCTURE, CHRIS HANI DISTRICT OFFICES FOR A PERIOD OF 12 MONTHS</t>
        </is>
      </c>
      <c r="I220" t="inlineStr">
        <is>
          <t>ETENDERS.GOV.ZA</t>
        </is>
      </c>
      <c r="J220" t="inlineStr">
        <is>
          <t>Eastern Cape - Roads and Public Works</t>
        </is>
      </c>
      <c r="K220" t="inlineStr">
        <is>
          <t>Eastern Cape</t>
        </is>
      </c>
      <c r="L220" t="inlineStr">
        <is>
          <t>No</t>
        </is>
      </c>
      <c r="M220" t="inlineStr">
        <is>
          <t>Accommodation</t>
        </is>
      </c>
      <c r="N220" t="inlineStr">
        <is>
          <t>Yes</t>
        </is>
      </c>
      <c r="O220" t="inlineStr">
        <is>
          <t>Yes</t>
        </is>
      </c>
      <c r="P220" t="inlineStr">
        <is>
          <t>Department of Public Works and Infrastructure, Chris Hani district offices at No.1 Creamery Road, Ol</t>
        </is>
      </c>
      <c r="Q220" s="3" t="inlineStr">
        <is>
          <t>https://www.etenders.gov.za/home/Download/?blobName=8a49c342-55ac-435d-ac84-3c80a923cb82.docx&amp;downloadedFileName=QUOTATION%20DOC%20FOR%20TRAVEL%20MAN%20SERVICE%20CONTRACT%20IN%20RESPECT%20OF%20ACCOMMODATION.docx</t>
        </is>
      </c>
      <c r="R220" t="inlineStr"/>
      <c r="S220" t="inlineStr"/>
      <c r="T220" t="inlineStr"/>
      <c r="U220" t="inlineStr"/>
      <c r="V220" t="inlineStr"/>
    </row>
    <row r="221">
      <c r="A221" s="2" t="n">
        <v>46176</v>
      </c>
      <c r="B221" t="n">
        <v>30</v>
      </c>
      <c r="C221" t="inlineStr">
        <is>
          <t>CHR5-26/27-0010</t>
        </is>
      </c>
      <c r="D221" s="2" t="n">
        <v>46176</v>
      </c>
      <c r="E221" s="2" t="n">
        <v>46191</v>
      </c>
      <c r="F221" t="inlineStr">
        <is>
          <t>11:00</t>
        </is>
      </c>
      <c r="G221" t="inlineStr">
        <is>
          <t>Request for Quotation</t>
        </is>
      </c>
      <c r="H221" t="inlineStr">
        <is>
          <t>SUPPLY AND DELIVER OF BUILDING TOOLS FOR COFIMVABA DEPOT AS PER THE SPECIFICATION FOR DEPARTMENT OF PUBLIC WORKS AND INFRASTRUCTURE, CHRIS HANI DISTRICT</t>
        </is>
      </c>
      <c r="I221" t="inlineStr">
        <is>
          <t>ETENDERS.GOV.ZA</t>
        </is>
      </c>
      <c r="J221" t="inlineStr">
        <is>
          <t>Eastern Cape - Roads and Public Works</t>
        </is>
      </c>
      <c r="K221" t="inlineStr">
        <is>
          <t>Eastern Cape</t>
        </is>
      </c>
      <c r="L221" t="inlineStr">
        <is>
          <t>No</t>
        </is>
      </c>
      <c r="M221" t="inlineStr">
        <is>
          <t>Supplies: General</t>
        </is>
      </c>
      <c r="N221" t="inlineStr">
        <is>
          <t>No</t>
        </is>
      </c>
      <c r="O221" t="inlineStr">
        <is>
          <t>No</t>
        </is>
      </c>
      <c r="P221" t="inlineStr">
        <is>
          <t>N/A</t>
        </is>
      </c>
      <c r="Q221" s="3" t="inlineStr">
        <is>
          <t>https://www.etenders.gov.za/home/Download/?blobName=83410004-9a63-47a2-9ed1-2eaf89194f96.pdf&amp;downloadedFileName=QUOTATION%20DOC%20FOR%20COFIMVABA%20BUILDING%20TOOLS.pdf</t>
        </is>
      </c>
      <c r="R221" t="inlineStr"/>
      <c r="S221" t="inlineStr"/>
      <c r="T221" t="inlineStr"/>
      <c r="U221" t="inlineStr"/>
      <c r="V221" t="inlineStr"/>
    </row>
    <row r="222">
      <c r="A222" s="2" t="n">
        <v>46176</v>
      </c>
      <c r="B222" t="n">
        <v>29</v>
      </c>
      <c r="C222" t="inlineStr">
        <is>
          <t>TP/2026/03/0002/113792/RFP</t>
        </is>
      </c>
      <c r="D222" s="2" t="n">
        <v>46176</v>
      </c>
      <c r="E222" s="2" t="n">
        <v>46204</v>
      </c>
      <c r="F222" t="inlineStr">
        <is>
          <t>16:00</t>
        </is>
      </c>
      <c r="G222" t="inlineStr">
        <is>
          <t>Request for Bid(Open-Tender)</t>
        </is>
      </c>
      <c r="H222" t="inlineStr">
        <is>
          <t>FOR THE PROVISION OF NATIONAL PHYSICAL SECURITY FOR TRANSNET PROPERTY (TP) FOR A PERIOD OF TWELVE (12) MONTHS</t>
        </is>
      </c>
      <c r="I222" t="inlineStr">
        <is>
          <t>ETENDERS.GOV.ZA</t>
        </is>
      </c>
      <c r="J222" t="inlineStr">
        <is>
          <t>Transnet SOC Ltd</t>
        </is>
      </c>
      <c r="K222" t="inlineStr">
        <is>
          <t>National</t>
        </is>
      </c>
      <c r="L222" t="inlineStr">
        <is>
          <t>No</t>
        </is>
      </c>
      <c r="M222" t="inlineStr">
        <is>
          <t>Security and investigation activities</t>
        </is>
      </c>
      <c r="N222" t="inlineStr">
        <is>
          <t>Yes</t>
        </is>
      </c>
      <c r="O222" t="inlineStr">
        <is>
          <t>No</t>
        </is>
      </c>
      <c r="P222" t="inlineStr">
        <is>
          <t>MS Teams</t>
        </is>
      </c>
      <c r="Q222" s="3" t="inlineStr">
        <is>
          <t>https://www.etenders.gov.za/home/Download/?blobName=9ff435cb-fc84-4792-9a75-41cee0079785.pdf&amp;downloadedFileName=Annexure%20A_%20Template%20indicating%20the%20region%20selection.pdf</t>
        </is>
      </c>
      <c r="R222" t="inlineStr"/>
      <c r="S222" t="inlineStr"/>
      <c r="T222" t="inlineStr"/>
      <c r="U222" t="inlineStr"/>
      <c r="V222" t="inlineStr"/>
    </row>
    <row r="223">
      <c r="A223" s="2" t="n">
        <v>46176</v>
      </c>
      <c r="B223" t="n">
        <v>28</v>
      </c>
      <c r="C223" t="inlineStr">
        <is>
          <t>CS004/2026</t>
        </is>
      </c>
      <c r="D223" s="2" t="n">
        <v>46176</v>
      </c>
      <c r="E223" s="2" t="n">
        <v>46209</v>
      </c>
      <c r="F223" t="inlineStr">
        <is>
          <t>12:00</t>
        </is>
      </c>
      <c r="G223" t="inlineStr">
        <is>
          <t>Request for Bid(Open-Tender)</t>
        </is>
      </c>
      <c r="H223" t="inlineStr">
        <is>
          <t>APPOINTMENT OF SERVICE PROVIDER FOR THE PROVISION, IMPLEMENTATION AND MAINTENANCE OF A COMPREHENSIVE CEMETERY MANAGEMENT SOFTWARE SYSTEM FOR A PERIOD OF 36 MONTHS</t>
        </is>
      </c>
      <c r="I223" t="inlineStr">
        <is>
          <t>ETENDERS.GOV.ZA</t>
        </is>
      </c>
      <c r="J223" t="inlineStr">
        <is>
          <t>Dihlabeng Local Municipality</t>
        </is>
      </c>
      <c r="K223" t="inlineStr">
        <is>
          <t>Free State</t>
        </is>
      </c>
      <c r="L223" t="inlineStr">
        <is>
          <t>No</t>
        </is>
      </c>
      <c r="M223" t="inlineStr">
        <is>
          <t>Services: General</t>
        </is>
      </c>
      <c r="N223" t="inlineStr">
        <is>
          <t>No</t>
        </is>
      </c>
      <c r="O223" t="inlineStr">
        <is>
          <t>No</t>
        </is>
      </c>
      <c r="P223" t="inlineStr">
        <is>
          <t>N/A</t>
        </is>
      </c>
      <c r="Q223" s="3" t="inlineStr">
        <is>
          <t>https://www.etenders.gov.za/home/Download/?blobName=6c87cb20-a357-48e5-a8b2-3d98bb0d6ea0.pdf&amp;downloadedFileName=CS004%20Advert%20Word.pdf</t>
        </is>
      </c>
      <c r="R223" t="inlineStr"/>
      <c r="S223" t="inlineStr"/>
      <c r="T223" t="inlineStr"/>
      <c r="U223" t="inlineStr"/>
      <c r="V223" t="inlineStr"/>
    </row>
    <row r="224">
      <c r="A224" s="2" t="n">
        <v>46176</v>
      </c>
      <c r="B224" t="n">
        <v>27</v>
      </c>
      <c r="C224" t="inlineStr">
        <is>
          <t>H004L2706RFQ00063</t>
        </is>
      </c>
      <c r="D224" s="2" t="n">
        <v>46176</v>
      </c>
      <c r="E224" s="2" t="n">
        <v>46181</v>
      </c>
      <c r="F224" t="inlineStr">
        <is>
          <t>11:00</t>
        </is>
      </c>
      <c r="G224" t="inlineStr">
        <is>
          <t>Request for Quotation</t>
        </is>
      </c>
      <c r="H224" t="inlineStr">
        <is>
          <t>Appointment of a Service Provider for the Supply and Installation of Kitchen Sink Set and Plumbing Works</t>
        </is>
      </c>
      <c r="I224" t="inlineStr">
        <is>
          <t>ETENDERS.GOV.ZA</t>
        </is>
      </c>
      <c r="J224" t="inlineStr">
        <is>
          <t>Border Management Authority</t>
        </is>
      </c>
      <c r="K224" t="inlineStr">
        <is>
          <t>Gauteng</t>
        </is>
      </c>
      <c r="L224" t="inlineStr">
        <is>
          <t>No</t>
        </is>
      </c>
      <c r="M224" t="inlineStr">
        <is>
          <t>Supplies: General</t>
        </is>
      </c>
      <c r="N224" t="inlineStr">
        <is>
          <t>No</t>
        </is>
      </c>
      <c r="O224" t="inlineStr">
        <is>
          <t>No</t>
        </is>
      </c>
      <c r="P224" t="inlineStr">
        <is>
          <t>N/A</t>
        </is>
      </c>
      <c r="Q224" s="3" t="inlineStr">
        <is>
          <t>https://www.etenders.gov.za/home/Download/?blobName=bd9264f6-91c3-4360-9b92-a414231d5171.pdf&amp;downloadedFileName=QUOTE%20PACK%20-H004L2706RFQ00063.pdf</t>
        </is>
      </c>
      <c r="R224" t="inlineStr"/>
      <c r="S224" t="inlineStr"/>
      <c r="T224" t="inlineStr"/>
      <c r="U224" t="inlineStr"/>
      <c r="V224" t="inlineStr"/>
    </row>
    <row r="225">
      <c r="A225" s="2" t="n">
        <v>46176</v>
      </c>
      <c r="B225" t="n">
        <v>26</v>
      </c>
      <c r="C225" t="inlineStr">
        <is>
          <t>ATNS/RFQ/03/2026/38/FACT_FUEL 95 200L_RE-ADVERT</t>
        </is>
      </c>
      <c r="D225" s="2" t="n">
        <v>46176</v>
      </c>
      <c r="E225" s="2" t="n">
        <v>46183</v>
      </c>
      <c r="F225" t="inlineStr">
        <is>
          <t>11:00</t>
        </is>
      </c>
      <c r="G225" t="inlineStr">
        <is>
          <t>Request for Quotation</t>
        </is>
      </c>
      <c r="H225" t="inlineStr">
        <is>
          <t>APPOINTMENT OF A SERVICE PROVIDER FOR THE SUPPLY AND DELIVERY OF FUEL</t>
        </is>
      </c>
      <c r="I225" t="inlineStr">
        <is>
          <t>ETENDERS.GOV.ZA</t>
        </is>
      </c>
      <c r="J225" t="inlineStr">
        <is>
          <t>Air Traffic and Navigation Services Company Limited</t>
        </is>
      </c>
      <c r="K225" t="inlineStr">
        <is>
          <t>Western Cape</t>
        </is>
      </c>
      <c r="L225" t="inlineStr">
        <is>
          <t>No</t>
        </is>
      </c>
      <c r="M225" t="inlineStr">
        <is>
          <t>Supplies: General</t>
        </is>
      </c>
      <c r="N225" t="inlineStr">
        <is>
          <t>No</t>
        </is>
      </c>
      <c r="O225" t="inlineStr">
        <is>
          <t>No</t>
        </is>
      </c>
      <c r="P225" t="inlineStr">
        <is>
          <t>N/A</t>
        </is>
      </c>
      <c r="Q225" s="3" t="inlineStr">
        <is>
          <t>https://www.etenders.gov.za/home/Download/?blobName=4af77131-e5f4-468f-9648-bd4e03080b23.pdf&amp;downloadedFileName=FACT%20-%20RFQ%20for%20Fuel%20-%20Re-Advert.pdf</t>
        </is>
      </c>
      <c r="R225" t="inlineStr"/>
      <c r="S225" t="inlineStr"/>
      <c r="T225" t="inlineStr"/>
      <c r="U225" t="inlineStr"/>
      <c r="V225" t="inlineStr"/>
    </row>
    <row r="226">
      <c r="A226" s="2" t="n">
        <v>46176</v>
      </c>
      <c r="B226" t="n">
        <v>25</v>
      </c>
      <c r="C226" t="inlineStr">
        <is>
          <t>RFQ _16824</t>
        </is>
      </c>
      <c r="D226" s="2" t="n">
        <v>46176</v>
      </c>
      <c r="E226" s="2" t="n">
        <v>46199</v>
      </c>
      <c r="F226" t="inlineStr">
        <is>
          <t>15:00</t>
        </is>
      </c>
      <c r="G226" t="inlineStr">
        <is>
          <t>Request for Quotation</t>
        </is>
      </c>
      <c r="H226" t="inlineStr">
        <is>
          <t>Supply and delivery of Mechanical Maintenance Spares</t>
        </is>
      </c>
      <c r="I226" t="inlineStr">
        <is>
          <t>ETENDERS.GOV.ZA</t>
        </is>
      </c>
      <c r="J226" t="inlineStr">
        <is>
          <t>Airports Company of South Africa</t>
        </is>
      </c>
      <c r="K226" t="inlineStr">
        <is>
          <t>Eastern Cape</t>
        </is>
      </c>
      <c r="L226" t="inlineStr">
        <is>
          <t>No</t>
        </is>
      </c>
      <c r="M226" t="inlineStr">
        <is>
          <t>Supplies: General</t>
        </is>
      </c>
      <c r="N226" t="inlineStr">
        <is>
          <t>No</t>
        </is>
      </c>
      <c r="O226" t="inlineStr">
        <is>
          <t>No</t>
        </is>
      </c>
      <c r="P226" t="inlineStr">
        <is>
          <t>N/A</t>
        </is>
      </c>
      <c r="Q226" s="3" t="inlineStr">
        <is>
          <t>https://www.etenders.gov.za/home/Download/?blobName=56aa25ec-f24f-4f63-a12f-301ab9447326.pdf&amp;downloadedFileName=Scope%20of%20work.pdf</t>
        </is>
      </c>
      <c r="R226" t="inlineStr"/>
      <c r="S226" t="inlineStr"/>
      <c r="T226" t="inlineStr"/>
      <c r="U226" t="inlineStr"/>
      <c r="V226" t="inlineStr"/>
    </row>
    <row r="227">
      <c r="A227" s="2" t="n">
        <v>46176</v>
      </c>
      <c r="B227" t="n">
        <v>24</v>
      </c>
      <c r="C227" t="inlineStr">
        <is>
          <t>COR7778/2025/RFP</t>
        </is>
      </c>
      <c r="D227" s="2" t="n">
        <v>46176</v>
      </c>
      <c r="E227" s="2" t="n">
        <v>46213</v>
      </c>
      <c r="F227" t="inlineStr">
        <is>
          <t>12:00</t>
        </is>
      </c>
      <c r="G227" t="inlineStr">
        <is>
          <t>Request for Proposal</t>
        </is>
      </c>
      <c r="H227" t="inlineStr">
        <is>
          <t>REQUEST FOR PROPOSAL FOR THE SUPPLY, SUPPORT AND MAINTENANCE OF THE AUDIT MANAGEMENT SYSTEM FOR A MAXIMUM PERIOD OF 60 MONTHS AT AIRPORTS COMPANY SOUTH AFRICA.</t>
        </is>
      </c>
      <c r="I227" t="inlineStr">
        <is>
          <t>ETENDERS.GOV.ZA</t>
        </is>
      </c>
      <c r="J227" t="inlineStr">
        <is>
          <t>Airports Company of South Africa</t>
        </is>
      </c>
      <c r="K227" t="inlineStr">
        <is>
          <t>Gauteng</t>
        </is>
      </c>
      <c r="L227" t="inlineStr">
        <is>
          <t>No</t>
        </is>
      </c>
      <c r="M227" t="inlineStr">
        <is>
          <t>Supplies: General</t>
        </is>
      </c>
      <c r="N227" t="inlineStr">
        <is>
          <t>Yes</t>
        </is>
      </c>
      <c r="O227" t="inlineStr">
        <is>
          <t>Yes</t>
        </is>
      </c>
      <c r="P227" t="inlineStr">
        <is>
          <t>Microsoft Teams</t>
        </is>
      </c>
      <c r="Q227" s="3" t="inlineStr">
        <is>
          <t>https://www.etenders.gov.za/home/Download/?blobName=aedaea3e-ebd4-40f6-883e-1043a2a3d402.docx&amp;downloadedFileName=Annexure%20E%20-%20Business%20Requirements%20compliance%20response%20document.docx</t>
        </is>
      </c>
      <c r="R227" t="inlineStr"/>
      <c r="S227" t="inlineStr"/>
      <c r="T227" t="inlineStr"/>
      <c r="U227" t="inlineStr"/>
      <c r="V227" t="inlineStr"/>
    </row>
    <row r="228">
      <c r="A228" s="2" t="n">
        <v>46176</v>
      </c>
      <c r="B228" t="n">
        <v>23</v>
      </c>
      <c r="C228" t="inlineStr">
        <is>
          <t>RFQ0001221</t>
        </is>
      </c>
      <c r="D228" s="2" t="n">
        <v>46176</v>
      </c>
      <c r="E228" s="2" t="n">
        <v>46190</v>
      </c>
      <c r="F228" t="inlineStr">
        <is>
          <t>16:00</t>
        </is>
      </c>
      <c r="G228" t="inlineStr">
        <is>
          <t>Request for Quotation</t>
        </is>
      </c>
      <c r="H228" t="inlineStr">
        <is>
          <t>Request to appoint a service provider (SP) to provide the Fisheries Management branch of the Department of Forestry, Fisheries and the Environment (DFFE) /MLRF to render armed response to electronic intruder detection alarm systems, installation and repair of electrically fence, installation of intruder beams and CCTV cameras, as well as monitoring of CCTV cameras after hours and maintenance of the entire security electronic system at Paarden Eiland Facility in the Department of Forestry, Fisheries, and the Environment for a period of (36) months.</t>
        </is>
      </c>
      <c r="I228" t="inlineStr">
        <is>
          <t>ETENDERS.GOV.ZA</t>
        </is>
      </c>
      <c r="J228" t="inlineStr">
        <is>
          <t>Marine Living Resources Fund</t>
        </is>
      </c>
      <c r="K228" t="inlineStr">
        <is>
          <t>Western Cape</t>
        </is>
      </c>
      <c r="L228" t="inlineStr">
        <is>
          <t>No</t>
        </is>
      </c>
      <c r="M228" t="inlineStr">
        <is>
          <t>Services: Professional</t>
        </is>
      </c>
      <c r="N228" t="inlineStr">
        <is>
          <t>Yes</t>
        </is>
      </c>
      <c r="O228" t="inlineStr">
        <is>
          <t>Yes</t>
        </is>
      </c>
      <c r="P228" t="inlineStr">
        <is>
          <t>10 Neptune Street, Paarden Eiland, Cape Town</t>
        </is>
      </c>
      <c r="Q228" s="3" t="inlineStr">
        <is>
          <t>https://www.etenders.gov.za/home/Download/?blobName=6cd8fff6-b6fa-453f-b283-d8bd46eb69d3.pdf&amp;downloadedFileName=RFQ0001221.pdf</t>
        </is>
      </c>
      <c r="R228" t="inlineStr"/>
      <c r="S228" t="inlineStr"/>
      <c r="T228" t="inlineStr"/>
      <c r="U228" t="inlineStr"/>
      <c r="V228" t="inlineStr"/>
    </row>
    <row r="229">
      <c r="A229" s="2" t="n">
        <v>46176</v>
      </c>
      <c r="B229" t="n">
        <v>22</v>
      </c>
      <c r="C229" t="inlineStr">
        <is>
          <t>RFQ0001222</t>
        </is>
      </c>
      <c r="D229" s="2" t="n">
        <v>46176</v>
      </c>
      <c r="E229" s="2" t="n">
        <v>46183</v>
      </c>
      <c r="F229" t="inlineStr">
        <is>
          <t>16:00</t>
        </is>
      </c>
      <c r="G229" t="inlineStr">
        <is>
          <t>Request for Quotation</t>
        </is>
      </c>
      <c r="H229" t="inlineStr">
        <is>
          <t>Request to appoint a service provider (SP) to provide the Fisheries Management branch of the Department of Forestry, Fisheries and the Environment (DFFE) /MLRF to supply and deliver protective clothing.</t>
        </is>
      </c>
      <c r="I229" t="inlineStr">
        <is>
          <t>ETENDERS.GOV.ZA</t>
        </is>
      </c>
      <c r="J229" t="inlineStr">
        <is>
          <t>Marine Living Resources Fund</t>
        </is>
      </c>
      <c r="K229" t="inlineStr">
        <is>
          <t>Western Cape</t>
        </is>
      </c>
      <c r="L229" t="inlineStr">
        <is>
          <t>No</t>
        </is>
      </c>
      <c r="M229" t="inlineStr">
        <is>
          <t>Supplies: Clothing/Textiles/Footwear</t>
        </is>
      </c>
      <c r="N229" t="inlineStr">
        <is>
          <t>No</t>
        </is>
      </c>
      <c r="O229" t="inlineStr">
        <is>
          <t>No</t>
        </is>
      </c>
      <c r="P229" t="inlineStr">
        <is>
          <t>N/A</t>
        </is>
      </c>
      <c r="Q229" s="3" t="inlineStr">
        <is>
          <t>https://www.etenders.gov.za/home/Download/?blobName=97cae45b-345e-44ce-8f08-4cf5aab9f67e.pdf&amp;downloadedFileName=RFQ0001222.pdf</t>
        </is>
      </c>
      <c r="R229" t="inlineStr"/>
      <c r="S229" t="inlineStr"/>
      <c r="T229" t="inlineStr"/>
      <c r="U229" t="inlineStr"/>
      <c r="V229" t="inlineStr"/>
    </row>
    <row r="230">
      <c r="A230" s="2" t="n">
        <v>46176</v>
      </c>
      <c r="B230" t="n">
        <v>21</v>
      </c>
      <c r="C230" t="inlineStr">
        <is>
          <t>RFQ0001218</t>
        </is>
      </c>
      <c r="D230" s="2" t="n">
        <v>46176</v>
      </c>
      <c r="E230" s="2" t="n">
        <v>46183</v>
      </c>
      <c r="F230" t="inlineStr">
        <is>
          <t>11:00</t>
        </is>
      </c>
      <c r="G230" t="inlineStr">
        <is>
          <t>Request for Quotation</t>
        </is>
      </c>
      <c r="H230" t="inlineStr">
        <is>
          <t>TO APPOINT A SERVICE PROVIDER (SP) TO PROVIDE THE DEPARTMENT OF FORESTRY, FISHERIES AND THE ENVIRONMENT (DFFE) / MARINE LIVING RESOURCES FUND (MLRF) FOR SUPPLY AND DELIVER SAFETY PROTECTIVE CLOTHING</t>
        </is>
      </c>
      <c r="I230" t="inlineStr">
        <is>
          <t>ETENDERS.GOV.ZA</t>
        </is>
      </c>
      <c r="J230" t="inlineStr">
        <is>
          <t>Marine Living Resources Fund</t>
        </is>
      </c>
      <c r="K230" t="inlineStr">
        <is>
          <t>Western Cape</t>
        </is>
      </c>
      <c r="L230" t="inlineStr">
        <is>
          <t>No</t>
        </is>
      </c>
      <c r="M230" t="inlineStr">
        <is>
          <t>Supplies: Clothing/Textiles/Footwear</t>
        </is>
      </c>
      <c r="N230" t="inlineStr">
        <is>
          <t>No</t>
        </is>
      </c>
      <c r="O230" t="inlineStr">
        <is>
          <t>No</t>
        </is>
      </c>
      <c r="P230" t="inlineStr">
        <is>
          <t>N/A</t>
        </is>
      </c>
      <c r="Q230" s="3" t="inlineStr">
        <is>
          <t>https://www.etenders.gov.za/home/Download/?blobName=3ef273bd-745f-44cb-a5e1-dd82b7745c4f.pdf&amp;downloadedFileName=RFQ0001218.pdf</t>
        </is>
      </c>
      <c r="R230" t="inlineStr"/>
      <c r="S230" t="inlineStr"/>
      <c r="T230" t="inlineStr"/>
      <c r="U230" t="inlineStr"/>
      <c r="V230" t="inlineStr"/>
    </row>
    <row r="231">
      <c r="A231" s="2" t="n">
        <v>46176</v>
      </c>
      <c r="B231" t="n">
        <v>20</v>
      </c>
      <c r="C231" t="inlineStr">
        <is>
          <t>RFQ0001220</t>
        </is>
      </c>
      <c r="D231" s="2" t="n">
        <v>46176</v>
      </c>
      <c r="E231" s="2" t="n">
        <v>46183</v>
      </c>
      <c r="F231" t="inlineStr">
        <is>
          <t>11:00</t>
        </is>
      </c>
      <c r="G231" t="inlineStr">
        <is>
          <t>Request for Quotation</t>
        </is>
      </c>
      <c r="H231" t="inlineStr">
        <is>
          <t>TO APPOINT A SERVICE PROVIDER (SP) TO PROVIDE THE DEPARTMENT OF FORESTRY, FISHERIES AND THE ENVIRONMENT (DFFE) / MARINE LIVING RESOURCES FUND (MLRF) WITH A 12-VOLT 657 BATTERY FOR THE CRADLE GANTRY OF GANSBAAI PROCLAIMED FISHING HARBOURS TO BE DELIVERED AT FORETRUST BUILDING, CAPE TOWN.</t>
        </is>
      </c>
      <c r="I231" t="inlineStr">
        <is>
          <t>ETENDERS.GOV.ZA</t>
        </is>
      </c>
      <c r="J231" t="inlineStr">
        <is>
          <t>Marine Living Resources Fund</t>
        </is>
      </c>
      <c r="K231" t="inlineStr">
        <is>
          <t>Western Cape</t>
        </is>
      </c>
      <c r="L231" t="inlineStr">
        <is>
          <t>No</t>
        </is>
      </c>
      <c r="M231" t="inlineStr">
        <is>
          <t>Supplies: General</t>
        </is>
      </c>
      <c r="N231" t="inlineStr">
        <is>
          <t>No</t>
        </is>
      </c>
      <c r="O231" t="inlineStr">
        <is>
          <t>No</t>
        </is>
      </c>
      <c r="P231" t="inlineStr">
        <is>
          <t>N/A</t>
        </is>
      </c>
      <c r="Q231" s="3" t="inlineStr">
        <is>
          <t>https://www.etenders.gov.za/home/Download/?blobName=1a2d8f32-a26d-4360-9586-5f1094a7620c.pdf&amp;downloadedFileName=RFQ0001220.pdf</t>
        </is>
      </c>
      <c r="R231" t="inlineStr"/>
      <c r="S231" t="inlineStr"/>
      <c r="T231" t="inlineStr"/>
      <c r="U231" t="inlineStr"/>
      <c r="V231" t="inlineStr"/>
    </row>
    <row r="232">
      <c r="A232" s="2" t="n">
        <v>46176</v>
      </c>
      <c r="B232" t="n">
        <v>19</v>
      </c>
      <c r="C232" t="inlineStr">
        <is>
          <t>24 OF 2026</t>
        </is>
      </c>
      <c r="D232" s="2" t="n">
        <v>46176</v>
      </c>
      <c r="E232" s="2" t="n">
        <v>46209</v>
      </c>
      <c r="F232" t="inlineStr">
        <is>
          <t>12:00</t>
        </is>
      </c>
      <c r="G232" t="inlineStr">
        <is>
          <t>Request for Bid(Open-Tender)</t>
        </is>
      </c>
      <c r="H232" t="inlineStr">
        <is>
          <t>Supply and maintenance of electronic traffic surveillance equipment and provide administration of traffic contravention management system for the period of three (03) years</t>
        </is>
      </c>
      <c r="I232" t="inlineStr">
        <is>
          <t>ETENDERS.GOV.ZA</t>
        </is>
      </c>
      <c r="J232" t="inlineStr">
        <is>
          <t>Makhado Local Municipality</t>
        </is>
      </c>
      <c r="K232" t="inlineStr">
        <is>
          <t>Limpopo</t>
        </is>
      </c>
      <c r="L232" t="inlineStr">
        <is>
          <t>No</t>
        </is>
      </c>
      <c r="M232" t="inlineStr">
        <is>
          <t>Supplies: Computer Equipment</t>
        </is>
      </c>
      <c r="N232" t="inlineStr">
        <is>
          <t>Yes</t>
        </is>
      </c>
      <c r="O232" t="inlineStr">
        <is>
          <t>Yes</t>
        </is>
      </c>
      <c r="P232" t="inlineStr">
        <is>
          <t>Council Chamber,83 Krogh Street, Makhado</t>
        </is>
      </c>
      <c r="Q232" s="3" t="inlineStr">
        <is>
          <t>https://www.etenders.gov.za/home/Download/?blobName=0ced8151-0c67-489e-8549-4caa46f0b716.pdf&amp;downloadedFileName=ADVERTS%20for%20June%202026.pdf</t>
        </is>
      </c>
      <c r="R232" t="inlineStr"/>
      <c r="S232" t="inlineStr"/>
      <c r="T232" t="inlineStr"/>
      <c r="U232" t="inlineStr"/>
      <c r="V232" t="inlineStr"/>
    </row>
    <row r="233">
      <c r="A233" s="2" t="n">
        <v>46176</v>
      </c>
      <c r="B233" t="n">
        <v>18</v>
      </c>
      <c r="C233" t="inlineStr">
        <is>
          <t>RFQ24/2026</t>
        </is>
      </c>
      <c r="D233" s="2" t="n">
        <v>46176</v>
      </c>
      <c r="E233" s="2" t="n">
        <v>46178</v>
      </c>
      <c r="F233" t="inlineStr">
        <is>
          <t>11:00</t>
        </is>
      </c>
      <c r="G233" t="inlineStr">
        <is>
          <t>Request for Quotation</t>
        </is>
      </c>
      <c r="H233" t="inlineStr">
        <is>
          <t>RFQ24/2026 Staff Address Catering</t>
        </is>
      </c>
      <c r="I233" t="inlineStr">
        <is>
          <t>ETENDERS.GOV.ZA</t>
        </is>
      </c>
      <c r="J233" t="inlineStr">
        <is>
          <t>Artscape</t>
        </is>
      </c>
      <c r="K233" t="inlineStr">
        <is>
          <t>Western Cape</t>
        </is>
      </c>
      <c r="L233" t="inlineStr">
        <is>
          <t>No</t>
        </is>
      </c>
      <c r="M233" t="inlineStr">
        <is>
          <t>Food and beverage service activities</t>
        </is>
      </c>
      <c r="N233" t="inlineStr">
        <is>
          <t>No</t>
        </is>
      </c>
      <c r="O233" t="inlineStr">
        <is>
          <t>No</t>
        </is>
      </c>
      <c r="P233" t="inlineStr">
        <is>
          <t>N/A</t>
        </is>
      </c>
      <c r="Q233" s="3" t="inlineStr">
        <is>
          <t>https://www.etenders.gov.za/home/Download/?blobName=80c53f31-6a07-4530-b06c-1301dc600d87.pdf&amp;downloadedFileName=RFQ24%20STAFF%20ADDRESS%2010%20JUNE%202026.pdf</t>
        </is>
      </c>
      <c r="R233" t="inlineStr"/>
      <c r="S233" t="inlineStr"/>
      <c r="T233" t="inlineStr"/>
      <c r="U233" t="inlineStr"/>
      <c r="V233" t="inlineStr"/>
    </row>
    <row r="234">
      <c r="A234" s="2" t="n">
        <v>46176</v>
      </c>
      <c r="B234" t="n">
        <v>17</v>
      </c>
      <c r="C234" t="inlineStr">
        <is>
          <t>PU2200/031</t>
        </is>
      </c>
      <c r="D234" s="2" t="n">
        <v>46176</v>
      </c>
      <c r="E234" s="2" t="n">
        <v>46198</v>
      </c>
      <c r="F234" t="inlineStr">
        <is>
          <t>11:00</t>
        </is>
      </c>
      <c r="G234" t="inlineStr">
        <is>
          <t>Request for Bid(Open-Tender)</t>
        </is>
      </c>
      <c r="H234" t="inlineStr">
        <is>
          <t>THE REPAIR OF STORMWATER DRAINAGE DAMAGE AT WINGFIELD CAMPUS</t>
        </is>
      </c>
      <c r="I234" t="inlineStr">
        <is>
          <t>ETENDERS.GOV.ZA</t>
        </is>
      </c>
      <c r="J234" t="inlineStr">
        <is>
          <t>Northlink TVET College</t>
        </is>
      </c>
      <c r="K234" t="inlineStr">
        <is>
          <t>Western Cape</t>
        </is>
      </c>
      <c r="L234" t="inlineStr">
        <is>
          <t>No</t>
        </is>
      </c>
      <c r="M234" t="inlineStr">
        <is>
          <t>Construction</t>
        </is>
      </c>
      <c r="N234" t="inlineStr">
        <is>
          <t>Yes</t>
        </is>
      </c>
      <c r="O234" t="inlineStr">
        <is>
          <t>No</t>
        </is>
      </c>
      <c r="P234" t="inlineStr">
        <is>
          <t>Online</t>
        </is>
      </c>
      <c r="Q234" s="3" t="inlineStr">
        <is>
          <t>https://www.etenders.gov.za/home/Download/?blobName=6576eaef-18a3-4724-8187-4528f5ae6e13.pdf&amp;downloadedFileName=Tender%20advert%20-%20Stormwater.pdf</t>
        </is>
      </c>
      <c r="R234" t="inlineStr"/>
      <c r="S234" t="inlineStr"/>
      <c r="T234" t="inlineStr"/>
      <c r="U234" t="inlineStr"/>
      <c r="V234" t="inlineStr"/>
    </row>
    <row r="235">
      <c r="A235" s="2" t="n">
        <v>46176</v>
      </c>
      <c r="B235" t="n">
        <v>16</v>
      </c>
      <c r="C235" t="inlineStr">
        <is>
          <t>SANAS/ERP/2026-27/03</t>
        </is>
      </c>
      <c r="D235" s="2" t="n">
        <v>46176</v>
      </c>
      <c r="E235" s="2" t="n">
        <v>46192</v>
      </c>
      <c r="F235" t="inlineStr">
        <is>
          <t>11:00</t>
        </is>
      </c>
      <c r="G235" t="inlineStr">
        <is>
          <t>Request for Information</t>
        </is>
      </c>
      <c r="H235" t="inlineStr">
        <is>
          <t>IMPLEMENTATION OF THE ERP SYSTEM</t>
        </is>
      </c>
      <c r="I235" t="inlineStr">
        <is>
          <t>ETENDERS.GOV.ZA</t>
        </is>
      </c>
      <c r="J235" t="inlineStr">
        <is>
          <t>South African National Accreditation System</t>
        </is>
      </c>
      <c r="K235" t="inlineStr">
        <is>
          <t>National</t>
        </is>
      </c>
      <c r="L235" t="inlineStr">
        <is>
          <t>No</t>
        </is>
      </c>
      <c r="M235" t="inlineStr">
        <is>
          <t>Services: Professional</t>
        </is>
      </c>
      <c r="N235" t="inlineStr">
        <is>
          <t>No</t>
        </is>
      </c>
      <c r="O235" t="inlineStr">
        <is>
          <t>No</t>
        </is>
      </c>
      <c r="P235" t="inlineStr">
        <is>
          <t>N/A</t>
        </is>
      </c>
      <c r="Q235" s="3" t="inlineStr">
        <is>
          <t>https://www.etenders.gov.za/home/Download/?blobName=33cb4b7e-3b44-425c-91c2-ffa4468edf7d.pdf&amp;downloadedFileName=RFI%20document%20for%20ERP.pdf</t>
        </is>
      </c>
      <c r="R235" t="inlineStr"/>
      <c r="S235" t="inlineStr"/>
      <c r="T235" t="inlineStr"/>
      <c r="U235" t="inlineStr"/>
      <c r="V235" t="inlineStr"/>
    </row>
    <row r="236">
      <c r="A236" s="2" t="n">
        <v>46176</v>
      </c>
      <c r="B236" t="n">
        <v>15</v>
      </c>
      <c r="C236" t="inlineStr">
        <is>
          <t>SACAA/CSMS/00006/2026 - 2027</t>
        </is>
      </c>
      <c r="D236" s="2" t="n">
        <v>46176</v>
      </c>
      <c r="E236" s="2" t="n">
        <v>46197</v>
      </c>
      <c r="F236" t="inlineStr">
        <is>
          <t>11:00</t>
        </is>
      </c>
      <c r="G236" t="inlineStr">
        <is>
          <t>Request for Bid(Open-Tender)</t>
        </is>
      </c>
      <c r="H236" t="inlineStr">
        <is>
          <t>FOR THE PROVISION OF CYBER SECURITY MONITORING AND MANAGED DETECTION AND RESPONSE SERVICES FOR THE SACAA FOR A PERIOD OF THREE (3) YEARS.</t>
        </is>
      </c>
      <c r="I236" t="inlineStr">
        <is>
          <t>ETENDERS.GOV.ZA</t>
        </is>
      </c>
      <c r="J236" t="inlineStr">
        <is>
          <t>South African Civil Aviation Authority</t>
        </is>
      </c>
      <c r="K236" t="inlineStr">
        <is>
          <t>Gauteng</t>
        </is>
      </c>
      <c r="L236" t="inlineStr">
        <is>
          <t>No</t>
        </is>
      </c>
      <c r="M236" t="inlineStr">
        <is>
          <t>Services: Professional</t>
        </is>
      </c>
      <c r="N236" t="inlineStr">
        <is>
          <t>No</t>
        </is>
      </c>
      <c r="O236" t="inlineStr">
        <is>
          <t>No</t>
        </is>
      </c>
      <c r="P236" t="inlineStr">
        <is>
          <t>N/A</t>
        </is>
      </c>
      <c r="Q236" s="3" t="inlineStr">
        <is>
          <t>https://www.etenders.gov.za/home/Download/?blobName=c84d6e22-f7d9-4a46-99f0-1b075fbed8e4.pdf&amp;downloadedFileName=Tender%20Document%20-%20Cyber%20Security%20Monitoring%20Services%20-%20June%202026.pdf</t>
        </is>
      </c>
      <c r="R236" t="inlineStr"/>
      <c r="S236" t="inlineStr"/>
      <c r="T236" t="inlineStr"/>
      <c r="U236" t="inlineStr"/>
      <c r="V236" t="inlineStr"/>
    </row>
    <row r="237">
      <c r="A237" s="2" t="n">
        <v>46176</v>
      </c>
      <c r="B237" t="n">
        <v>14</v>
      </c>
      <c r="C237" t="inlineStr">
        <is>
          <t>17/2026</t>
        </is>
      </c>
      <c r="D237" s="2" t="n">
        <v>46176</v>
      </c>
      <c r="E237" s="2" t="n">
        <v>46210</v>
      </c>
      <c r="F237" t="inlineStr">
        <is>
          <t>11:00</t>
        </is>
      </c>
      <c r="G237" t="inlineStr">
        <is>
          <t>Request for Proposal</t>
        </is>
      </c>
      <c r="H237" t="inlineStr">
        <is>
          <t>Provision of Office Accommodation for a period of up to five (5) years in respect of Malmesbury Local Office</t>
        </is>
      </c>
      <c r="I237" t="inlineStr">
        <is>
          <t>ETENDERS.GOV.ZA</t>
        </is>
      </c>
      <c r="J237" t="inlineStr">
        <is>
          <t>Legal Aid South Africa</t>
        </is>
      </c>
      <c r="K237" t="inlineStr">
        <is>
          <t>Northern Cape</t>
        </is>
      </c>
      <c r="L237" t="inlineStr">
        <is>
          <t>No</t>
        </is>
      </c>
      <c r="M237" t="inlineStr">
        <is>
          <t>Accommodation</t>
        </is>
      </c>
      <c r="N237" t="inlineStr">
        <is>
          <t>Yes</t>
        </is>
      </c>
      <c r="O237" t="inlineStr">
        <is>
          <t>No</t>
        </is>
      </c>
      <c r="P237" t="inlineStr">
        <is>
          <t>Lionel Frank Building 47 Voortrekker Road Malmesbury</t>
        </is>
      </c>
      <c r="Q237" s="3" t="inlineStr">
        <is>
          <t>https://www.etenders.gov.za/home/Download/?blobName=836b0323-cf1a-48c4-85f3-0a5d54f0637c.pdf&amp;downloadedFileName=RFP%20-%20Property%20Leasing%20Malmesbury%20%20LO.pdf</t>
        </is>
      </c>
      <c r="R237" t="inlineStr"/>
      <c r="S237" t="inlineStr"/>
      <c r="T237" t="inlineStr"/>
      <c r="U237" t="inlineStr"/>
      <c r="V237" t="inlineStr"/>
    </row>
    <row r="238">
      <c r="A238" s="2" t="n">
        <v>46176</v>
      </c>
      <c r="B238" t="n">
        <v>13</v>
      </c>
      <c r="C238" t="inlineStr">
        <is>
          <t>RFQ12312</t>
        </is>
      </c>
      <c r="D238" s="2" t="n">
        <v>46176</v>
      </c>
      <c r="E238" s="2" t="n">
        <v>46183</v>
      </c>
      <c r="F238" t="inlineStr">
        <is>
          <t>12:00</t>
        </is>
      </c>
      <c r="G238" t="inlineStr">
        <is>
          <t>Request for Quotation</t>
        </is>
      </c>
      <c r="H238" t="inlineStr">
        <is>
          <t>APPOINTMENT OF A SERVICE PROVIDER REPLACEMENT OF THE FAULTY ELECTRICAL CABLE AT PERSEUS</t>
        </is>
      </c>
      <c r="I238" t="inlineStr">
        <is>
          <t>ETENDERS.GOV.ZA</t>
        </is>
      </c>
      <c r="J238" t="inlineStr">
        <is>
          <t>Broadband Infraco SOC</t>
        </is>
      </c>
      <c r="K238" t="inlineStr">
        <is>
          <t>Free State</t>
        </is>
      </c>
      <c r="L238" t="inlineStr">
        <is>
          <t>No</t>
        </is>
      </c>
      <c r="M238" t="inlineStr">
        <is>
          <t>Telecommunications</t>
        </is>
      </c>
      <c r="N238" t="inlineStr">
        <is>
          <t>No</t>
        </is>
      </c>
      <c r="O238" t="inlineStr">
        <is>
          <t>No</t>
        </is>
      </c>
      <c r="P238" t="inlineStr">
        <is>
          <t>N/A</t>
        </is>
      </c>
      <c r="Q238" s="3" t="inlineStr">
        <is>
          <t>https://www.etenders.gov.za/home/Download/?blobName=78ef0180-00af-4006-9529-a9450c4b3cf7.pdf&amp;downloadedFileName=RFQ_12312%20-%20Replacement%20of%20faulty%20cable%20at%20Persues%20TM.pdf</t>
        </is>
      </c>
      <c r="R238" t="inlineStr"/>
      <c r="S238" t="inlineStr"/>
      <c r="T238" t="inlineStr"/>
      <c r="U238" t="inlineStr"/>
      <c r="V238" t="inlineStr"/>
    </row>
    <row r="239">
      <c r="A239" s="2" t="n">
        <v>46176</v>
      </c>
      <c r="B239" t="n">
        <v>12</v>
      </c>
      <c r="C239" t="inlineStr">
        <is>
          <t>ZNQ22/26/27</t>
        </is>
      </c>
      <c r="D239" s="2" t="n">
        <v>46176</v>
      </c>
      <c r="E239" s="2" t="n">
        <v>46182</v>
      </c>
      <c r="F239" t="inlineStr">
        <is>
          <t>11:00</t>
        </is>
      </c>
      <c r="G239" t="inlineStr">
        <is>
          <t>Request for Quotation</t>
        </is>
      </c>
      <c r="H239" t="inlineStr">
        <is>
          <t>Suitable and Capable service providers are hereby invited to quote for Minor décor, a Sign Language Interpreters, Catering and Sound system to Commemorate Youth Month at eThekwini Mayville, 455A Jan Smuts on the 12 June 2026 for the Department of Public Works and Infrastructure.</t>
        </is>
      </c>
      <c r="I239" t="inlineStr">
        <is>
          <t>ETENDERS.GOV.ZA</t>
        </is>
      </c>
      <c r="J239" t="inlineStr">
        <is>
          <t>Kwazulu Natal - Public Works (Head Office)</t>
        </is>
      </c>
      <c r="K239" t="inlineStr">
        <is>
          <t>KwaZulu-Natal</t>
        </is>
      </c>
      <c r="L239" t="inlineStr">
        <is>
          <t>No</t>
        </is>
      </c>
      <c r="M239" t="inlineStr">
        <is>
          <t>Administrative and support activities</t>
        </is>
      </c>
      <c r="N239" t="inlineStr">
        <is>
          <t>No</t>
        </is>
      </c>
      <c r="O239" t="inlineStr">
        <is>
          <t>No</t>
        </is>
      </c>
      <c r="P239" t="inlineStr">
        <is>
          <t>N/A</t>
        </is>
      </c>
      <c r="Q239" s="3" t="inlineStr">
        <is>
          <t>https://www.etenders.gov.za/home/Download/?blobName=6031aa8d-3881-4df0-aa92-3fd3bb929207.pdf&amp;downloadedFileName=Advert%20ZNQ22.26.27.pdf</t>
        </is>
      </c>
      <c r="R239" t="inlineStr"/>
      <c r="S239" t="inlineStr"/>
      <c r="T239" t="inlineStr"/>
      <c r="U239" t="inlineStr"/>
      <c r="V239" t="inlineStr"/>
    </row>
    <row r="240">
      <c r="A240" s="2" t="n">
        <v>46176</v>
      </c>
      <c r="B240" t="n">
        <v>11</v>
      </c>
      <c r="C240" t="inlineStr">
        <is>
          <t>ZNQP 01/05/2026</t>
        </is>
      </c>
      <c r="D240" s="2" t="n">
        <v>46176</v>
      </c>
      <c r="E240" s="2" t="n">
        <v>46183</v>
      </c>
      <c r="F240" t="inlineStr">
        <is>
          <t>11:00</t>
        </is>
      </c>
      <c r="G240" t="inlineStr">
        <is>
          <t>Request for Quotation</t>
        </is>
      </c>
      <c r="H240" t="inlineStr">
        <is>
          <t>Appointment of a service provider for the procurement of 15kg storage boxes with lids for the Department of Public Works &amp; Infrastructure: Mayville Regional Office.</t>
        </is>
      </c>
      <c r="I240" t="inlineStr">
        <is>
          <t>ETENDERS.GOV.ZA</t>
        </is>
      </c>
      <c r="J240" t="inlineStr">
        <is>
          <t>Kwazulu Natal - Public Works (Head Office)</t>
        </is>
      </c>
      <c r="K240" t="inlineStr">
        <is>
          <t>KwaZulu-Natal</t>
        </is>
      </c>
      <c r="L240" t="inlineStr">
        <is>
          <t>No</t>
        </is>
      </c>
      <c r="M240" t="inlineStr">
        <is>
          <t>Supplies: Stationery/Printing</t>
        </is>
      </c>
      <c r="N240" t="inlineStr">
        <is>
          <t>No</t>
        </is>
      </c>
      <c r="O240" t="inlineStr">
        <is>
          <t>No</t>
        </is>
      </c>
      <c r="P240" t="inlineStr">
        <is>
          <t>N/A</t>
        </is>
      </c>
      <c r="Q240" s="3" t="inlineStr">
        <is>
          <t>https://www.etenders.gov.za/home/Download/?blobName=c1dc4177-ea10-44e6-a387-c874f0f9035b.pdf&amp;downloadedFileName=QUOTATION%20DOCUMENT%20FOR%20ZNQP%2001-05-2026%20BOXES%20%20LIDS.pdf</t>
        </is>
      </c>
      <c r="R240" t="inlineStr"/>
      <c r="S240" t="inlineStr"/>
      <c r="T240" t="inlineStr"/>
      <c r="U240" t="inlineStr"/>
      <c r="V240" t="inlineStr"/>
    </row>
    <row r="241">
      <c r="A241" s="2" t="n">
        <v>46176</v>
      </c>
      <c r="B241" t="n">
        <v>10</v>
      </c>
      <c r="C241" t="inlineStr">
        <is>
          <t>E1008DXMWP-Cancellation</t>
        </is>
      </c>
      <c r="D241" s="2" t="n">
        <v>46176</v>
      </c>
      <c r="E241" s="2" t="n">
        <v>46203</v>
      </c>
      <c r="F241" t="inlineStr">
        <is>
          <t>10:00</t>
        </is>
      </c>
      <c r="G241" t="inlineStr">
        <is>
          <t>Request for Bid(Open-Tender)</t>
        </is>
      </c>
      <c r="H241" t="inlineStr">
        <is>
          <t>Cancellation for the design, manufacture and testing ex-works of various types of miniature substations over a 5 (five) year’s period on an “as and when required” basis to the distribution division</t>
        </is>
      </c>
      <c r="I241" t="inlineStr">
        <is>
          <t>ETENDERS.GOV.ZA</t>
        </is>
      </c>
      <c r="J241" t="inlineStr">
        <is>
          <t>ESKOM</t>
        </is>
      </c>
      <c r="K241" t="inlineStr">
        <is>
          <t>Gauteng</t>
        </is>
      </c>
      <c r="L241" t="inlineStr">
        <is>
          <t>No</t>
        </is>
      </c>
      <c r="M241" t="inlineStr">
        <is>
          <t>Supplies: General</t>
        </is>
      </c>
      <c r="N241" t="inlineStr">
        <is>
          <t>No</t>
        </is>
      </c>
      <c r="O241" t="inlineStr">
        <is>
          <t>No</t>
        </is>
      </c>
      <c r="P241" t="inlineStr">
        <is>
          <t>N/A</t>
        </is>
      </c>
      <c r="Q241" s="3" t="inlineStr">
        <is>
          <t>https://www.etenders.gov.za/home/Download/?blobName=b7d5bb36-e26f-4502-8f99-86e42118669c.pdf&amp;downloadedFileName=Tender%20Cancellation%20Letter%20-%20Mini%20Subs.pdf</t>
        </is>
      </c>
      <c r="R241" t="inlineStr"/>
      <c r="S241" t="inlineStr"/>
      <c r="T241" t="inlineStr"/>
      <c r="U241" t="inlineStr"/>
      <c r="V241" t="inlineStr"/>
    </row>
    <row r="242">
      <c r="A242" s="2" t="n">
        <v>46176</v>
      </c>
      <c r="B242" t="n">
        <v>9</v>
      </c>
      <c r="C242" t="inlineStr">
        <is>
          <t>E1096DXEALR</t>
        </is>
      </c>
      <c r="D242" s="2" t="n">
        <v>46176</v>
      </c>
      <c r="E242" s="2" t="n">
        <v>46203</v>
      </c>
      <c r="F242" t="inlineStr">
        <is>
          <t>10:00</t>
        </is>
      </c>
      <c r="G242" t="inlineStr">
        <is>
          <t>Request for Bid(Open-Tender)</t>
        </is>
      </c>
      <c r="H242" t="inlineStr">
        <is>
          <t>Provision for civil work on MV/LV underground cables within Eskom Distribution Gauteng Cluster for a period of 5 years on an “as and when” required basis</t>
        </is>
      </c>
      <c r="I242" t="inlineStr">
        <is>
          <t>ETENDERS.GOV.ZA</t>
        </is>
      </c>
      <c r="J242" t="inlineStr">
        <is>
          <t>ESKOM</t>
        </is>
      </c>
      <c r="K242" t="inlineStr">
        <is>
          <t>Gauteng</t>
        </is>
      </c>
      <c r="L242" t="inlineStr">
        <is>
          <t>No</t>
        </is>
      </c>
      <c r="M242" t="inlineStr">
        <is>
          <t>Services: General</t>
        </is>
      </c>
      <c r="N242" t="inlineStr">
        <is>
          <t>Yes</t>
        </is>
      </c>
      <c r="O242" t="inlineStr">
        <is>
          <t>Yes</t>
        </is>
      </c>
      <c r="P242" t="inlineStr">
        <is>
          <t>MS TEAMS</t>
        </is>
      </c>
      <c r="Q242" s="3" t="inlineStr">
        <is>
          <t>https://www.etenders.gov.za/home/Download/?blobName=375bf6dc-19c9-45e8-b181-c36d24f62946.zip&amp;downloadedFileName=Tender%20Documents.zip</t>
        </is>
      </c>
      <c r="R242" t="inlineStr"/>
      <c r="S242" t="inlineStr"/>
      <c r="T242" t="inlineStr"/>
      <c r="U242" t="inlineStr"/>
      <c r="V242" t="inlineStr"/>
    </row>
    <row r="243">
      <c r="A243" s="2" t="n">
        <v>46176</v>
      </c>
      <c r="B243" t="n">
        <v>8</v>
      </c>
      <c r="C243" t="inlineStr">
        <is>
          <t>E2902GXMPKRI</t>
        </is>
      </c>
      <c r="D243" s="2" t="n">
        <v>46176</v>
      </c>
      <c r="E243" s="2" t="n">
        <v>46195</v>
      </c>
      <c r="F243" t="inlineStr">
        <is>
          <t>10:00</t>
        </is>
      </c>
      <c r="G243" t="inlineStr">
        <is>
          <t>Request for Bid(Open-Tender)</t>
        </is>
      </c>
      <c r="H243" t="inlineStr">
        <is>
          <t>Draw, Fabricate, Supply, Deliver, Replace, and Install new pipework with fittings inside the cable tunnels and pipe trenches at Kriel Power Station for a period of six months</t>
        </is>
      </c>
      <c r="I243" t="inlineStr">
        <is>
          <t>ETENDERS.GOV.ZA</t>
        </is>
      </c>
      <c r="J243" t="inlineStr">
        <is>
          <t>ESKOM</t>
        </is>
      </c>
      <c r="K243" t="inlineStr">
        <is>
          <t>Mpumalanga</t>
        </is>
      </c>
      <c r="L243" t="inlineStr">
        <is>
          <t>No</t>
        </is>
      </c>
      <c r="M243" t="inlineStr">
        <is>
          <t>Services: General</t>
        </is>
      </c>
      <c r="N243" t="inlineStr">
        <is>
          <t>Yes</t>
        </is>
      </c>
      <c r="O243" t="inlineStr">
        <is>
          <t>No</t>
        </is>
      </c>
      <c r="P243" t="inlineStr">
        <is>
          <t>MS Teams link in tender document</t>
        </is>
      </c>
      <c r="Q243" s="3" t="inlineStr">
        <is>
          <t>https://www.etenders.gov.za/home/Download/?blobName=fa69eb6e-9840-45d3-b2c5-20d161ed24b9.pdf&amp;downloadedFileName=240-68099512%20Form%20A_Cat%203_%20Rev%209.pdf</t>
        </is>
      </c>
      <c r="R243" t="inlineStr"/>
      <c r="S243" t="inlineStr"/>
      <c r="T243" t="inlineStr"/>
      <c r="U243" t="inlineStr"/>
      <c r="V243" t="inlineStr"/>
    </row>
    <row r="244">
      <c r="A244" s="2" t="n">
        <v>46176</v>
      </c>
      <c r="B244" t="n">
        <v>7</v>
      </c>
      <c r="C244" t="inlineStr">
        <is>
          <t>E0626LS ERI</t>
        </is>
      </c>
      <c r="D244" s="2" t="n">
        <v>46176</v>
      </c>
      <c r="E244" s="2" t="n">
        <v>46198</v>
      </c>
      <c r="F244" t="inlineStr">
        <is>
          <t>10:00</t>
        </is>
      </c>
      <c r="G244" t="inlineStr">
        <is>
          <t>Request for Quotation</t>
        </is>
      </c>
      <c r="H244" t="inlineStr">
        <is>
          <t>Provision of Management of Driver Camera for a period of 5 years (60 months) on as and when required</t>
        </is>
      </c>
      <c r="I244" t="inlineStr">
        <is>
          <t>ETENDERS.GOV.ZA</t>
        </is>
      </c>
      <c r="J244" t="inlineStr">
        <is>
          <t>ESKOM</t>
        </is>
      </c>
      <c r="K244" t="inlineStr">
        <is>
          <t>National</t>
        </is>
      </c>
      <c r="L244" t="inlineStr">
        <is>
          <t>No</t>
        </is>
      </c>
      <c r="M244" t="inlineStr">
        <is>
          <t>Other service activities</t>
        </is>
      </c>
      <c r="N244" t="inlineStr">
        <is>
          <t>Yes</t>
        </is>
      </c>
      <c r="O244" t="inlineStr">
        <is>
          <t>Yes</t>
        </is>
      </c>
      <c r="P244" t="inlineStr">
        <is>
          <t>MS Teams</t>
        </is>
      </c>
      <c r="Q244" s="3" t="inlineStr">
        <is>
          <t>https://www.etenders.gov.za/home/Download/?blobName=117862cd-1b36-4dd8-9300-0b3b6b8384df.pdf&amp;downloadedFileName=Annexure%20K%20-%20Driver%20Camera.pdf</t>
        </is>
      </c>
      <c r="R244" t="inlineStr"/>
      <c r="S244" t="inlineStr"/>
      <c r="T244" t="inlineStr"/>
      <c r="U244" t="inlineStr"/>
      <c r="V244" t="inlineStr"/>
    </row>
    <row r="245">
      <c r="A245" s="2" t="n">
        <v>46176</v>
      </c>
      <c r="B245" t="n">
        <v>6</v>
      </c>
      <c r="C245" t="inlineStr">
        <is>
          <t>E2998GXMPLET</t>
        </is>
      </c>
      <c r="D245" s="2" t="n">
        <v>46176</v>
      </c>
      <c r="E245" s="2" t="n">
        <v>46198</v>
      </c>
      <c r="F245" t="inlineStr">
        <is>
          <t>11:00</t>
        </is>
      </c>
      <c r="G245" t="inlineStr">
        <is>
          <t>Request for Bid(Open-Tender)</t>
        </is>
      </c>
      <c r="H245" t="inlineStr">
        <is>
          <t>The preventative and corrective maintenance and continuous operating and monitoring of all heating, ventilation, air conditioning and refrigeration (HVAC&amp;R) systems as well as installation of domestic and industrial air conditioning and refrigeration systems at Lethabo Power Station for the period of 5 years</t>
        </is>
      </c>
      <c r="I245" t="inlineStr">
        <is>
          <t>ETENDERS.GOV.ZA</t>
        </is>
      </c>
      <c r="J245" t="inlineStr">
        <is>
          <t>ESKOM</t>
        </is>
      </c>
      <c r="K245" t="inlineStr">
        <is>
          <t>Free State</t>
        </is>
      </c>
      <c r="L245" t="inlineStr">
        <is>
          <t>No</t>
        </is>
      </c>
      <c r="M245" t="inlineStr">
        <is>
          <t>Services: Professional</t>
        </is>
      </c>
      <c r="N245" t="inlineStr">
        <is>
          <t>Yes</t>
        </is>
      </c>
      <c r="O245" t="inlineStr">
        <is>
          <t>No</t>
        </is>
      </c>
      <c r="P245" t="inlineStr">
        <is>
          <t>https://teams.microsoft.com/dl/launcher/launcher.html?url=%2F_%23%2Fmeet%2F347587149751893%3Fp%3Dge4</t>
        </is>
      </c>
      <c r="Q245" s="3" t="inlineStr">
        <is>
          <t>https://www.etenders.gov.za/home/Download/?blobName=5947a5c7-f6f0-408f-9078-fd669b1c0578.zip&amp;downloadedFileName=Tender%20Documents.zip</t>
        </is>
      </c>
      <c r="R245" t="inlineStr"/>
      <c r="S245" t="inlineStr"/>
      <c r="T245" t="inlineStr"/>
      <c r="U245" t="inlineStr"/>
      <c r="V245" t="inlineStr"/>
    </row>
    <row r="246">
      <c r="A246" s="2" t="n">
        <v>46176</v>
      </c>
      <c r="B246" t="n">
        <v>5</v>
      </c>
      <c r="C246" t="inlineStr">
        <is>
          <t>10116259</t>
        </is>
      </c>
      <c r="D246" s="2" t="n">
        <v>46176</v>
      </c>
      <c r="E246" s="2" t="n">
        <v>46184</v>
      </c>
      <c r="F246" t="inlineStr">
        <is>
          <t>11:00</t>
        </is>
      </c>
      <c r="G246" t="inlineStr">
        <is>
          <t>Request for Quotation</t>
        </is>
      </c>
      <c r="H246" t="inlineStr">
        <is>
          <t>The Road Accident Fund would like to appoint a Service Provider to provide monthly pest control services at RAF Durban offices for a period of (24) twenty-four months.</t>
        </is>
      </c>
      <c r="I246" t="inlineStr">
        <is>
          <t>ETENDERS.GOV.ZA</t>
        </is>
      </c>
      <c r="J246" t="inlineStr">
        <is>
          <t>Road Accident Fund</t>
        </is>
      </c>
      <c r="K246" t="inlineStr">
        <is>
          <t>KwaZulu-Natal</t>
        </is>
      </c>
      <c r="L246" t="inlineStr">
        <is>
          <t>No</t>
        </is>
      </c>
      <c r="M246" t="inlineStr">
        <is>
          <t>Human health activities</t>
        </is>
      </c>
      <c r="N246" t="inlineStr">
        <is>
          <t>No</t>
        </is>
      </c>
      <c r="O246" t="inlineStr">
        <is>
          <t>No</t>
        </is>
      </c>
      <c r="P246" t="inlineStr">
        <is>
          <t>N/A</t>
        </is>
      </c>
      <c r="Q246" s="3" t="inlineStr">
        <is>
          <t>https://www.etenders.gov.za/home/Download/?blobName=dae572ca-046d-4153-9329-05e530c955d1.docx&amp;downloadedFileName=RFQ%20Document%20-%20PR10116259%20Pest%20Control%20Service%20Contract%202026.docx</t>
        </is>
      </c>
      <c r="R246" t="inlineStr"/>
      <c r="S246" t="inlineStr"/>
      <c r="T246" t="inlineStr"/>
      <c r="U246" t="inlineStr"/>
      <c r="V246" t="inlineStr"/>
    </row>
    <row r="247">
      <c r="A247" s="2" t="n">
        <v>46176</v>
      </c>
      <c r="B247" t="n">
        <v>4</v>
      </c>
      <c r="C247" t="inlineStr">
        <is>
          <t>COJ0080-25/26 RE-ADVERT</t>
        </is>
      </c>
      <c r="D247" s="2" t="n">
        <v>46176</v>
      </c>
      <c r="E247" s="2" t="n">
        <v>46183</v>
      </c>
      <c r="F247" t="inlineStr">
        <is>
          <t>10:30</t>
        </is>
      </c>
      <c r="G247" t="inlineStr">
        <is>
          <t>Request for Quotation</t>
        </is>
      </c>
      <c r="H247" t="inlineStr">
        <is>
          <t>APPOINTMENT OF A SUITABLE SERVICE PROVIDER TO PROVIDE CALIBRATION SERVICES FOR THE SOUND LEVEL METERS AND ISSUE CALIBRATION CERTIFICATES FOR THE CALIBRATED SOUND LEVEL METERS</t>
        </is>
      </c>
      <c r="I247" t="inlineStr">
        <is>
          <t>ETENDERS.GOV.ZA</t>
        </is>
      </c>
      <c r="J247" t="inlineStr">
        <is>
          <t>City Council of Johannesburg</t>
        </is>
      </c>
      <c r="K247" t="inlineStr">
        <is>
          <t>Gauteng</t>
        </is>
      </c>
      <c r="L247" t="inlineStr">
        <is>
          <t>No</t>
        </is>
      </c>
      <c r="M247" t="inlineStr">
        <is>
          <t>Services: General</t>
        </is>
      </c>
      <c r="N247" t="inlineStr">
        <is>
          <t>No</t>
        </is>
      </c>
      <c r="O247" t="inlineStr">
        <is>
          <t>No</t>
        </is>
      </c>
      <c r="P247" t="inlineStr">
        <is>
          <t>N/A</t>
        </is>
      </c>
      <c r="Q247" s="3" t="inlineStr">
        <is>
          <t>https://www.etenders.gov.za/home/Download/?blobName=ef121137-5df2-47cb-9a2a-3eaabd627d48.pdf&amp;downloadedFileName=COJ0080.25.26%20CALIBRATION%20OF%20SOUND%20RE%20ADVERT.pdf</t>
        </is>
      </c>
      <c r="R247" t="inlineStr"/>
      <c r="S247" t="inlineStr"/>
      <c r="T247" t="inlineStr"/>
      <c r="U247" t="inlineStr"/>
      <c r="V247" t="inlineStr"/>
    </row>
    <row r="248">
      <c r="A248" s="2" t="n">
        <v>46176</v>
      </c>
      <c r="B248" t="n">
        <v>3</v>
      </c>
      <c r="C248" t="inlineStr">
        <is>
          <t>COJ0109-25/26</t>
        </is>
      </c>
      <c r="D248" s="2" t="n">
        <v>46176</v>
      </c>
      <c r="E248" s="2" t="n">
        <v>46183</v>
      </c>
      <c r="F248" t="inlineStr">
        <is>
          <t>10:30</t>
        </is>
      </c>
      <c r="G248" t="inlineStr">
        <is>
          <t>Request for Quotation</t>
        </is>
      </c>
      <c r="H248" t="inlineStr">
        <is>
          <t>SUPPLY, BRAND, AND DELIVERY OF BRANDED RECOGNTION ITEMS FOR PUBLIC SAFETY DEPARTMENT</t>
        </is>
      </c>
      <c r="I248" t="inlineStr">
        <is>
          <t>ETENDERS.GOV.ZA</t>
        </is>
      </c>
      <c r="J248" t="inlineStr">
        <is>
          <t>City Council of Johannesburg</t>
        </is>
      </c>
      <c r="K248" t="inlineStr">
        <is>
          <t>Gauteng</t>
        </is>
      </c>
      <c r="L248" t="inlineStr">
        <is>
          <t>No</t>
        </is>
      </c>
      <c r="M248" t="inlineStr">
        <is>
          <t>Services: General</t>
        </is>
      </c>
      <c r="N248" t="inlineStr">
        <is>
          <t>No</t>
        </is>
      </c>
      <c r="O248" t="inlineStr">
        <is>
          <t>No</t>
        </is>
      </c>
      <c r="P248" t="inlineStr">
        <is>
          <t>N/A</t>
        </is>
      </c>
      <c r="Q248" s="3" t="inlineStr">
        <is>
          <t>https://www.etenders.gov.za/home/Download/?blobName=e8f462a0-ae96-432b-987e-a28b4dc791b7.pdf&amp;downloadedFileName=COJ0109-25-26%20BRANDED%20RECOGNITION%20ITEMS.pdf</t>
        </is>
      </c>
      <c r="R248" t="inlineStr"/>
      <c r="S248" t="inlineStr"/>
      <c r="T248" t="inlineStr"/>
      <c r="U248" t="inlineStr"/>
      <c r="V248" t="inlineStr"/>
    </row>
    <row r="249">
      <c r="A249" s="2" t="n">
        <v>46176</v>
      </c>
      <c r="B249" t="n">
        <v>2</v>
      </c>
      <c r="C249" t="inlineStr">
        <is>
          <t>COJ0110-25/25</t>
        </is>
      </c>
      <c r="D249" s="2" t="n">
        <v>46176</v>
      </c>
      <c r="E249" s="2" t="n">
        <v>46183</v>
      </c>
      <c r="F249" t="inlineStr">
        <is>
          <t>10:30</t>
        </is>
      </c>
      <c r="G249" t="inlineStr">
        <is>
          <t>Request for Quotation</t>
        </is>
      </c>
      <c r="H249" t="inlineStr">
        <is>
          <t>SUPPLY, DELIVERY, AND OFFLOADING OF DISPOSABLE VAGINAL SPECULUMS</t>
        </is>
      </c>
      <c r="I249" t="inlineStr">
        <is>
          <t>ETENDERS.GOV.ZA</t>
        </is>
      </c>
      <c r="J249" t="inlineStr">
        <is>
          <t>City Council of Johannesburg</t>
        </is>
      </c>
      <c r="K249" t="inlineStr">
        <is>
          <t>Gauteng</t>
        </is>
      </c>
      <c r="L249" t="inlineStr">
        <is>
          <t>No</t>
        </is>
      </c>
      <c r="M249" t="inlineStr">
        <is>
          <t>Services: General</t>
        </is>
      </c>
      <c r="N249" t="inlineStr">
        <is>
          <t>No</t>
        </is>
      </c>
      <c r="O249" t="inlineStr">
        <is>
          <t>No</t>
        </is>
      </c>
      <c r="P249" t="inlineStr">
        <is>
          <t>N/A</t>
        </is>
      </c>
      <c r="Q249" s="3" t="inlineStr">
        <is>
          <t>https://www.etenders.gov.za/home/Download/?blobName=7e2e7498-c32c-48a1-a8c5-087753fba91c.pdf&amp;downloadedFileName=COJ0110-25-26%20VAGINAL%20SPECULUMS.pdf</t>
        </is>
      </c>
      <c r="R249" t="inlineStr"/>
      <c r="S249" t="inlineStr"/>
      <c r="T249" t="inlineStr"/>
      <c r="U249" t="inlineStr"/>
      <c r="V249" t="inlineStr"/>
    </row>
    <row r="250">
      <c r="A250" s="2" t="n">
        <v>46176</v>
      </c>
      <c r="B250" t="n">
        <v>1</v>
      </c>
      <c r="C250" t="inlineStr">
        <is>
          <t>RAF/2026/00031</t>
        </is>
      </c>
      <c r="D250" s="2" t="n">
        <v>46176</v>
      </c>
      <c r="E250" s="2" t="n">
        <v>46183</v>
      </c>
      <c r="F250" t="inlineStr">
        <is>
          <t>11:00</t>
        </is>
      </c>
      <c r="G250" t="inlineStr">
        <is>
          <t>Request for Information</t>
        </is>
      </c>
      <c r="H250" t="inlineStr">
        <is>
          <t>REQUEST FOR INFORMATION: APPOINTMENT OF A SERVICE PROVIDER TO CARRY OUT A TENANT INSTALLATION FOR THE STATE ATTORNEYS’ OFFICE SPACE IN CAPE TOWN, 33 WATERKANT STREET.</t>
        </is>
      </c>
      <c r="I250" t="inlineStr">
        <is>
          <t>ETENDERS.GOV.ZA</t>
        </is>
      </c>
      <c r="J250" t="inlineStr">
        <is>
          <t>Road Accident Fund</t>
        </is>
      </c>
      <c r="K250" t="inlineStr">
        <is>
          <t>Western Cape</t>
        </is>
      </c>
      <c r="L250" t="inlineStr">
        <is>
          <t>No</t>
        </is>
      </c>
      <c r="M250" t="inlineStr">
        <is>
          <t>Construction</t>
        </is>
      </c>
      <c r="N250" t="inlineStr">
        <is>
          <t>No</t>
        </is>
      </c>
      <c r="O250" t="inlineStr">
        <is>
          <t>No</t>
        </is>
      </c>
      <c r="P250" t="inlineStr">
        <is>
          <t>N/A</t>
        </is>
      </c>
      <c r="Q250" s="3" t="inlineStr">
        <is>
          <t>https://www.etenders.gov.za/home/Download/?blobName=3ec1f533-cf68-47ce-a584-068ce3a305f8.pdf&amp;downloadedFileName=Annexure%20D%20%E2%80%93%20Standard%20Bidding%20Document%20(SBD)%204.pdf</t>
        </is>
      </c>
      <c r="R250" t="inlineStr"/>
      <c r="S250" t="inlineStr"/>
      <c r="T250" t="inlineStr"/>
      <c r="U250" t="inlineStr"/>
      <c r="V250" t="inlineStr"/>
    </row>
  </sheetData>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 xmlns:r="http://schemas.openxmlformats.org/officeDocument/2006/relationships" ref="Q14" r:id="rId13"/>
    <hyperlink xmlns:r="http://schemas.openxmlformats.org/officeDocument/2006/relationships" ref="Q15" r:id="rId14"/>
    <hyperlink xmlns:r="http://schemas.openxmlformats.org/officeDocument/2006/relationships" ref="Q16" r:id="rId15"/>
    <hyperlink xmlns:r="http://schemas.openxmlformats.org/officeDocument/2006/relationships" ref="Q17" r:id="rId16"/>
    <hyperlink xmlns:r="http://schemas.openxmlformats.org/officeDocument/2006/relationships" ref="Q18" r:id="rId17"/>
    <hyperlink xmlns:r="http://schemas.openxmlformats.org/officeDocument/2006/relationships" ref="Q19" r:id="rId18"/>
    <hyperlink xmlns:r="http://schemas.openxmlformats.org/officeDocument/2006/relationships" ref="Q20" r:id="rId19"/>
    <hyperlink xmlns:r="http://schemas.openxmlformats.org/officeDocument/2006/relationships" ref="Q21" r:id="rId20"/>
    <hyperlink xmlns:r="http://schemas.openxmlformats.org/officeDocument/2006/relationships" ref="Q22" r:id="rId21"/>
    <hyperlink xmlns:r="http://schemas.openxmlformats.org/officeDocument/2006/relationships" ref="Q23" r:id="rId22"/>
    <hyperlink xmlns:r="http://schemas.openxmlformats.org/officeDocument/2006/relationships" ref="Q24" r:id="rId23"/>
    <hyperlink xmlns:r="http://schemas.openxmlformats.org/officeDocument/2006/relationships" ref="Q25" r:id="rId24"/>
    <hyperlink xmlns:r="http://schemas.openxmlformats.org/officeDocument/2006/relationships" ref="Q26" r:id="rId25"/>
    <hyperlink xmlns:r="http://schemas.openxmlformats.org/officeDocument/2006/relationships" ref="Q27" r:id="rId26"/>
    <hyperlink xmlns:r="http://schemas.openxmlformats.org/officeDocument/2006/relationships" ref="Q28" r:id="rId27"/>
    <hyperlink xmlns:r="http://schemas.openxmlformats.org/officeDocument/2006/relationships" ref="Q29" r:id="rId28"/>
    <hyperlink xmlns:r="http://schemas.openxmlformats.org/officeDocument/2006/relationships" ref="Q30" r:id="rId29"/>
    <hyperlink xmlns:r="http://schemas.openxmlformats.org/officeDocument/2006/relationships" ref="Q31" r:id="rId30"/>
    <hyperlink xmlns:r="http://schemas.openxmlformats.org/officeDocument/2006/relationships" ref="Q32" r:id="rId31"/>
    <hyperlink xmlns:r="http://schemas.openxmlformats.org/officeDocument/2006/relationships" ref="Q33" r:id="rId32"/>
    <hyperlink xmlns:r="http://schemas.openxmlformats.org/officeDocument/2006/relationships" ref="Q34" r:id="rId33"/>
    <hyperlink xmlns:r="http://schemas.openxmlformats.org/officeDocument/2006/relationships" ref="Q35" r:id="rId34"/>
    <hyperlink xmlns:r="http://schemas.openxmlformats.org/officeDocument/2006/relationships" ref="Q36" r:id="rId35"/>
    <hyperlink xmlns:r="http://schemas.openxmlformats.org/officeDocument/2006/relationships" ref="Q37" r:id="rId36"/>
    <hyperlink xmlns:r="http://schemas.openxmlformats.org/officeDocument/2006/relationships" ref="Q38" r:id="rId37"/>
    <hyperlink xmlns:r="http://schemas.openxmlformats.org/officeDocument/2006/relationships" ref="Q39" r:id="rId38"/>
    <hyperlink xmlns:r="http://schemas.openxmlformats.org/officeDocument/2006/relationships" ref="Q40" r:id="rId39"/>
    <hyperlink xmlns:r="http://schemas.openxmlformats.org/officeDocument/2006/relationships" ref="Q41" r:id="rId40"/>
    <hyperlink xmlns:r="http://schemas.openxmlformats.org/officeDocument/2006/relationships" ref="Q42" r:id="rId41"/>
    <hyperlink xmlns:r="http://schemas.openxmlformats.org/officeDocument/2006/relationships" ref="Q43" r:id="rId42"/>
    <hyperlink xmlns:r="http://schemas.openxmlformats.org/officeDocument/2006/relationships" ref="Q44" r:id="rId43"/>
    <hyperlink xmlns:r="http://schemas.openxmlformats.org/officeDocument/2006/relationships" ref="Q45" r:id="rId44"/>
    <hyperlink xmlns:r="http://schemas.openxmlformats.org/officeDocument/2006/relationships" ref="Q46" r:id="rId45"/>
    <hyperlink xmlns:r="http://schemas.openxmlformats.org/officeDocument/2006/relationships" ref="Q47" r:id="rId46"/>
    <hyperlink xmlns:r="http://schemas.openxmlformats.org/officeDocument/2006/relationships" ref="Q48" r:id="rId47"/>
    <hyperlink xmlns:r="http://schemas.openxmlformats.org/officeDocument/2006/relationships" ref="Q49" r:id="rId48"/>
    <hyperlink xmlns:r="http://schemas.openxmlformats.org/officeDocument/2006/relationships" ref="Q50" r:id="rId49"/>
    <hyperlink xmlns:r="http://schemas.openxmlformats.org/officeDocument/2006/relationships" ref="Q51" r:id="rId50"/>
    <hyperlink xmlns:r="http://schemas.openxmlformats.org/officeDocument/2006/relationships" ref="Q52" r:id="rId51"/>
    <hyperlink xmlns:r="http://schemas.openxmlformats.org/officeDocument/2006/relationships" ref="Q53" r:id="rId52"/>
    <hyperlink xmlns:r="http://schemas.openxmlformats.org/officeDocument/2006/relationships" ref="Q54" r:id="rId53"/>
    <hyperlink xmlns:r="http://schemas.openxmlformats.org/officeDocument/2006/relationships" ref="Q55" r:id="rId54"/>
    <hyperlink xmlns:r="http://schemas.openxmlformats.org/officeDocument/2006/relationships" ref="Q56" r:id="rId55"/>
    <hyperlink xmlns:r="http://schemas.openxmlformats.org/officeDocument/2006/relationships" ref="Q57" r:id="rId56"/>
    <hyperlink xmlns:r="http://schemas.openxmlformats.org/officeDocument/2006/relationships" ref="Q58" r:id="rId57"/>
    <hyperlink xmlns:r="http://schemas.openxmlformats.org/officeDocument/2006/relationships" ref="Q59" r:id="rId58"/>
    <hyperlink xmlns:r="http://schemas.openxmlformats.org/officeDocument/2006/relationships" ref="Q60" r:id="rId59"/>
    <hyperlink xmlns:r="http://schemas.openxmlformats.org/officeDocument/2006/relationships" ref="Q61" r:id="rId60"/>
    <hyperlink xmlns:r="http://schemas.openxmlformats.org/officeDocument/2006/relationships" ref="Q62" r:id="rId61"/>
    <hyperlink xmlns:r="http://schemas.openxmlformats.org/officeDocument/2006/relationships" ref="Q63" r:id="rId62"/>
    <hyperlink xmlns:r="http://schemas.openxmlformats.org/officeDocument/2006/relationships" ref="Q64" r:id="rId63"/>
    <hyperlink xmlns:r="http://schemas.openxmlformats.org/officeDocument/2006/relationships" ref="Q65" r:id="rId64"/>
    <hyperlink xmlns:r="http://schemas.openxmlformats.org/officeDocument/2006/relationships" ref="Q66" r:id="rId65"/>
    <hyperlink xmlns:r="http://schemas.openxmlformats.org/officeDocument/2006/relationships" ref="Q67" r:id="rId66"/>
    <hyperlink xmlns:r="http://schemas.openxmlformats.org/officeDocument/2006/relationships" ref="Q68" r:id="rId67"/>
    <hyperlink xmlns:r="http://schemas.openxmlformats.org/officeDocument/2006/relationships" ref="Q69" r:id="rId68"/>
    <hyperlink xmlns:r="http://schemas.openxmlformats.org/officeDocument/2006/relationships" ref="Q70" r:id="rId69"/>
    <hyperlink xmlns:r="http://schemas.openxmlformats.org/officeDocument/2006/relationships" ref="Q71" r:id="rId70"/>
    <hyperlink xmlns:r="http://schemas.openxmlformats.org/officeDocument/2006/relationships" ref="Q72" r:id="rId71"/>
    <hyperlink xmlns:r="http://schemas.openxmlformats.org/officeDocument/2006/relationships" ref="Q73" r:id="rId72"/>
    <hyperlink xmlns:r="http://schemas.openxmlformats.org/officeDocument/2006/relationships" ref="Q74" r:id="rId73"/>
    <hyperlink xmlns:r="http://schemas.openxmlformats.org/officeDocument/2006/relationships" ref="Q75" r:id="rId74"/>
    <hyperlink xmlns:r="http://schemas.openxmlformats.org/officeDocument/2006/relationships" ref="Q76" r:id="rId75"/>
    <hyperlink xmlns:r="http://schemas.openxmlformats.org/officeDocument/2006/relationships" ref="Q77" r:id="rId76"/>
    <hyperlink xmlns:r="http://schemas.openxmlformats.org/officeDocument/2006/relationships" ref="Q78" r:id="rId77"/>
    <hyperlink xmlns:r="http://schemas.openxmlformats.org/officeDocument/2006/relationships" ref="Q79" r:id="rId78"/>
    <hyperlink xmlns:r="http://schemas.openxmlformats.org/officeDocument/2006/relationships" ref="Q80" r:id="rId79"/>
    <hyperlink xmlns:r="http://schemas.openxmlformats.org/officeDocument/2006/relationships" ref="Q81" r:id="rId80"/>
    <hyperlink xmlns:r="http://schemas.openxmlformats.org/officeDocument/2006/relationships" ref="Q82" r:id="rId81"/>
    <hyperlink xmlns:r="http://schemas.openxmlformats.org/officeDocument/2006/relationships" ref="Q83" r:id="rId82"/>
    <hyperlink xmlns:r="http://schemas.openxmlformats.org/officeDocument/2006/relationships" ref="Q84" r:id="rId83"/>
    <hyperlink xmlns:r="http://schemas.openxmlformats.org/officeDocument/2006/relationships" ref="Q85" r:id="rId84"/>
    <hyperlink xmlns:r="http://schemas.openxmlformats.org/officeDocument/2006/relationships" ref="Q86" r:id="rId85"/>
    <hyperlink xmlns:r="http://schemas.openxmlformats.org/officeDocument/2006/relationships" ref="Q87" r:id="rId86"/>
    <hyperlink xmlns:r="http://schemas.openxmlformats.org/officeDocument/2006/relationships" ref="Q88" r:id="rId87"/>
    <hyperlink xmlns:r="http://schemas.openxmlformats.org/officeDocument/2006/relationships" ref="Q89" r:id="rId88"/>
    <hyperlink xmlns:r="http://schemas.openxmlformats.org/officeDocument/2006/relationships" ref="Q90" r:id="rId89"/>
    <hyperlink xmlns:r="http://schemas.openxmlformats.org/officeDocument/2006/relationships" ref="Q91" r:id="rId90"/>
    <hyperlink xmlns:r="http://schemas.openxmlformats.org/officeDocument/2006/relationships" ref="Q92" r:id="rId91"/>
    <hyperlink xmlns:r="http://schemas.openxmlformats.org/officeDocument/2006/relationships" ref="Q93" r:id="rId92"/>
    <hyperlink xmlns:r="http://schemas.openxmlformats.org/officeDocument/2006/relationships" ref="Q94" r:id="rId93"/>
    <hyperlink xmlns:r="http://schemas.openxmlformats.org/officeDocument/2006/relationships" ref="Q95" r:id="rId94"/>
    <hyperlink xmlns:r="http://schemas.openxmlformats.org/officeDocument/2006/relationships" ref="Q96" r:id="rId95"/>
    <hyperlink xmlns:r="http://schemas.openxmlformats.org/officeDocument/2006/relationships" ref="Q97" r:id="rId96"/>
    <hyperlink xmlns:r="http://schemas.openxmlformats.org/officeDocument/2006/relationships" ref="Q98" r:id="rId97"/>
    <hyperlink xmlns:r="http://schemas.openxmlformats.org/officeDocument/2006/relationships" ref="Q99" r:id="rId98"/>
    <hyperlink xmlns:r="http://schemas.openxmlformats.org/officeDocument/2006/relationships" ref="Q100" r:id="rId99"/>
    <hyperlink xmlns:r="http://schemas.openxmlformats.org/officeDocument/2006/relationships" ref="Q101" r:id="rId100"/>
    <hyperlink xmlns:r="http://schemas.openxmlformats.org/officeDocument/2006/relationships" ref="Q102" r:id="rId101"/>
    <hyperlink xmlns:r="http://schemas.openxmlformats.org/officeDocument/2006/relationships" ref="Q103" r:id="rId102"/>
    <hyperlink xmlns:r="http://schemas.openxmlformats.org/officeDocument/2006/relationships" ref="Q104" r:id="rId103"/>
    <hyperlink xmlns:r="http://schemas.openxmlformats.org/officeDocument/2006/relationships" ref="Q105" r:id="rId104"/>
    <hyperlink xmlns:r="http://schemas.openxmlformats.org/officeDocument/2006/relationships" ref="Q106" r:id="rId105"/>
    <hyperlink xmlns:r="http://schemas.openxmlformats.org/officeDocument/2006/relationships" ref="Q107" r:id="rId106"/>
    <hyperlink xmlns:r="http://schemas.openxmlformats.org/officeDocument/2006/relationships" ref="Q108" r:id="rId107"/>
    <hyperlink xmlns:r="http://schemas.openxmlformats.org/officeDocument/2006/relationships" ref="Q109" r:id="rId108"/>
    <hyperlink xmlns:r="http://schemas.openxmlformats.org/officeDocument/2006/relationships" ref="Q110" r:id="rId109"/>
    <hyperlink xmlns:r="http://schemas.openxmlformats.org/officeDocument/2006/relationships" ref="Q111" r:id="rId110"/>
    <hyperlink xmlns:r="http://schemas.openxmlformats.org/officeDocument/2006/relationships" ref="Q112" r:id="rId111"/>
    <hyperlink xmlns:r="http://schemas.openxmlformats.org/officeDocument/2006/relationships" ref="Q113" r:id="rId112"/>
    <hyperlink xmlns:r="http://schemas.openxmlformats.org/officeDocument/2006/relationships" ref="Q114" r:id="rId113"/>
    <hyperlink xmlns:r="http://schemas.openxmlformats.org/officeDocument/2006/relationships" ref="Q115" r:id="rId114"/>
    <hyperlink xmlns:r="http://schemas.openxmlformats.org/officeDocument/2006/relationships" ref="Q116" r:id="rId115"/>
    <hyperlink xmlns:r="http://schemas.openxmlformats.org/officeDocument/2006/relationships" ref="Q117" r:id="rId116"/>
    <hyperlink xmlns:r="http://schemas.openxmlformats.org/officeDocument/2006/relationships" ref="Q118" r:id="rId117"/>
    <hyperlink xmlns:r="http://schemas.openxmlformats.org/officeDocument/2006/relationships" ref="Q119" r:id="rId118"/>
    <hyperlink xmlns:r="http://schemas.openxmlformats.org/officeDocument/2006/relationships" ref="Q120" r:id="rId119"/>
    <hyperlink xmlns:r="http://schemas.openxmlformats.org/officeDocument/2006/relationships" ref="Q121" r:id="rId120"/>
    <hyperlink xmlns:r="http://schemas.openxmlformats.org/officeDocument/2006/relationships" ref="Q122" r:id="rId121"/>
    <hyperlink xmlns:r="http://schemas.openxmlformats.org/officeDocument/2006/relationships" ref="Q123" r:id="rId122"/>
    <hyperlink xmlns:r="http://schemas.openxmlformats.org/officeDocument/2006/relationships" ref="Q124" r:id="rId123"/>
    <hyperlink xmlns:r="http://schemas.openxmlformats.org/officeDocument/2006/relationships" ref="Q125" r:id="rId124"/>
    <hyperlink xmlns:r="http://schemas.openxmlformats.org/officeDocument/2006/relationships" ref="Q126" r:id="rId125"/>
    <hyperlink xmlns:r="http://schemas.openxmlformats.org/officeDocument/2006/relationships" ref="Q127" r:id="rId126"/>
    <hyperlink xmlns:r="http://schemas.openxmlformats.org/officeDocument/2006/relationships" ref="Q128" r:id="rId127"/>
    <hyperlink xmlns:r="http://schemas.openxmlformats.org/officeDocument/2006/relationships" ref="Q129" r:id="rId128"/>
    <hyperlink xmlns:r="http://schemas.openxmlformats.org/officeDocument/2006/relationships" ref="Q130" r:id="rId129"/>
    <hyperlink xmlns:r="http://schemas.openxmlformats.org/officeDocument/2006/relationships" ref="Q131" r:id="rId130"/>
    <hyperlink xmlns:r="http://schemas.openxmlformats.org/officeDocument/2006/relationships" ref="Q132" r:id="rId131"/>
    <hyperlink xmlns:r="http://schemas.openxmlformats.org/officeDocument/2006/relationships" ref="Q133" r:id="rId132"/>
    <hyperlink xmlns:r="http://schemas.openxmlformats.org/officeDocument/2006/relationships" ref="Q134" r:id="rId133"/>
    <hyperlink xmlns:r="http://schemas.openxmlformats.org/officeDocument/2006/relationships" ref="Q135" r:id="rId134"/>
    <hyperlink xmlns:r="http://schemas.openxmlformats.org/officeDocument/2006/relationships" ref="Q136" r:id="rId135"/>
    <hyperlink xmlns:r="http://schemas.openxmlformats.org/officeDocument/2006/relationships" ref="Q137" r:id="rId136"/>
    <hyperlink xmlns:r="http://schemas.openxmlformats.org/officeDocument/2006/relationships" ref="Q138" r:id="rId137"/>
    <hyperlink xmlns:r="http://schemas.openxmlformats.org/officeDocument/2006/relationships" ref="Q139" r:id="rId138"/>
    <hyperlink xmlns:r="http://schemas.openxmlformats.org/officeDocument/2006/relationships" ref="Q140" r:id="rId139"/>
    <hyperlink xmlns:r="http://schemas.openxmlformats.org/officeDocument/2006/relationships" ref="Q141" r:id="rId140"/>
    <hyperlink xmlns:r="http://schemas.openxmlformats.org/officeDocument/2006/relationships" ref="Q142" r:id="rId141"/>
    <hyperlink xmlns:r="http://schemas.openxmlformats.org/officeDocument/2006/relationships" ref="Q143" r:id="rId142"/>
    <hyperlink xmlns:r="http://schemas.openxmlformats.org/officeDocument/2006/relationships" ref="Q144" r:id="rId143"/>
    <hyperlink xmlns:r="http://schemas.openxmlformats.org/officeDocument/2006/relationships" ref="Q145" r:id="rId144"/>
    <hyperlink xmlns:r="http://schemas.openxmlformats.org/officeDocument/2006/relationships" ref="Q146" r:id="rId145"/>
    <hyperlink xmlns:r="http://schemas.openxmlformats.org/officeDocument/2006/relationships" ref="Q147" r:id="rId146"/>
    <hyperlink xmlns:r="http://schemas.openxmlformats.org/officeDocument/2006/relationships" ref="Q148" r:id="rId147"/>
    <hyperlink xmlns:r="http://schemas.openxmlformats.org/officeDocument/2006/relationships" ref="Q149" r:id="rId148"/>
    <hyperlink xmlns:r="http://schemas.openxmlformats.org/officeDocument/2006/relationships" ref="Q150" r:id="rId149"/>
    <hyperlink xmlns:r="http://schemas.openxmlformats.org/officeDocument/2006/relationships" ref="Q151" r:id="rId150"/>
    <hyperlink xmlns:r="http://schemas.openxmlformats.org/officeDocument/2006/relationships" ref="Q152" r:id="rId151"/>
    <hyperlink xmlns:r="http://schemas.openxmlformats.org/officeDocument/2006/relationships" ref="Q153" r:id="rId152"/>
    <hyperlink xmlns:r="http://schemas.openxmlformats.org/officeDocument/2006/relationships" ref="Q154" r:id="rId153"/>
    <hyperlink xmlns:r="http://schemas.openxmlformats.org/officeDocument/2006/relationships" ref="Q155" r:id="rId154"/>
    <hyperlink xmlns:r="http://schemas.openxmlformats.org/officeDocument/2006/relationships" ref="Q156" r:id="rId155"/>
    <hyperlink xmlns:r="http://schemas.openxmlformats.org/officeDocument/2006/relationships" ref="Q157" r:id="rId156"/>
    <hyperlink xmlns:r="http://schemas.openxmlformats.org/officeDocument/2006/relationships" ref="Q158" r:id="rId157"/>
    <hyperlink xmlns:r="http://schemas.openxmlformats.org/officeDocument/2006/relationships" ref="Q159" r:id="rId158"/>
    <hyperlink xmlns:r="http://schemas.openxmlformats.org/officeDocument/2006/relationships" ref="Q160" r:id="rId159"/>
    <hyperlink xmlns:r="http://schemas.openxmlformats.org/officeDocument/2006/relationships" ref="Q161" r:id="rId160"/>
    <hyperlink xmlns:r="http://schemas.openxmlformats.org/officeDocument/2006/relationships" ref="Q162" r:id="rId161"/>
    <hyperlink xmlns:r="http://schemas.openxmlformats.org/officeDocument/2006/relationships" ref="Q163" r:id="rId162"/>
    <hyperlink xmlns:r="http://schemas.openxmlformats.org/officeDocument/2006/relationships" ref="Q164" r:id="rId163"/>
    <hyperlink xmlns:r="http://schemas.openxmlformats.org/officeDocument/2006/relationships" ref="Q165" r:id="rId164"/>
    <hyperlink xmlns:r="http://schemas.openxmlformats.org/officeDocument/2006/relationships" ref="Q166" r:id="rId165"/>
    <hyperlink xmlns:r="http://schemas.openxmlformats.org/officeDocument/2006/relationships" ref="Q167" r:id="rId166"/>
    <hyperlink xmlns:r="http://schemas.openxmlformats.org/officeDocument/2006/relationships" ref="Q168" r:id="rId167"/>
    <hyperlink xmlns:r="http://schemas.openxmlformats.org/officeDocument/2006/relationships" ref="Q169" r:id="rId168"/>
    <hyperlink xmlns:r="http://schemas.openxmlformats.org/officeDocument/2006/relationships" ref="Q170" r:id="rId169"/>
    <hyperlink xmlns:r="http://schemas.openxmlformats.org/officeDocument/2006/relationships" ref="Q171" r:id="rId170"/>
    <hyperlink xmlns:r="http://schemas.openxmlformats.org/officeDocument/2006/relationships" ref="Q172" r:id="rId171"/>
    <hyperlink xmlns:r="http://schemas.openxmlformats.org/officeDocument/2006/relationships" ref="Q173" r:id="rId172"/>
    <hyperlink xmlns:r="http://schemas.openxmlformats.org/officeDocument/2006/relationships" ref="Q174" r:id="rId173"/>
    <hyperlink xmlns:r="http://schemas.openxmlformats.org/officeDocument/2006/relationships" ref="Q175" r:id="rId174"/>
    <hyperlink xmlns:r="http://schemas.openxmlformats.org/officeDocument/2006/relationships" ref="Q176" r:id="rId175"/>
    <hyperlink xmlns:r="http://schemas.openxmlformats.org/officeDocument/2006/relationships" ref="Q177" r:id="rId176"/>
    <hyperlink xmlns:r="http://schemas.openxmlformats.org/officeDocument/2006/relationships" ref="Q178" r:id="rId177"/>
    <hyperlink xmlns:r="http://schemas.openxmlformats.org/officeDocument/2006/relationships" ref="Q179" r:id="rId178"/>
    <hyperlink xmlns:r="http://schemas.openxmlformats.org/officeDocument/2006/relationships" ref="Q180" r:id="rId179"/>
    <hyperlink xmlns:r="http://schemas.openxmlformats.org/officeDocument/2006/relationships" ref="Q181" r:id="rId180"/>
    <hyperlink xmlns:r="http://schemas.openxmlformats.org/officeDocument/2006/relationships" ref="Q182" r:id="rId181"/>
    <hyperlink xmlns:r="http://schemas.openxmlformats.org/officeDocument/2006/relationships" ref="Q183" r:id="rId182"/>
    <hyperlink xmlns:r="http://schemas.openxmlformats.org/officeDocument/2006/relationships" ref="Q184" r:id="rId183"/>
    <hyperlink xmlns:r="http://schemas.openxmlformats.org/officeDocument/2006/relationships" ref="Q185" r:id="rId184"/>
    <hyperlink xmlns:r="http://schemas.openxmlformats.org/officeDocument/2006/relationships" ref="Q186" r:id="rId185"/>
    <hyperlink xmlns:r="http://schemas.openxmlformats.org/officeDocument/2006/relationships" ref="Q187" r:id="rId186"/>
    <hyperlink xmlns:r="http://schemas.openxmlformats.org/officeDocument/2006/relationships" ref="Q188" r:id="rId187"/>
    <hyperlink xmlns:r="http://schemas.openxmlformats.org/officeDocument/2006/relationships" ref="Q189" r:id="rId188"/>
    <hyperlink xmlns:r="http://schemas.openxmlformats.org/officeDocument/2006/relationships" ref="Q190" r:id="rId189"/>
    <hyperlink xmlns:r="http://schemas.openxmlformats.org/officeDocument/2006/relationships" ref="Q191" r:id="rId190"/>
    <hyperlink xmlns:r="http://schemas.openxmlformats.org/officeDocument/2006/relationships" ref="Q192" r:id="rId191"/>
    <hyperlink xmlns:r="http://schemas.openxmlformats.org/officeDocument/2006/relationships" ref="Q193" r:id="rId192"/>
    <hyperlink xmlns:r="http://schemas.openxmlformats.org/officeDocument/2006/relationships" ref="Q194" r:id="rId193"/>
    <hyperlink xmlns:r="http://schemas.openxmlformats.org/officeDocument/2006/relationships" ref="Q195" r:id="rId194"/>
    <hyperlink xmlns:r="http://schemas.openxmlformats.org/officeDocument/2006/relationships" ref="Q196" r:id="rId195"/>
    <hyperlink xmlns:r="http://schemas.openxmlformats.org/officeDocument/2006/relationships" ref="Q197" r:id="rId196"/>
    <hyperlink xmlns:r="http://schemas.openxmlformats.org/officeDocument/2006/relationships" ref="Q198" r:id="rId197"/>
    <hyperlink xmlns:r="http://schemas.openxmlformats.org/officeDocument/2006/relationships" ref="Q199" r:id="rId198"/>
    <hyperlink xmlns:r="http://schemas.openxmlformats.org/officeDocument/2006/relationships" ref="Q200" r:id="rId199"/>
    <hyperlink xmlns:r="http://schemas.openxmlformats.org/officeDocument/2006/relationships" ref="Q201" r:id="rId200"/>
    <hyperlink xmlns:r="http://schemas.openxmlformats.org/officeDocument/2006/relationships" ref="Q202" r:id="rId201"/>
    <hyperlink xmlns:r="http://schemas.openxmlformats.org/officeDocument/2006/relationships" ref="Q203" r:id="rId202"/>
    <hyperlink xmlns:r="http://schemas.openxmlformats.org/officeDocument/2006/relationships" ref="Q204" r:id="rId203"/>
    <hyperlink xmlns:r="http://schemas.openxmlformats.org/officeDocument/2006/relationships" ref="Q205" r:id="rId204"/>
    <hyperlink xmlns:r="http://schemas.openxmlformats.org/officeDocument/2006/relationships" ref="Q206" r:id="rId205"/>
    <hyperlink xmlns:r="http://schemas.openxmlformats.org/officeDocument/2006/relationships" ref="Q207" r:id="rId206"/>
    <hyperlink xmlns:r="http://schemas.openxmlformats.org/officeDocument/2006/relationships" ref="Q208" r:id="rId207"/>
    <hyperlink xmlns:r="http://schemas.openxmlformats.org/officeDocument/2006/relationships" ref="Q209" r:id="rId208"/>
    <hyperlink xmlns:r="http://schemas.openxmlformats.org/officeDocument/2006/relationships" ref="Q210" r:id="rId209"/>
    <hyperlink xmlns:r="http://schemas.openxmlformats.org/officeDocument/2006/relationships" ref="Q211" r:id="rId210"/>
    <hyperlink xmlns:r="http://schemas.openxmlformats.org/officeDocument/2006/relationships" ref="Q212" r:id="rId211"/>
    <hyperlink xmlns:r="http://schemas.openxmlformats.org/officeDocument/2006/relationships" ref="Q213" r:id="rId212"/>
    <hyperlink xmlns:r="http://schemas.openxmlformats.org/officeDocument/2006/relationships" ref="Q214" r:id="rId213"/>
    <hyperlink xmlns:r="http://schemas.openxmlformats.org/officeDocument/2006/relationships" ref="Q215" r:id="rId214"/>
    <hyperlink xmlns:r="http://schemas.openxmlformats.org/officeDocument/2006/relationships" ref="Q216" r:id="rId215"/>
    <hyperlink xmlns:r="http://schemas.openxmlformats.org/officeDocument/2006/relationships" ref="Q217" r:id="rId216"/>
    <hyperlink xmlns:r="http://schemas.openxmlformats.org/officeDocument/2006/relationships" ref="Q218" r:id="rId217"/>
    <hyperlink xmlns:r="http://schemas.openxmlformats.org/officeDocument/2006/relationships" ref="Q219" r:id="rId218"/>
    <hyperlink xmlns:r="http://schemas.openxmlformats.org/officeDocument/2006/relationships" ref="Q220" r:id="rId219"/>
    <hyperlink xmlns:r="http://schemas.openxmlformats.org/officeDocument/2006/relationships" ref="Q221" r:id="rId220"/>
    <hyperlink xmlns:r="http://schemas.openxmlformats.org/officeDocument/2006/relationships" ref="Q222" r:id="rId221"/>
    <hyperlink xmlns:r="http://schemas.openxmlformats.org/officeDocument/2006/relationships" ref="Q223" r:id="rId222"/>
    <hyperlink xmlns:r="http://schemas.openxmlformats.org/officeDocument/2006/relationships" ref="Q224" r:id="rId223"/>
    <hyperlink xmlns:r="http://schemas.openxmlformats.org/officeDocument/2006/relationships" ref="Q225" r:id="rId224"/>
    <hyperlink xmlns:r="http://schemas.openxmlformats.org/officeDocument/2006/relationships" ref="Q226" r:id="rId225"/>
    <hyperlink xmlns:r="http://schemas.openxmlformats.org/officeDocument/2006/relationships" ref="Q227" r:id="rId226"/>
    <hyperlink xmlns:r="http://schemas.openxmlformats.org/officeDocument/2006/relationships" ref="Q228" r:id="rId227"/>
    <hyperlink xmlns:r="http://schemas.openxmlformats.org/officeDocument/2006/relationships" ref="Q229" r:id="rId228"/>
    <hyperlink xmlns:r="http://schemas.openxmlformats.org/officeDocument/2006/relationships" ref="Q230" r:id="rId229"/>
    <hyperlink xmlns:r="http://schemas.openxmlformats.org/officeDocument/2006/relationships" ref="Q231" r:id="rId230"/>
    <hyperlink xmlns:r="http://schemas.openxmlformats.org/officeDocument/2006/relationships" ref="Q232" r:id="rId231"/>
    <hyperlink xmlns:r="http://schemas.openxmlformats.org/officeDocument/2006/relationships" ref="Q233" r:id="rId232"/>
    <hyperlink xmlns:r="http://schemas.openxmlformats.org/officeDocument/2006/relationships" ref="Q234" r:id="rId233"/>
    <hyperlink xmlns:r="http://schemas.openxmlformats.org/officeDocument/2006/relationships" ref="Q235" r:id="rId234"/>
    <hyperlink xmlns:r="http://schemas.openxmlformats.org/officeDocument/2006/relationships" ref="Q236" r:id="rId235"/>
    <hyperlink xmlns:r="http://schemas.openxmlformats.org/officeDocument/2006/relationships" ref="Q237" r:id="rId236"/>
    <hyperlink xmlns:r="http://schemas.openxmlformats.org/officeDocument/2006/relationships" ref="Q238" r:id="rId237"/>
    <hyperlink xmlns:r="http://schemas.openxmlformats.org/officeDocument/2006/relationships" ref="Q239" r:id="rId238"/>
    <hyperlink xmlns:r="http://schemas.openxmlformats.org/officeDocument/2006/relationships" ref="Q240" r:id="rId239"/>
    <hyperlink xmlns:r="http://schemas.openxmlformats.org/officeDocument/2006/relationships" ref="Q241" r:id="rId240"/>
    <hyperlink xmlns:r="http://schemas.openxmlformats.org/officeDocument/2006/relationships" ref="Q242" r:id="rId241"/>
    <hyperlink xmlns:r="http://schemas.openxmlformats.org/officeDocument/2006/relationships" ref="Q243" r:id="rId242"/>
    <hyperlink xmlns:r="http://schemas.openxmlformats.org/officeDocument/2006/relationships" ref="Q244" r:id="rId243"/>
    <hyperlink xmlns:r="http://schemas.openxmlformats.org/officeDocument/2006/relationships" ref="Q245" r:id="rId244"/>
    <hyperlink xmlns:r="http://schemas.openxmlformats.org/officeDocument/2006/relationships" ref="Q246" r:id="rId245"/>
    <hyperlink xmlns:r="http://schemas.openxmlformats.org/officeDocument/2006/relationships" ref="Q247" r:id="rId246"/>
    <hyperlink xmlns:r="http://schemas.openxmlformats.org/officeDocument/2006/relationships" ref="Q248" r:id="rId247"/>
    <hyperlink xmlns:r="http://schemas.openxmlformats.org/officeDocument/2006/relationships" ref="Q249" r:id="rId248"/>
    <hyperlink xmlns:r="http://schemas.openxmlformats.org/officeDocument/2006/relationships" ref="Q250" r:id="rId24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sheetData>
    <row r="1">
      <c r="A1" s="1" t="inlineStr">
        <is>
          <t>Source</t>
        </is>
      </c>
      <c r="B1" s="1" t="inlineStr">
        <is>
          <t>Number of New Tenders</t>
        </is>
      </c>
      <c r="C1" s="1" t="inlineStr">
        <is>
          <t>ICT Tenders</t>
        </is>
      </c>
      <c r="D1" s="1" t="inlineStr">
        <is>
          <t>RFQs</t>
        </is>
      </c>
    </row>
    <row r="2">
      <c r="A2" t="inlineStr">
        <is>
          <t>Report Date</t>
        </is>
      </c>
      <c r="B2" t="inlineStr">
        <is>
          <t>(T) 03/06/2026</t>
        </is>
      </c>
    </row>
    <row r="3">
      <c r="A3" t="inlineStr">
        <is>
          <t>eTenders (All)</t>
        </is>
      </c>
      <c r="B3">
        <f>COUNTA('Tender Data'!J:J)-1</f>
        <v/>
      </c>
      <c r="C3">
        <f>COUNTIF('Tender Data'!M:M,"Information service activities")+COUNTIF('Tender Data'!M:M,"Information and communication")</f>
        <v/>
      </c>
      <c r="D3">
        <f>COUNTIF('Tender Data'!G:G,"Request for Quotation")</f>
        <v/>
      </c>
    </row>
    <row r="4">
      <c r="A4" t="inlineStr">
        <is>
          <t>Eskom</t>
        </is>
      </c>
      <c r="B4">
        <f>COUNTIF('Tender Data'!J:J,"ESKOM")</f>
        <v/>
      </c>
      <c r="C4">
        <f>COUNTIFS('Tender Data'!M:M,"Information service activities",'Tender Data'!J:J,"ESKOM")+COUNTIFS('Tender Data'!M:M,"Information and communication",'Tender Data'!J:J,"ESKOM")</f>
        <v/>
      </c>
      <c r="D4">
        <f>COUNTIFS('Tender Data'!J:J,"ESKOM",'Tender Data'!G:G,"Request for Quotation")</f>
        <v/>
      </c>
    </row>
    <row r="5">
      <c r="A5" t="inlineStr">
        <is>
          <t>SITA</t>
        </is>
      </c>
      <c r="B5">
        <f>COUNTIF('Tender Data'!J:J,"State Information Technology Agency")</f>
        <v/>
      </c>
      <c r="C5">
        <f>COUNTIFS('Tender Data'!M:M,"Information service activities",'Tender Data'!J:J,"State Information Technology Agency")+COUNTIFS('Tender Data'!M:M,"Information and communication",'Tender Data'!J:J,"State Information Technology Agency")</f>
        <v/>
      </c>
      <c r="D5">
        <f>COUNTIFS('Tender Data'!J:J,"State Information Technology Agency",'Tender Data'!G:G,"Request for Quotation")</f>
        <v/>
      </c>
    </row>
    <row r="6">
      <c r="A6" t="inlineStr">
        <is>
          <t>Transnet</t>
        </is>
      </c>
      <c r="B6">
        <f>COUNTIF('Tender Data'!J:J,"Transnet*")</f>
        <v/>
      </c>
      <c r="C6">
        <f>COUNTIFS('Tender Data'!M:M,"Information service activities",'Tender Data'!J:J,"Transnet*")+COUNTIFS('Tender Data'!M:M,"Information and communication",'Tender Data'!J:J,"Transnet*")</f>
        <v/>
      </c>
      <c r="D6">
        <f>COUNTIFS('Tender Data'!J:J,"Transnet*",'Tender Data'!G:G,"Request for Quotation")</f>
        <v/>
      </c>
    </row>
    <row r="7">
      <c r="A7" t="inlineStr">
        <is>
          <t>JPC</t>
        </is>
      </c>
      <c r="B7">
        <f>COUNTIF('Tender Data'!J:J,"*Joburg Property*")</f>
        <v/>
      </c>
      <c r="C7">
        <f>COUNTIFS('Tender Data'!M:M,"Information service activities",'Tender Data'!J:J,"*Joburg Property*")+COUNTIFS('Tender Data'!M:M,"Information and communication",'Tender Data'!J:J,"*Joburg Property*")</f>
        <v/>
      </c>
      <c r="D7">
        <f>COUNTIFS('Tender Data'!J:J,"*Joburg Property*",'Tender Data'!G:G,"Request for Quotation")</f>
        <v/>
      </c>
    </row>
    <row r="8">
      <c r="A8" t="inlineStr">
        <is>
          <t>Matatiele LM</t>
        </is>
      </c>
      <c r="B8">
        <f>COUNTIF('Tender Data'!J:J,"Matatiele Local Municipality")</f>
        <v/>
      </c>
      <c r="C8">
        <f>COUNTIFS('Tender Data'!M:M,"Information service activities",'Tender Data'!J:J,"Matatiele Local Municipality")+COUNTIFS('Tender Data'!M:M,"Information and communication",'Tender Data'!J:J,"Matatiele Local Municipality")</f>
        <v/>
      </c>
      <c r="D8">
        <f>COUNTIFS('Tender Data'!J:J,"Matatiele Local Municipality",'Tender Data'!G:G,"Request for Quotation")</f>
        <v/>
      </c>
    </row>
    <row r="9">
      <c r="A9" t="inlineStr">
        <is>
          <t>Ntabankulu LM</t>
        </is>
      </c>
      <c r="B9">
        <f>COUNTIF('Tender Data'!J:J,"Ntabankulu Local Municipality")</f>
        <v/>
      </c>
      <c r="C9">
        <f>COUNTIFS('Tender Data'!M:M,"Information service activities",'Tender Data'!J:J,"Ntabankulu Local Municipality")+COUNTIFS('Tender Data'!M:M,"Information and communication",'Tender Data'!J:J,"Ntabankulu Local Municipality")</f>
        <v/>
      </c>
      <c r="D9">
        <f>COUNTIFS('Tender Data'!J:J,"Ntabankulu Local Municipality",'Tender Data'!G:G,"Request for Quotation")</f>
        <v/>
      </c>
    </row>
    <row r="10">
      <c r="A10" t="inlineStr">
        <is>
          <t>Umzimvubu LM</t>
        </is>
      </c>
      <c r="B10">
        <f>COUNTIF('Tender Data'!J:J,"Umzimvubu Local Municipality")</f>
        <v/>
      </c>
      <c r="C10">
        <f>COUNTIFS('Tender Data'!M:M,"Information service activities",'Tender Data'!J:J,"Umzimvubu Local Municipality")+COUNTIFS('Tender Data'!M:M,"Information and communication",'Tender Data'!J:J,"Umzimvubu Local Municipality")</f>
        <v/>
      </c>
      <c r="D10">
        <f>COUNTIFS('Tender Data'!J:J,"Umzimvubu Local Municipality",'Tender Data'!G:G,"Request for Quotation")</f>
        <v/>
      </c>
    </row>
    <row r="11">
      <c r="A11" t="inlineStr">
        <is>
          <t>Winnie Mandela LM</t>
        </is>
      </c>
      <c r="B11">
        <f>COUNTIF('Tender Data'!J:J,"Winnie Madikizela*")</f>
        <v/>
      </c>
      <c r="C11">
        <f>COUNTIFS('Tender Data'!M:M,"Information service activities",'Tender Data'!J:J,"Winnie Madikizela*")+COUNTIFS('Tender Data'!M:M,"Information and communication",'Tender Data'!J:J,"Winnie Madikizela*")</f>
        <v/>
      </c>
      <c r="D11">
        <f>COUNTIFS('Tender Data'!J:J,"Winnie Madikizela*",'Tender Data'!G:G,"Request for Quotation")</f>
        <v/>
      </c>
    </row>
    <row r="12">
      <c r="A12" t="inlineStr">
        <is>
          <t>Mnquma LM</t>
        </is>
      </c>
      <c r="B12">
        <f>COUNTIF('Tender Data'!J:J,"Mnquma Local Municipality")</f>
        <v/>
      </c>
      <c r="C12">
        <f>COUNTIFS('Tender Data'!M:M,"Information service activities",'Tender Data'!J:J,"Mnquma Local Municipality")+COUNTIFS('Tender Data'!M:M,"Information and communication",'Tender Data'!J:J,"Mnquma Local Municipality")</f>
        <v/>
      </c>
      <c r="D12">
        <f>COUNTIFS('Tender Data'!J:J,"Mnquma Local Municipality",'Tender Data'!G:G,"Request for Quotation")</f>
        <v/>
      </c>
    </row>
    <row r="13">
      <c r="A13" t="inlineStr">
        <is>
          <t>Great Kei LM</t>
        </is>
      </c>
      <c r="B13">
        <f>COUNTIF('Tender Data'!J:J,"Great Kei Local Municipality")</f>
        <v/>
      </c>
      <c r="C13">
        <f>COUNTIFS('Tender Data'!M:M,"Information service activities",'Tender Data'!J:J,"Great Kei Local Municipality")+COUNTIFS('Tender Data'!M:M,"Information and communication",'Tender Data'!J:J,"Great Kei Local Municipality")</f>
        <v/>
      </c>
      <c r="D13">
        <f>COUNTIFS('Tender Data'!J:J,"Great Kei Local Municipality",'Tender Data'!G:G,"Request for Quotation")</f>
        <v/>
      </c>
    </row>
    <row r="14">
      <c r="A14" t="inlineStr">
        <is>
          <t>Amahlathi LM</t>
        </is>
      </c>
      <c r="B14">
        <f>COUNTIF('Tender Data'!J:J,"Amahlathi Local Municipality")</f>
        <v/>
      </c>
      <c r="C14">
        <f>COUNTIFS('Tender Data'!M:M,"Information service activities",'Tender Data'!J:J,"Amahlathi Local Municipality")+COUNTIFS('Tender Data'!M:M,"Information and communication",'Tender Data'!J:J,"Amahlathi Local Municipality")</f>
        <v/>
      </c>
      <c r="D14">
        <f>COUNTIFS('Tender Data'!J:J,"Amahlathi Local Municipality",'Tender Data'!G:G,"Request for Quotation")</f>
        <v/>
      </c>
    </row>
    <row r="15">
      <c r="A15" t="inlineStr">
        <is>
          <t>Raymond Mhlaba LM</t>
        </is>
      </c>
      <c r="B15">
        <f>COUNTIF('Tender Data'!J:J,"Raymond Mhlaba Local Municipality")</f>
        <v/>
      </c>
      <c r="C15">
        <f>COUNTIFS('Tender Data'!M:M,"Information service activities",'Tender Data'!J:J,"Raymond Mhlaba Local Municipality")+COUNTIFS('Tender Data'!M:M,"Information and communication",'Tender Data'!J:J,"Raymond Mhlaba Local Municipality")</f>
        <v/>
      </c>
      <c r="D15">
        <f>COUNTIFS('Tender Data'!J:J,"Raymond Mhlaba Local Municipality",'Tender Data'!G:G,"Request for Quotation")</f>
        <v/>
      </c>
    </row>
    <row r="16">
      <c r="A16" t="inlineStr">
        <is>
          <t>JOSHCO</t>
        </is>
      </c>
      <c r="B16">
        <f>COUNTIF('Tender Data'!J:J,"*Johannesburg Social Housing*")</f>
        <v/>
      </c>
      <c r="C16">
        <f>COUNTIFS('Tender Data'!M:M,"Information service activities",'Tender Data'!J:J,"*Johannesburg Social Housing*")+COUNTIFS('Tender Data'!M:M,"Information and communication",'Tender Data'!J:J,"*Johannesburg Social Housing*")</f>
        <v/>
      </c>
      <c r="D16">
        <f>COUNTIFS('Tender Data'!J:J,"*Johannesburg Social Housing*",'Tender Data'!G:G,"Request for Quotation")</f>
        <v/>
      </c>
    </row>
    <row r="17">
      <c r="A17" t="inlineStr">
        <is>
          <t>GPL</t>
        </is>
      </c>
      <c r="B17">
        <f>COUNTIF('Tender Data'!J:J,"Gauteng Provincial Legislature")</f>
        <v/>
      </c>
      <c r="C17">
        <f>COUNTIFS('Tender Data'!M:M,"Information service activities",'Tender Data'!J:J,"Gauteng Provincial Legislature")+COUNTIFS('Tender Data'!M:M,"Information and communication",'Tender Data'!J:J,"Gauteng Provincial Legislature")</f>
        <v/>
      </c>
      <c r="D17">
        <f>COUNTIFS('Tender Data'!J:J,"Gauteng Provincial Legislature",'Tender Data'!G:G,"Request for Quotation")</f>
        <v/>
      </c>
    </row>
    <row r="18">
      <c r="A18" t="inlineStr">
        <is>
          <t>RAF</t>
        </is>
      </c>
      <c r="B18">
        <f>COUNTIF('Tender Data'!J:J,"Road Accident Fund")</f>
        <v/>
      </c>
      <c r="C18">
        <f>COUNTIFS('Tender Data'!M:M,"Information service activities",'Tender Data'!J:J,"Road Accident Fund")+COUNTIFS('Tender Data'!M:M,"Information and communication",'Tender Data'!J:J,"Road Accident Fund")</f>
        <v/>
      </c>
      <c r="D18">
        <f>COUNTIFS('Tender Data'!J:J,"Road Accident Fund",'Tender Data'!G:G,"Request for Quotation")</f>
        <v/>
      </c>
    </row>
    <row r="19">
      <c r="A19" t="inlineStr">
        <is>
          <t>MM Trading Company</t>
        </is>
      </c>
      <c r="B19">
        <f>COUNTIF('Tender Data'!J:J,"*Metropolitan Trading*")</f>
        <v/>
      </c>
      <c r="C19">
        <f>COUNTIFS('Tender Data'!M:M,"Information service activities",'Tender Data'!J:J,"*Metropolitan Trading*")+COUNTIFS('Tender Data'!M:M,"Information and communication",'Tender Data'!J:J,"*Metropolitan Trading*")</f>
        <v/>
      </c>
      <c r="D19">
        <f>COUNTIFS('Tender Data'!J:J,"*Metropolitan Trading*",'Tender Data'!G:G,"Request for Quotation")</f>
        <v/>
      </c>
    </row>
    <row r="20">
      <c r="A20" t="inlineStr">
        <is>
          <t>Nelson Mandela Bay MM</t>
        </is>
      </c>
      <c r="B20">
        <f>COUNTIF('Tender Data'!J:J,"*Nelson Mandela Bay*")</f>
        <v/>
      </c>
      <c r="C20">
        <f>COUNTIFS('Tender Data'!M:M,"Information service activities",'Tender Data'!J:J,"*Nelson Mandela Bay*")+COUNTIFS('Tender Data'!M:M,"Information and communication",'Tender Data'!J:J,"*Nelson Mandela Bay*")</f>
        <v/>
      </c>
      <c r="D20">
        <f>COUNTIFS('Tender Data'!J:J,"*Nelson Mandela Bay*",'Tender Data'!G:G,"Request for Quotation")</f>
        <v/>
      </c>
    </row>
    <row r="21">
      <c r="A21" t="inlineStr">
        <is>
          <t>Buffalo City MM</t>
        </is>
      </c>
      <c r="B21">
        <f>COUNTIF('Tender Data'!J:J,"*Buffalo City*")</f>
        <v/>
      </c>
      <c r="C21">
        <f>COUNTIFS('Tender Data'!M:M,"Information service activities",'Tender Data'!J:J,"*Buffalo City*")+COUNTIFS('Tender Data'!M:M,"Information and communication",'Tender Data'!J:J,"*Buffalo City*")</f>
        <v/>
      </c>
      <c r="D21">
        <f>COUNTIFS('Tender Data'!J:J,"*Buffalo City*",'Tender Data'!G:G,"Request for Quotation")</f>
        <v/>
      </c>
    </row>
    <row r="22">
      <c r="A22" t="inlineStr">
        <is>
          <t>EC DPW</t>
        </is>
      </c>
      <c r="B22">
        <f>COUNTIF('Tender Data'!J:J,"*Eastern Cape*Public Works*")</f>
        <v/>
      </c>
      <c r="C22">
        <f>COUNTIFS('Tender Data'!M:M,"Information service activities",'Tender Data'!J:J,"*Eastern Cape*Public Works*")+COUNTIFS('Tender Data'!M:M,"Information and communication",'Tender Data'!J:J,"*Eastern Cape*Public Works*")</f>
        <v/>
      </c>
      <c r="D22">
        <f>COUNTIFS('Tender Data'!J:J,"*Eastern Cape*Public Works*",'Tender Data'!G:G,"Request for Quotation")</f>
        <v/>
      </c>
    </row>
    <row r="23">
      <c r="A23" t="inlineStr">
        <is>
          <t>DEL</t>
        </is>
      </c>
      <c r="B23">
        <f>COUNTIF('Tender Data'!J:J,"*Labour*")</f>
        <v/>
      </c>
      <c r="C23">
        <f>COUNTIFS('Tender Data'!M:M,"Information service activities",'Tender Data'!J:J,"*Labour*")+COUNTIFS('Tender Data'!M:M,"Information and communication",'Tender Data'!J:J,"*Labour*")</f>
        <v/>
      </c>
      <c r="D23">
        <f>COUNTIFS('Tender Data'!J:J,"*Labour*",'Tender Data'!G:G,"Request for Quotation")</f>
        <v/>
      </c>
    </row>
    <row r="24">
      <c r="A24" t="inlineStr">
        <is>
          <t>SIU</t>
        </is>
      </c>
      <c r="B24">
        <f>COUNTIF('Tender Data'!J:J,"Special Investigation Unit*")</f>
        <v/>
      </c>
      <c r="C24">
        <f>COUNTIFS('Tender Data'!M:M,"Information service activities",'Tender Data'!J:J,"Special Investigation Unit*")+COUNTIFS('Tender Data'!M:M,"Information and communication",'Tender Data'!J:J,"Special Investigation Unit*")</f>
        <v/>
      </c>
      <c r="D24">
        <f>COUNTIFS('Tender Data'!J:J,"Special Investigation Unit*",'Tender Data'!G:G,"Request for Quotation")</f>
        <v/>
      </c>
    </row>
    <row r="25">
      <c r="A25" t="inlineStr">
        <is>
          <t>GDoH</t>
        </is>
      </c>
      <c r="B25">
        <f>COUNTIF('Tender Data'!J:J,"*Gauteng*Health*")</f>
        <v/>
      </c>
      <c r="C25">
        <f>COUNTIFS('Tender Data'!M:M,"Information service activities",'Tender Data'!J:J,"*Gauteng*Health*")+COUNTIFS('Tender Data'!M:M,"Information and communication",'Tender Data'!J:J,"*Gauteng*Health*")</f>
        <v/>
      </c>
      <c r="D25">
        <f>COUNTIFS('Tender Data'!J:J,"*Gauteng*Health*",'Tender Data'!G:G,"Request for Quotation")</f>
        <v/>
      </c>
    </row>
    <row r="26">
      <c r="A26" t="inlineStr">
        <is>
          <t>DIRCO</t>
        </is>
      </c>
      <c r="B26">
        <f>COUNTIF('Tender Data'!J:J,"*International Relation*")</f>
        <v/>
      </c>
      <c r="C26">
        <f>COUNTIFS('Tender Data'!M:M,"Information service activities",'Tender Data'!J:J,"*International Relation*")+COUNTIFS('Tender Data'!M:M,"Information and communication",'Tender Data'!J:J,"*International Relation*")</f>
        <v/>
      </c>
      <c r="D26">
        <f>COUNTIFS('Tender Data'!J:J,"*International Relation*",'Tender Data'!G:G,"Request for Quotation")</f>
        <v/>
      </c>
    </row>
    <row r="27">
      <c r="A27" t="inlineStr">
        <is>
          <t>DOJ</t>
        </is>
      </c>
      <c r="B27">
        <f>COUNTIF('Tender Data'!J:J,"*Justice*Constitutional*")</f>
        <v/>
      </c>
      <c r="C27">
        <f>COUNTIFS('Tender Data'!M:M,"Information service activities",'Tender Data'!J:J,"*Justice*Constitutional*")+COUNTIFS('Tender Data'!M:M,"Information and communication",'Tender Data'!J:J,"*Justice*Constitutional*")</f>
        <v/>
      </c>
      <c r="D27">
        <f>COUNTIFS('Tender Data'!J:J,"*Justice*Constitutional*",'Tender Data'!G:G,"Request for Quotation")</f>
        <v/>
      </c>
    </row>
    <row r="28">
      <c r="A28" t="inlineStr">
        <is>
          <t>CP JHB</t>
        </is>
      </c>
      <c r="B28">
        <f>COUNTIF('Tender Data'!J:J,"City Power*Johannesburg*")</f>
        <v/>
      </c>
      <c r="C28">
        <f>COUNTIFS('Tender Data'!M:M,"Information service activities",'Tender Data'!J:J,"City Power*Johannesburg*")+COUNTIFS('Tender Data'!M:M,"Information and communication",'Tender Data'!J:J,"City Power*Johannesburg*")</f>
        <v/>
      </c>
      <c r="D28">
        <f>COUNTIFS('Tender Data'!J:J,"City Power*Johannesburg*",'Tender Data'!G:G,"Request for Quotation")</f>
        <v/>
      </c>
    </row>
    <row r="29">
      <c r="A29" t="inlineStr">
        <is>
          <t>W JHB</t>
        </is>
      </c>
      <c r="B29">
        <f>COUNTIF('Tender Data'!J:J,"*Johannesburg Water*")</f>
        <v/>
      </c>
      <c r="C29">
        <f>COUNTIFS('Tender Data'!M:M,"Information service activities",'Tender Data'!J:J,"*Johannesburg Water*")+COUNTIFS('Tender Data'!M:M,"Information and communication",'Tender Data'!J:J,"*Johannesburg Water*")</f>
        <v/>
      </c>
      <c r="D29">
        <f>COUNTIFS('Tender Data'!J:J,"*Johannesburg Water*",'Tender Data'!G:G,"Request for Quotation")</f>
        <v/>
      </c>
    </row>
    <row r="30">
      <c r="B30">
        <f>SUM(B4:B29)</f>
        <v/>
      </c>
      <c r="C30">
        <f>SUM(C4:C29)</f>
        <v/>
      </c>
      <c r="D30">
        <f>SUM(D4:D29)</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2026-06-05T08:04:56Z</dcterms:created>
  <dcterms:modified xmlns:dcterms="http://purl.org/dc/terms/" xmlns:xsi="http://www.w3.org/2001/XMLSchema-instance" xsi:type="dcterms:W3CDTF">2026-06-05T08:04:56Z</dcterms:modified>
</cp:coreProperties>
</file>