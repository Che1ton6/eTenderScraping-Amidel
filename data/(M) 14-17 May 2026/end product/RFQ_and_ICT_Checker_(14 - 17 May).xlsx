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 Data" sheetId="1" state="visible" r:id="rId1"/>
    <sheet name="Final"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9df3f77b-c68d-41fc-aae0-ccb1302d3484.pdf&amp;downloadedFileName=Public%20Notice%20-%20Scam%20Alert%20(1).pdf" TargetMode="External" Id="rId1" /><Relationship Type="http://schemas.openxmlformats.org/officeDocument/2006/relationships/hyperlink" Target="https://www.etenders.gov.za/home/Download/?blobName=8153c61d-35c5-4af7-8eb0-9dd48ea0d5be.pdf&amp;downloadedFileName=RFQ%2016-2026%202027%20SECURITY%20RISK%20ASSESSMENT%20FOR%20EXECUTIVE%20MANAGEMENT%20pdf.pdf" TargetMode="External" Id="rId2" /><Relationship Type="http://schemas.openxmlformats.org/officeDocument/2006/relationships/hyperlink" Target="https://www.etenders.gov.za/home/Download/?blobName=49f59683-1daa-4a9d-9f13-0aa7410ac003.docx&amp;downloadedFileName=RFB%203241-2026%20Bid%20Specification.docx" TargetMode="External" Id="rId3" /><Relationship Type="http://schemas.openxmlformats.org/officeDocument/2006/relationships/hyperlink" Target="https://www.etenders.gov.za/home/Download/?blobName=3ac63674-d7d4-4b08-8b54-589c217ec10f.zip&amp;downloadedFileName=1.%20RFP38-2025%20Tender%20Pack.zip" TargetMode="External" Id="rId4" /><Relationship Type="http://schemas.openxmlformats.org/officeDocument/2006/relationships/hyperlink" Target="https://www.etenders.gov.za/home/Download/?blobName=c077fee9-ef79-4ca9-8191-17e0589a9acb.pdf&amp;downloadedFileName=ADVERT%20SCM%2033-2026.pdf" TargetMode="External" Id="rId5" /><Relationship Type="http://schemas.openxmlformats.org/officeDocument/2006/relationships/hyperlink" Target="https://www.etenders.gov.za/home/Download/?blobName=868d670c-b222-42c6-ab7d-bf8fa2d16fb2.pdf&amp;downloadedFileName=ADVERT%20-%20SCM%2047-2026%20MURRAYSBURG%20THUSONG.pdf" TargetMode="External" Id="rId6" /><Relationship Type="http://schemas.openxmlformats.org/officeDocument/2006/relationships/hyperlink" Target="https://www.etenders.gov.za/home/Download/?blobName=7ab6672c-16f7-47c0-b28b-24644fa8f91b.docx&amp;downloadedFileName=RFQ%20013%20Supply,%20Install%20and%20Configure.%20SOC.docx" TargetMode="External" Id="rId7" /><Relationship Type="http://schemas.openxmlformats.org/officeDocument/2006/relationships/hyperlink" Target="https://www.etenders.gov.za/home/Download/?blobName=d370fa8e-b3e8-46b9-86fa-88c0df78533b.pdf&amp;downloadedFileName=RFQ07-2026-27%20Board%20committe%20and%20perfomance.pdf" TargetMode="External" Id="rId8" /><Relationship Type="http://schemas.openxmlformats.org/officeDocument/2006/relationships/hyperlink" Target="https://www.etenders.gov.za/home/Download/?blobName=9bf867b4-42f7-4125-8e7f-2922566be0a2.pdf&amp;downloadedFileName=SANParks%20RFQ%20No.%20289581_Jet%20A1_Air%20Services.pdf" TargetMode="External" Id="rId9" /><Relationship Type="http://schemas.openxmlformats.org/officeDocument/2006/relationships/hyperlink" Target="https://www.etenders.gov.za/home/Download/?blobName=2ee4b5e0-f26e-4471-a33d-0d35ea915f4c.pdf&amp;downloadedFileName=SBD-4-BIDDERS-DISCLOSURE-BID0000014-2627.pdf" TargetMode="External" Id="rId10" /><Relationship Type="http://schemas.openxmlformats.org/officeDocument/2006/relationships/hyperlink" Target="https://www.etenders.gov.za/home/Download/?blobName=62fa8125-d143-42d4-98fb-18f3b5a24f4d.pdf&amp;downloadedFileName=RFQ2026-005-013%20Appointment%20of%20Service%20Provider%20for%20Probity%20Checks%20and%20Competency%20Assessments%20for%20NLC.pdf" TargetMode="External" Id="rId11" /><Relationship Type="http://schemas.openxmlformats.org/officeDocument/2006/relationships/hyperlink" Target="https://www.etenders.gov.za/home/Download/?blobName=2c86e6d5-aec1-4c9d-8e4d-fbdff78f9802.pdf&amp;downloadedFileName=Construction%20of%20Fenced%20Mathole%20Pre-School%20with%20Ablution%20Facilities%20in%20Ward%2003.pdf" TargetMode="External" Id="rId12" /><Relationship Type="http://schemas.openxmlformats.org/officeDocument/2006/relationships/hyperlink" Target="https://www.etenders.gov.za/home/Download/?blobName=04524fe1-1231-4265-8a0b-091ac5805a9f.pdf&amp;downloadedFileName=CP_TSSTAN_155_STANDARD%20FOR%20END%20POINT%20SECURITY%20SOLUTION.pdf" TargetMode="External" Id="rId13" /><Relationship Type="http://schemas.openxmlformats.org/officeDocument/2006/relationships/hyperlink" Target="https://www.etenders.gov.za/home/Download/?blobName=9784e28d-bb58-4632-80f2-c45f604fb3a5.pdf&amp;downloadedFileName=Bid%20Advert%20Template%20%20Amended%20-%202630GS.pdf" TargetMode="External" Id="rId14" /><Relationship Type="http://schemas.openxmlformats.org/officeDocument/2006/relationships/hyperlink" Target="https://www.etenders.gov.za/home/Download/?blobName=f90433e8-5eb6-4972-b8e6-9185d8b29629.pdf&amp;downloadedFileName=A034%20OF%202025`26%20FINAL%20DOCUMENT%20ON%20PANEL%20FOR%20WWTP.pdf" TargetMode="External" Id="rId15" /><Relationship Type="http://schemas.openxmlformats.org/officeDocument/2006/relationships/hyperlink" Target="https://www.etenders.gov.za/home/Download/?blobName=23a0c565-6359-46a6-b1c3-c773500849ed.pdf&amp;downloadedFileName=NOTICE%20NUMBER%2094%20OF%202026%20ADVERT%20TD%2001-05-2026%20(002).pdf" TargetMode="External" Id="rId16" /><Relationship Type="http://schemas.openxmlformats.org/officeDocument/2006/relationships/hyperlink" Target="https://www.etenders.gov.za/home/Download/?blobName=cf3b4a3d-b73d-4bb9-b353-a9bd910ebeef.pdf&amp;downloadedFileName=RFQ%20for%20Heater%20Stirrers%202026.pdf" TargetMode="External" Id="rId17" /><Relationship Type="http://schemas.openxmlformats.org/officeDocument/2006/relationships/hyperlink" Target="https://www.etenders.gov.za/home/Download/?blobName=ac28b47b-5666-458c-ab18-3c0abbc3da0a.pdf&amp;downloadedFileName=NOTICE%20NUMBER%2095%20OF%202026%20ADVERT%20TD%2002-05-2026.pdf" TargetMode="External" Id="rId18" /><Relationship Type="http://schemas.openxmlformats.org/officeDocument/2006/relationships/hyperlink" Target="https://www.etenders.gov.za/home/Download/?blobName=4fcd5d9f-12d5-4cba-a3d0-b6b264d9fb00.zip&amp;downloadedFileName=FOSRBY-RFP-01-26.27%20-%20Clinic%20Management%20Services%20for%20a%20period%20of%2036%20months.zip" TargetMode="External" Id="rId19" /><Relationship Type="http://schemas.openxmlformats.org/officeDocument/2006/relationships/hyperlink" Target="https://www.etenders.gov.za/home/Download/?blobName=b817b18e-a40c-4907-abe1-59f093db377e.docx&amp;downloadedFileName=ADVERTISED%20CAPE%20TOWN%20BID%20DOCUMENT%20FOR%20LEACE%20OFFICE%20SPACE%20NRCS%20012%202025%206.docx" TargetMode="External" Id="rId20" /><Relationship Type="http://schemas.openxmlformats.org/officeDocument/2006/relationships/hyperlink" Target="https://www.etenders.gov.za/home/Download/?blobName=595e58fb-5062-4a25-90b0-c35194d9afce.pdf&amp;downloadedFileName=PANEL%20OF%20SERVICE%20PROVIDERS%20FOR%20THE%20PROVISION%20OF%20TOWN%20PLANNING%20SERVICES%20FROM%202026-2027%20TO%202028-2029%20FINANCIAL%20YEARS%20(3%20YEARS%20CONT-05142026122613.pdf" TargetMode="External" Id="rId21" /><Relationship Type="http://schemas.openxmlformats.org/officeDocument/2006/relationships/hyperlink" Target="https://www.etenders.gov.za/home/Download/?blobName=0b76728d-06f3-4f75-ae47-cac30d1ccbff.pdf&amp;downloadedFileName=PM41-25%20-%2026%20Tender%20document.pdf" TargetMode="External" Id="rId22" /><Relationship Type="http://schemas.openxmlformats.org/officeDocument/2006/relationships/hyperlink" Target="https://www.etenders.gov.za/home/Download/?blobName=0801cf64-c076-4fe0-9cda-585eb8f77ba7.pdf&amp;downloadedFileName=PM42-25%20-%2026%20Tender%20document.pdf" TargetMode="External" Id="rId23" /><Relationship Type="http://schemas.openxmlformats.org/officeDocument/2006/relationships/hyperlink" Target="https://www.etenders.gov.za/home/Download/?blobName=e048f5a7-4ffe-4aa8-9343-3fbf7dc5d8c7.pdf&amp;downloadedFileName=Tender%20document%20-PM08-25%2026%20Additional%20consultants.pdf" TargetMode="External" Id="rId24" /><Relationship Type="http://schemas.openxmlformats.org/officeDocument/2006/relationships/hyperlink" Target="https://www.etenders.gov.za/home/Download/?blobName=88e76581-10a3-4584-87c7-7527fdf2901c.pdf&amp;downloadedFileName=PF13.2026..pdf" TargetMode="External" Id="rId25" /><Relationship Type="http://schemas.openxmlformats.org/officeDocument/2006/relationships/hyperlink" Target="https://www.etenders.gov.za/home/Download/?blobName=c1afca26-2472-4fc5-8fc9-2a43f163a13e.pdf&amp;downloadedFileName=Tender%20document%20%20-PM04%20-%202526%20(Re-Advert).pdf" TargetMode="External" Id="rId26" /><Relationship Type="http://schemas.openxmlformats.org/officeDocument/2006/relationships/hyperlink" Target="https://www.etenders.gov.za/home/Download/?blobName=41afc0f0-0ee5-4e4a-b0e8-2e5aa9d85c34.pdf&amp;downloadedFileName=RFT01%202026-2027%20INTERNAL%20AUDIT.pdf" TargetMode="External" Id="rId27" /><Relationship Type="http://schemas.openxmlformats.org/officeDocument/2006/relationships/hyperlink" Target="https://www.etenders.gov.za/home/Download/?blobName=0d8dc5c6-4d8a-4276-88c2-29a61fb2b36f.pdf&amp;downloadedFileName=RFQ029%202026_27%20MARQUEE%20CHAIRS%20AND%20VIP%20TOILETS.pdf" TargetMode="External" Id="rId28" /><Relationship Type="http://schemas.openxmlformats.org/officeDocument/2006/relationships/hyperlink" Target="https://www.etenders.gov.za/home/Download/?blobName=370cadd7-0272-481f-9b6b-1afba385e694.pdf&amp;downloadedFileName=CSIR%20RFQ%206704-29-05-2026.pdf" TargetMode="External" Id="rId29" /><Relationship Type="http://schemas.openxmlformats.org/officeDocument/2006/relationships/hyperlink" Target="https://www.etenders.gov.za/home/Download/?blobName=d758a33a-db23-42b2-86ba-0693b89b6e1d.pdf&amp;downloadedFileName=20260514%20-%20Aggregate%20Products%20Tender%20Document%202026.pdf" TargetMode="External" Id="rId30" /><Relationship Type="http://schemas.openxmlformats.org/officeDocument/2006/relationships/hyperlink" Target="https://www.etenders.gov.za/home/Download/?blobName=92ba36e9-479d-483d-b6a3-66b603211ec5.pdf&amp;downloadedFileName=TENDER%20DOCUMENTS%20FOR%20PAVING%20OF%20PHOLA%20PARK%20INTERNAL%20STREETS.pdf" TargetMode="External" Id="rId31" /><Relationship Type="http://schemas.openxmlformats.org/officeDocument/2006/relationships/hyperlink" Target="https://www.etenders.gov.za/home/Download/?blobName=805fab22-3369-45f9-b320-aab67e05c1d7.pdf&amp;downloadedFileName=MICROSOFT%20OFFICE%20365%20APPS%20FOR%2036%20MONTHS.pdf" TargetMode="External" Id="rId32" /><Relationship Type="http://schemas.openxmlformats.org/officeDocument/2006/relationships/hyperlink" Target="https://www.etenders.gov.za/home/Download/?blobName=e0e04a85-c945-445f-a288-4c468718245e.pdf&amp;downloadedFileName=INVESTIGATION%20OF%20IRREGULAR,UNAUTHORIZED%20AND%20FRUITLESS%20EXPENDITURE-%20CLOSING%2021%20MAY%202026.pdf" TargetMode="External" Id="rId33" /><Relationship Type="http://schemas.openxmlformats.org/officeDocument/2006/relationships/hyperlink" Target="https://www.etenders.gov.za/home/Download/?blobName=419cd9a9-670f-41c6-95e0-5d2b8fdcb13a.xlsx&amp;downloadedFileName=CFD%2026%20Hardware%20Pricing%20Schedule-%20Annexure%20L.xlsx" TargetMode="External" Id="rId34" /><Relationship Type="http://schemas.openxmlformats.org/officeDocument/2006/relationships/hyperlink" Target="https://www.etenders.gov.za/home/Download/?blobName=a7e670e3-c324-43a8-b91a-336ed313ad01.pdf&amp;downloadedFileName=RFQJW55SC26%20-%20Conducting%20of%20Occupational%20Hygiene%20Surveys%20at%20various%20JW%20sites.pdf" TargetMode="External" Id="rId35" /><Relationship Type="http://schemas.openxmlformats.org/officeDocument/2006/relationships/hyperlink" Target="https://www.etenders.gov.za/home/Download/?blobName=b9985575-85e6-4a75-a227-9a9ca9080f5f.pdf&amp;downloadedFileName=TNPA_2026_05_0002_114437_RFP.pdf" TargetMode="External" Id="rId36" /><Relationship Type="http://schemas.openxmlformats.org/officeDocument/2006/relationships/hyperlink" Target="https://www.etenders.gov.za/home/Download/?blobName=859bf043-d91e-4bac-b59e-d2e63f6ff6ae.pdf&amp;downloadedFileName=Tender%20COM%20%2001%20Branding%20&amp;%20Kitting%20OB%20Trucks.pdf" TargetMode="External" Id="rId37" /><Relationship Type="http://schemas.openxmlformats.org/officeDocument/2006/relationships/hyperlink" Target="https://www.etenders.gov.za/home/Download/?blobName=2f51852e-0f85-4b9b-92f9-587bfc66735e.pdf&amp;downloadedFileName=F%20(R)%2007-2026.pdf" TargetMode="External" Id="rId38" /><Relationship Type="http://schemas.openxmlformats.org/officeDocument/2006/relationships/hyperlink" Target="https://www.etenders.gov.za/home/Download/?blobName=60318823-3d7a-4690-b3bb-f229d259aab1.pdf&amp;downloadedFileName=SCM15052026%20-%20Advert.pdf" TargetMode="External" Id="rId39" /><Relationship Type="http://schemas.openxmlformats.org/officeDocument/2006/relationships/hyperlink" Target="https://www.etenders.gov.za/home/Download/?blobName=6f79b615-cdd5-4322-b95d-fffd5b05d471.pdf&amp;downloadedFileName=240-12248652_List%20of%20Tender%20Returnables_Cat%203_%20Rev%207%20-%20Copy%20(2).pdf" TargetMode="External" Id="rId40" /><Relationship Type="http://schemas.openxmlformats.org/officeDocument/2006/relationships/hyperlink" Target="https://www.etenders.gov.za/home/Download/?blobName=0a76b716-91d1-4684-ba63-0ab17547b235.zip&amp;downloadedFileName=Tax%20Questionnaires.zip" TargetMode="External" Id="rId41" /><Relationship Type="http://schemas.openxmlformats.org/officeDocument/2006/relationships/hyperlink" Target="https://www.etenders.gov.za/home/Download/?blobName=47121dea-8eea-4fb8-86a0-fbe65de3fc22.pdf&amp;downloadedFileName=Standard_Bidding_Document_(SBD)_6.2_Template_-_Local_production_and_content_for_designated_sectors_(03_February_2023).pdf" TargetMode="External" Id="rId42" /><Relationship Type="http://schemas.openxmlformats.org/officeDocument/2006/relationships/hyperlink" Target="https://www.etenders.gov.za/home/Download/?blobName=70f24a6e-3f56-4b45-87d7-5c5e7c67f8e4.pdf&amp;downloadedFileName=RFQ_Returnables.pdf" TargetMode="External" Id="rId43" /><Relationship Type="http://schemas.openxmlformats.org/officeDocument/2006/relationships/hyperlink" Target="https://www.etenders.gov.za/home/Download/?blobName=0f0a7989-6202-403b-bc5a-fc5ca3ba8175.pdf&amp;downloadedFileName=20260416_Security%20Services_Tender%20Returnables_Cat%202_%20Rev%207.pdf" TargetMode="External" Id="rId44" /><Relationship Type="http://schemas.openxmlformats.org/officeDocument/2006/relationships/hyperlink" Target="https://www.etenders.gov.za/home/Download/?blobName=086f6efe-30c9-400a-afb1-91805168ca69.pdf&amp;downloadedFileName=Eskom_-_Standard_Conditions_of_Tender_-_30_January_2025.pdf" TargetMode="External" Id="rId45" /><Relationship Type="http://schemas.openxmlformats.org/officeDocument/2006/relationships/hyperlink" Target="https://www.etenders.gov.za/home/Download/?blobName=5dedae11-105d-4938-84ab-a8a98d0639fb.pdf&amp;downloadedFileName=Invitation%20to%20Tender%20signed.pdf" TargetMode="External" Id="rId46" /><Relationship Type="http://schemas.openxmlformats.org/officeDocument/2006/relationships/hyperlink" Target="https://www.etenders.gov.za/home/Download/?blobName=edbdeb90-14b0-429a-ad44-6d2c8a9c854f.pdf&amp;downloadedFileName=SCMU8-26%2027-0054%20BLUEGUMS%20LANDCARE%20PROJECT%20S&amp;D%20Tender%20Document.pdf" TargetMode="External" Id="rId47" /><Relationship Type="http://schemas.openxmlformats.org/officeDocument/2006/relationships/hyperlink" Target="https://www.etenders.gov.za/home/Download/?blobName=bc466d27-4895-45d9-8f6a-dd69e1149618.docx&amp;downloadedFileName=SECURITY%20SERVICES%202026%20(1).docx" TargetMode="External" Id="rId48" /><Relationship Type="http://schemas.openxmlformats.org/officeDocument/2006/relationships/hyperlink" Target="https://www.etenders.gov.za/home/Download/?blobName=32bbab3a-6021-4fbf-a705-f92c69fd63ea.pdf&amp;downloadedFileName=PANEL%20OF%20SERVICE%20PROVIDER%20FOR%20SERVICE%20REFURBISHEMENT%20SUPPLY%20COMMISSIONING%20OF%20VALVES%20FOR%203%20YEARS.pdf" TargetMode="External" Id="rId49" /><Relationship Type="http://schemas.openxmlformats.org/officeDocument/2006/relationships/hyperlink" Target="https://www.etenders.gov.za/home/Download/?blobName=1e2d2058-b2a7-46a3-968c-605cd5e4059b.pdf&amp;downloadedFileName=Tender%20document%20PM38-%2025%2026%20.pdf" TargetMode="External" Id="rId50" /><Relationship Type="http://schemas.openxmlformats.org/officeDocument/2006/relationships/hyperlink" Target="https://www.etenders.gov.za/home/Download/?blobName=14af6335-2740-4283-881b-e2e119f56d2e.pdf&amp;downloadedFileName=RFQJW089TN26%20-%20REVIEW%20OF%20PERFOMANCE%20MANAGEMENT%20POLICY.pdf" TargetMode="External" Id="rId51" /><Relationship Type="http://schemas.openxmlformats.org/officeDocument/2006/relationships/hyperlink" Target="https://www.etenders.gov.za/home/Download/?blobName=0563f96b-b652-4749-abb9-e0021983b549.pdf&amp;downloadedFileName=IDS%20(R&amp;T)%2015-2026.pdf" TargetMode="External" Id="rId52" /><Relationship Type="http://schemas.openxmlformats.org/officeDocument/2006/relationships/hyperlink" Target="https://www.etenders.gov.za/home/Download/?blobName=d49db910-1400-4786-ab7a-d02ae0fa411a.pdf&amp;downloadedFileName=RFQJW028TN26%20-%20LABORATORY%20WATER%20BATH%20(RE-ADVERT).pdf" TargetMode="External" Id="rId53" /><Relationship Type="http://schemas.openxmlformats.org/officeDocument/2006/relationships/hyperlink" Target="https://www.etenders.gov.za/home/Download/?blobName=1a7f1b56-b4a4-47b0-875a-865ddaf5b335.pdf&amp;downloadedFileName=GT%20GPT%20018%202026%20-%20Section%201A.pdf" TargetMode="External" Id="rId54" /><Relationship Type="http://schemas.openxmlformats.org/officeDocument/2006/relationships/hyperlink" Target="https://www.etenders.gov.za/home/Download/?blobName=2257353e-9e24-4ffb-9b2e-882a1f2f8274.pdf&amp;downloadedFileName=237S_2025_26%20GROUNDS%20HORTICULTURAL%20AND%20AD%20HOC%20CLEANING%20SERVICES%20AT%20GENERATION%20SITES%20E%20Tender.pdf" TargetMode="External" Id="rId55" /><Relationship Type="http://schemas.openxmlformats.org/officeDocument/2006/relationships/hyperlink" Target="https://www.etenders.gov.za/home/Download/?blobName=8801075e-1f0c-4fd4-a1b4-907bbac11d07.pdf&amp;downloadedFileName=240S_2025_26%20-%20Notice%201.pdf" TargetMode="External" Id="rId56" /><Relationship Type="http://schemas.openxmlformats.org/officeDocument/2006/relationships/hyperlink" Target="https://www.etenders.gov.za/home/Download/?blobName=8ea2eab7-996e-48d8-89a5-a55cd807dc1a.pdf&amp;downloadedFileName=241S_2025_26%20-%20FINAL%2011.05.26.pdf" TargetMode="External" Id="rId57" /><Relationship Type="http://schemas.openxmlformats.org/officeDocument/2006/relationships/hyperlink" Target="https://www.etenders.gov.za/home/Download/?blobName=532367f5-b31b-4360-991f-568dd73c3478.pdf&amp;downloadedFileName=238G-2025-26%20-%20Appointment%20of%20a%20Certified%20Adobe%20Reseller%20Final.pdf" TargetMode="External" Id="rId58" /><Relationship Type="http://schemas.openxmlformats.org/officeDocument/2006/relationships/hyperlink" Target="https://www.etenders.gov.za/home/Download/?blobName=944cb65b-0511-4a9e-a9f7-03d95f274da9.pdf&amp;downloadedFileName=Tender_245S_2025_26%20_Final%20doc.pdf" TargetMode="External" Id="rId59" /><Relationship Type="http://schemas.openxmlformats.org/officeDocument/2006/relationships/hyperlink" Target="https://www.etenders.gov.za/home/Download/?blobName=b45d0e83-036e-41bb-9d16-11851da69e21.pdf&amp;downloadedFileName=244S-2025-26%20-%20Tender%20Document%20Final.pdf" TargetMode="External" Id="rId60" /><Relationship Type="http://schemas.openxmlformats.org/officeDocument/2006/relationships/hyperlink" Target="https://www.etenders.gov.za/home/Download/?blobName=605900a8-5e98-4785-8060-50f162aa873d.doc&amp;downloadedFileName=TENDER%20MACHINERY%20MILLWRIGHT%20001052026.doc" TargetMode="External" Id="rId61" /><Relationship Type="http://schemas.openxmlformats.org/officeDocument/2006/relationships/hyperlink" Target="https://www.etenders.gov.za/home/Download/?blobName=8c7f7b6a-50d8-467d-bb4e-ce823c0ce29d.pdf&amp;downloadedFileName=RFQ%20for%2012th%20AFIAA%20conference%202026.pdf" TargetMode="External" Id="rId62" /><Relationship Type="http://schemas.openxmlformats.org/officeDocument/2006/relationships/hyperlink" Target="https://www.etenders.gov.za/home/Download/?blobName=25a8e93b-fad8-4c7a-bb5f-5b203ace99a9.pdf&amp;downloadedFileName=239S-2025-26%20Tender%20Document.pdf" TargetMode="External" Id="rId63" /><Relationship Type="http://schemas.openxmlformats.org/officeDocument/2006/relationships/hyperlink" Target="https://www.etenders.gov.za/home/Download/?blobName=fdeeb7a0-ecc4-4a2e-b019-776fafc127af.pdf&amp;downloadedFileName=PROVISION%20OF%20ICT%20AUDIT%20SERVICES-CLOSING%2021%20MAY%202026.pdf" TargetMode="External" Id="rId64" /><Relationship Type="http://schemas.openxmlformats.org/officeDocument/2006/relationships/hyperlink" Target="https://www.etenders.gov.za/home/Download/?blobName=34712e14-0ceb-49cc-9675-c00dbe03b0ff.pdf&amp;downloadedFileName=TERMS%20OF%20REFERENCE%20AND%20SPECIAL%20CONDITIONS%20OF%20CONTRACT.pdf" TargetMode="External" Id="rId65" /><Relationship Type="http://schemas.openxmlformats.org/officeDocument/2006/relationships/hyperlink" Target="https://www.etenders.gov.za/home/Download/?blobName=ba735d1a-0563-48df-b255-1ba3eaf0db28.pdf&amp;downloadedFileName=62033889710-confirmation%20(5).pdf" TargetMode="External" Id="rId66" /><Relationship Type="http://schemas.openxmlformats.org/officeDocument/2006/relationships/hyperlink" Target="https://www.etenders.gov.za/home/Download/?blobName=ffa77c57-2a47-4b83-a6da-48b1e3340b45.docx&amp;downloadedFileName=0848-FS-SCM-TP-SBD6.1-Preference%20Point%20Claim%20Form-2026-2029-A.docx" TargetMode="External" Id="rId67" /><Relationship Type="http://schemas.openxmlformats.org/officeDocument/2006/relationships/hyperlink" Target="https://www.etenders.gov.za/home/Download/?blobName=047a1478-dffb-46d3-a27e-04dca5eedeaa.docx&amp;downloadedFileName=0848-FS-SCM-TP-SBD6.1-Preference%20Point%20Claim%20Form-2026-2029-A.docx" TargetMode="External" Id="rId68" /><Relationship Type="http://schemas.openxmlformats.org/officeDocument/2006/relationships/hyperlink" Target="https://www.etenders.gov.za/home/Download/?blobName=576b727f-075a-429e-a992-0c79b395ee7c.pdf&amp;downloadedFileName=RFB%20Physical%20Security%20RW10414754%2026R%2015%20May%202026.pdf" TargetMode="External" Id="rId69" /><Relationship Type="http://schemas.openxmlformats.org/officeDocument/2006/relationships/hyperlink" Target="https://www.etenders.gov.za/home/Download/?blobName=425e4fd8-9152-4329-a842-cf66eae6401c.pdf&amp;downloadedFileName=ADVERT%2015-05-2026.pdf" TargetMode="External" Id="rId70" /><Relationship Type="http://schemas.openxmlformats.org/officeDocument/2006/relationships/hyperlink" Target="https://www.etenders.gov.za/home/Download/?blobName=eb5ac349-da62-4c97-afec-fcf010c8f518.pdf&amp;downloadedFileName=Various%20tenders%20for%20May%202026.pdf" TargetMode="External" Id="rId71" /><Relationship Type="http://schemas.openxmlformats.org/officeDocument/2006/relationships/hyperlink" Target="https://www.etenders.gov.za/home/Download/?blobName=140fc7d5-acf5-49cd-86e0-8a3a386ddeb7.pdf&amp;downloadedFileName=DISPOSAL%20OF%20MUNICIPAL%20OWNED%20PROPERTIES%20DOCUMENT.pdf" TargetMode="External" Id="rId72" /><Relationship Type="http://schemas.openxmlformats.org/officeDocument/2006/relationships/hyperlink" Target="https://www.etenders.gov.za/home/Download/?blobName=2e935a33-3e15-42c0-b3f9-8ca14014630b.pdf&amp;downloadedFileName=NDOHF01%202026-2027%20ETHANDAKUKHANYA.pdf" TargetMode="External" Id="rId73" /><Relationship Type="http://schemas.openxmlformats.org/officeDocument/2006/relationships/hyperlink" Target="https://www.etenders.gov.za/home/Download/?blobName=bd06dbb0-ab11-4a03-ade2-a6a3128d2557.pdf&amp;downloadedFileName=specifications%20practicum%20room%20.pdf" TargetMode="External" Id="rId74" /><Relationship Type="http://schemas.openxmlformats.org/officeDocument/2006/relationships/hyperlink" Target="https://www.etenders.gov.za/home/Download/?blobName=765c6763-ce14-4f83-baf1-33a533418e36.pdf&amp;downloadedFileName=ATNS%20RFQ%20Network%20devices%20FAEL.pdf" TargetMode="External" Id="rId75" /><Relationship Type="http://schemas.openxmlformats.org/officeDocument/2006/relationships/hyperlink" Target="https://www.etenders.gov.za/home/Download/?blobName=b01a9856-85c5-43fe-b8f9-bf770ec9eb06.pdf&amp;downloadedFileName=PPA-102733%20-%20RFQ%20to%20market%20-%20A02%20Walkway%20%20rev00.pdf" TargetMode="External" Id="rId76" /><Relationship Type="http://schemas.openxmlformats.org/officeDocument/2006/relationships/hyperlink" Target="https://www.etenders.gov.za/home/Download/?blobName=52bee8f2-1b5e-4026-ba90-c487a7918cf6.pdf&amp;downloadedFileName=PANEL%20OF%20SERVICE%20PROVIDERS%20FOR%20THE%20PROVISION%20OF%20SURVEYING%20SERVICES%20FROM%2020262027%20TO%2020282029%20FINANCIAL%20YEARS%20(3%20YEARS%20CONTRACT)-05142026150606.pdf" TargetMode="External" Id="rId77" /><Relationship Type="http://schemas.openxmlformats.org/officeDocument/2006/relationships/hyperlink" Target="https://www.etenders.gov.za/home/Download/?blobName=14b2cfcf-bbde-4d80-905d-100c8fe0b550.pdf&amp;downloadedFileName=Q2026%20011%20DOC.pdf" TargetMode="External" Id="rId78" /><Relationship Type="http://schemas.openxmlformats.org/officeDocument/2006/relationships/hyperlink" Target="https://www.etenders.gov.za/home/Download/?blobName=4456e8c0-9813-429b-8812-56dc031bf322.pdf&amp;downloadedFileName=NGQUMBELO%20BRIDGE%20Ward%207%20final%20Rev%20june.pdf" TargetMode="External" Id="rId79" /><Relationship Type="http://schemas.openxmlformats.org/officeDocument/2006/relationships/hyperlink" Target="https://www.etenders.gov.za/home/Download/?blobName=78698076-44cd-44cf-95e5-03fd3a5a5a11.pdf&amp;downloadedFileName=0014_100-02-A1%20-%20KLIP-LOK%20ROOF%20SHEETING%20WITH%20SOLAR%20PANELS.pdf" TargetMode="External" Id="rId80" /><Relationship Type="http://schemas.openxmlformats.org/officeDocument/2006/relationships/hyperlink" Target="https://www.etenders.gov.za/home/Download/?blobName=7c38075c-831e-4c74-8acd-90ae117b9a84.pdf&amp;downloadedFileName=ATNS%20RFQ%20-%20Vehicle%20Radios%20FAPE.pdf" TargetMode="External" Id="rId81" /><Relationship Type="http://schemas.openxmlformats.org/officeDocument/2006/relationships/hyperlink" Target="https://www.etenders.gov.za/home/Download/?blobName=c979a539-dde5-40ee-b118-a9805910e530.pdf&amp;downloadedFileName=ATNS%20RFQ%20-%20Mobile%20Radios%20FAPE.pdf" TargetMode="External" Id="rId82" /><Relationship Type="http://schemas.openxmlformats.org/officeDocument/2006/relationships/hyperlink" Target="https://www.etenders.gov.za/home/Download/?blobName=678370bd-2e92-4e76-bda8-981fd01c5a1b.pdf&amp;downloadedFileName=F%20(R)%2008-2026.pdf" TargetMode="External" Id="rId83" /><Relationship Type="http://schemas.openxmlformats.org/officeDocument/2006/relationships/hyperlink" Target="https://www.etenders.gov.za/home/Download/?blobName=e4a1f1b8-a695-49b3-9e0b-0217b18cc09f.pdf&amp;downloadedFileName=IDS%20(R&amp;T)%2014-2026.pdf" TargetMode="External" Id="rId84" /><Relationship Type="http://schemas.openxmlformats.org/officeDocument/2006/relationships/hyperlink" Target="https://www.etenders.gov.za/home/Download/?blobName=a48ee881-6bbf-42a7-9f6e-350dac245216.pdf&amp;downloadedFileName=Advertised%20Bid%20Document%20WCGHSC0366-2026%20Final.pdf" TargetMode="External" Id="rId85" /><Relationship Type="http://schemas.openxmlformats.org/officeDocument/2006/relationships/hyperlink" Target="https://www.etenders.gov.za/home/Download/?blobName=49ee2a6d-d398-4e4b-9abb-7192fa27ce77.pdf&amp;downloadedFileName=243S_2025_26_Tender%20Document%20_%20%20Final%2011.05.26.pdf" TargetMode="External" Id="rId86" /><Relationship Type="http://schemas.openxmlformats.org/officeDocument/2006/relationships/hyperlink" Target="https://www.etenders.gov.za/home/Download/?blobName=f8987fc8-6b74-424b-b6c2-3932c11367f1.pdf&amp;downloadedFileName=Property%20Specification%20Uitenhage%20Kariega%20May%202026.pdf" TargetMode="External" Id="rId87" /><Relationship Type="http://schemas.openxmlformats.org/officeDocument/2006/relationships/hyperlink" Target="https://www.etenders.gov.za/home/Download/?blobName=762d1296-a61c-43c7-9c5f-c08220779b8c.pdf&amp;downloadedFileName=ENDER%2019.pdf" TargetMode="External" Id="rId88" /><Relationship Type="http://schemas.openxmlformats.org/officeDocument/2006/relationships/hyperlink" Target="https://www.etenders.gov.za/home/Download/?blobName=d1e41f98-0e0f-41c0-b402-ea04125b1ac8.pdf&amp;downloadedFileName=84%20Diamond%20Mesh%20Wire.pdf" TargetMode="External" Id="rId89" /><Relationship Type="http://schemas.openxmlformats.org/officeDocument/2006/relationships/hyperlink" Target="https://www.etenders.gov.za/home/Download/?blobName=9851141e-34e7-415e-8df3-0307d655ba05.zip&amp;downloadedFileName=Section%202%20-%20SDL%20&amp;%20I%20Requirements.zip" TargetMode="External" Id="rId90" /><Relationship Type="http://schemas.openxmlformats.org/officeDocument/2006/relationships/hyperlink" Target="https://www.etenders.gov.za/home/Download/?blobName=75550ef7-8243-4308-9c48-8d24290b088d.pdf&amp;downloadedFileName=Advert%2015-5-2026.pdf" TargetMode="External" Id="rId91" /><Relationship Type="http://schemas.openxmlformats.org/officeDocument/2006/relationships/hyperlink" Target="https://www.etenders.gov.za/home/Download/?blobName=1ac36803-85e4-4df6-89d5-3b76fa79b9eb.pdf&amp;downloadedFileName=TENDER%20DOCUMENT%20FOR%20TAKALANI%20INTERNAL%20STREETS-PHASE%201.pdf" TargetMode="External" Id="rId92" /><Relationship Type="http://schemas.openxmlformats.org/officeDocument/2006/relationships/hyperlink" Target="https://www.etenders.gov.za/home/Download/?blobName=5bd40fba-47c9-4953-94ab-a5fb4747ef81.pdf&amp;downloadedFileName=ATNS%20RFQ%20-%20G-Bex%20Units.pdf" TargetMode="External" Id="rId93" /><Relationship Type="http://schemas.openxmlformats.org/officeDocument/2006/relationships/hyperlink" Target="https://www.etenders.gov.za/home/Download/?blobName=862b90ab-3c32-4bb6-9827-28d41536d1ee.pdf&amp;downloadedFileName=5-2-1-1-2025-2026-209.pdf" TargetMode="External" Id="rId94" /><Relationship Type="http://schemas.openxmlformats.org/officeDocument/2006/relationships/hyperlink" Target="https://www.etenders.gov.za/home/Download/?blobName=fa82d0bd-9a70-44b6-8126-4fc06d70f45d.pdf&amp;downloadedFileName=CORP%20(ICT)%2005-2026.pdf" TargetMode="External" Id="rId95" /><Relationship Type="http://schemas.openxmlformats.org/officeDocument/2006/relationships/hyperlink" Target="https://www.etenders.gov.za/home/Download/?blobName=0d4713ce-246f-4201-a39e-fb96dd4e8669.pdf&amp;downloadedFileName=SDLI%20Strategy%20for%20Supply%20Delivery%20and%20Application%20of%20Calcium%20Lignosulphonate%201.pdf" TargetMode="External" Id="rId96" /></Relationships>
</file>

<file path=xl/worksheets/sheet1.xml><?xml version="1.0" encoding="utf-8"?>
<worksheet xmlns="http://schemas.openxmlformats.org/spreadsheetml/2006/main">
  <sheetPr>
    <outlinePr summaryBelow="1" summaryRight="1"/>
    <pageSetUpPr/>
  </sheetPr>
  <dimension ref="A1:W97"/>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46162</v>
      </c>
      <c r="B2" t="n">
        <v>96</v>
      </c>
      <c r="C2" t="inlineStr">
        <is>
          <t>EMLM 32/2026</t>
        </is>
      </c>
      <c r="D2" s="2" t="n">
        <v>46156</v>
      </c>
      <c r="E2" s="2" t="n">
        <v>46192</v>
      </c>
      <c r="F2" t="inlineStr">
        <is>
          <t>11:00</t>
        </is>
      </c>
      <c r="G2" t="inlineStr">
        <is>
          <t>Request for Bid(Open-Tender)</t>
        </is>
      </c>
      <c r="H2" t="inlineStr">
        <is>
          <t>COMPILATION OF VALUATION AND SUPPLEMENTARY ROLL FOR A PERIOD OF FIVE (5) YEARS 2027-2032</t>
        </is>
      </c>
      <c r="I2" t="inlineStr">
        <is>
          <t>ETENDERS.GOV.ZA</t>
        </is>
      </c>
      <c r="J2" t="inlineStr">
        <is>
          <t>Elias Motsoaledi Local Municipality</t>
        </is>
      </c>
      <c r="K2" t="inlineStr">
        <is>
          <t>Limpopo</t>
        </is>
      </c>
      <c r="L2" t="inlineStr">
        <is>
          <t>No</t>
        </is>
      </c>
      <c r="M2" t="inlineStr">
        <is>
          <t>Administrative and support activities</t>
        </is>
      </c>
      <c r="N2" t="inlineStr">
        <is>
          <t>No</t>
        </is>
      </c>
      <c r="O2" t="inlineStr">
        <is>
          <t>N/A</t>
        </is>
      </c>
      <c r="P2" t="inlineStr">
        <is>
          <t>No</t>
        </is>
      </c>
      <c r="Q2" t="inlineStr">
        <is>
          <t>N/A</t>
        </is>
      </c>
      <c r="R2" s="3" t="inlineStr">
        <is>
          <t>https://www.etenders.gov.za/home/Download/?blobName=9df3f77b-c68d-41fc-aae0-ccb1302d3484.pdf&amp;downloadedFileName=Public%20Notice%20-%20Scam%20Alert%20(1).pdf</t>
        </is>
      </c>
      <c r="S2" t="inlineStr"/>
      <c r="T2" t="inlineStr"/>
      <c r="U2" t="inlineStr"/>
      <c r="V2" t="inlineStr"/>
      <c r="W2" t="inlineStr"/>
    </row>
    <row r="3">
      <c r="A3" s="2" t="n">
        <v>46162</v>
      </c>
      <c r="B3" t="n">
        <v>95</v>
      </c>
      <c r="C3" t="inlineStr">
        <is>
          <t>RFQ 16/2026-2027</t>
        </is>
      </c>
      <c r="D3" s="2" t="n">
        <v>46156</v>
      </c>
      <c r="E3" s="2" t="n">
        <v>46167</v>
      </c>
      <c r="F3" t="inlineStr">
        <is>
          <t>12:00</t>
        </is>
      </c>
      <c r="G3" t="inlineStr">
        <is>
          <t>Request for Quotation</t>
        </is>
      </c>
      <c r="H3" t="inlineStr">
        <is>
          <t>REQUEST FOR QUOTATION: SECURITY RISK ASSESSMENT AND RECOMMENDATION FOR THE EXECUTIVE MEMBERS MOVEMENTS.</t>
        </is>
      </c>
      <c r="I3" t="inlineStr">
        <is>
          <t>ETENDERS.GOV.ZA</t>
        </is>
      </c>
      <c r="J3" t="inlineStr">
        <is>
          <t>Alexkor Limited</t>
        </is>
      </c>
      <c r="K3" t="inlineStr">
        <is>
          <t>Northern Cape</t>
        </is>
      </c>
      <c r="L3" t="inlineStr">
        <is>
          <t>No</t>
        </is>
      </c>
      <c r="M3" t="inlineStr">
        <is>
          <t>Other personal service activities</t>
        </is>
      </c>
      <c r="N3" t="inlineStr">
        <is>
          <t>No</t>
        </is>
      </c>
      <c r="O3" t="inlineStr">
        <is>
          <t>N/A</t>
        </is>
      </c>
      <c r="P3" t="inlineStr">
        <is>
          <t>No</t>
        </is>
      </c>
      <c r="Q3" t="inlineStr">
        <is>
          <t>N/A</t>
        </is>
      </c>
      <c r="R3" s="3" t="inlineStr">
        <is>
          <t>https://www.etenders.gov.za/home/Download/?blobName=8153c61d-35c5-4af7-8eb0-9dd48ea0d5be.pdf&amp;downloadedFileName=RFQ%2016-2026%202027%20SECURITY%20RISK%20ASSESSMENT%20FOR%20EXECUTIVE%20MANAGEMENT%20pdf.pdf</t>
        </is>
      </c>
      <c r="S3" t="inlineStr"/>
      <c r="T3" t="inlineStr"/>
      <c r="U3" t="inlineStr"/>
      <c r="V3" t="inlineStr"/>
      <c r="W3" t="inlineStr"/>
    </row>
    <row r="4">
      <c r="A4" s="2" t="n">
        <v>46162</v>
      </c>
      <c r="B4" t="n">
        <v>94</v>
      </c>
      <c r="C4" t="inlineStr">
        <is>
          <t>RFB 3241-2026 ERP NO:364010</t>
        </is>
      </c>
      <c r="D4" s="2" t="n">
        <v>46156</v>
      </c>
      <c r="E4" s="2" t="n">
        <v>46181</v>
      </c>
      <c r="F4" t="inlineStr">
        <is>
          <t>11:00</t>
        </is>
      </c>
      <c r="G4" t="inlineStr">
        <is>
          <t>Request for Bid(Open-Tender)</t>
        </is>
      </c>
      <c r="H4" t="inlineStr">
        <is>
          <t>APPOINTMENT OF SERVICE PROVIDER TO PROVIDE GARDENING AND LANDSCAPING SERVICES TO SITA GAUTENG OFFICES (ERASMUSKLOOF, CENTURION, BETA, NUMERUS AND MEDICAL BATTALION) FOR A PERIOD OF FIVE (5) YEARS. COMPULSORY PHYSICAL BRIEFING SESSION WILL BE HELD ON 25 MAY 2026 AT 09H00AM, MEETING POINT AT SITA CENTURION.</t>
        </is>
      </c>
      <c r="I4" t="inlineStr">
        <is>
          <t>ETENDERS.GOV.ZA</t>
        </is>
      </c>
      <c r="J4" t="inlineStr">
        <is>
          <t>State Information Technology Agency</t>
        </is>
      </c>
      <c r="K4" t="inlineStr">
        <is>
          <t>Gauteng</t>
        </is>
      </c>
      <c r="L4" t="inlineStr">
        <is>
          <t>No</t>
        </is>
      </c>
      <c r="M4" t="inlineStr">
        <is>
          <t>Services to buildings and landscape activities</t>
        </is>
      </c>
      <c r="N4" t="inlineStr">
        <is>
          <t>Yes</t>
        </is>
      </c>
      <c r="O4" s="2" t="n">
        <v>46167</v>
      </c>
      <c r="P4" t="inlineStr">
        <is>
          <t>Yes</t>
        </is>
      </c>
      <c r="Q4" t="inlineStr">
        <is>
          <t>SITA Centurion</t>
        </is>
      </c>
      <c r="R4" s="3" t="inlineStr">
        <is>
          <t>https://www.etenders.gov.za/home/Download/?blobName=49f59683-1daa-4a9d-9f13-0aa7410ac003.docx&amp;downloadedFileName=RFB%203241-2026%20Bid%20Specification.docx</t>
        </is>
      </c>
      <c r="S4" t="inlineStr"/>
      <c r="T4" t="inlineStr"/>
      <c r="U4" t="inlineStr"/>
      <c r="V4" t="inlineStr"/>
      <c r="W4" t="inlineStr"/>
    </row>
    <row r="5">
      <c r="A5" s="2" t="n">
        <v>46162</v>
      </c>
      <c r="B5" t="n">
        <v>93</v>
      </c>
      <c r="C5" t="inlineStr">
        <is>
          <t>RFP38-2025</t>
        </is>
      </c>
      <c r="D5" s="2" t="n">
        <v>46156</v>
      </c>
      <c r="E5" s="2" t="n">
        <v>46191</v>
      </c>
      <c r="F5" t="inlineStr">
        <is>
          <t>11:00</t>
        </is>
      </c>
      <c r="G5" t="inlineStr">
        <is>
          <t>Request for Proposal</t>
        </is>
      </c>
      <c r="H5" t="inlineStr">
        <is>
          <t>Appointment of a Service Provider for a Turn-Key Solution to provide SARS with office space in Gqeberha for leasing and fitout over a period of nine (9) years and eleven (11) Months</t>
        </is>
      </c>
      <c r="I5" t="inlineStr">
        <is>
          <t>ETENDERS.GOV.ZA</t>
        </is>
      </c>
      <c r="J5" t="inlineStr">
        <is>
          <t>South African Revenue Service</t>
        </is>
      </c>
      <c r="K5" t="inlineStr">
        <is>
          <t>National</t>
        </is>
      </c>
      <c r="L5" t="inlineStr">
        <is>
          <t>No</t>
        </is>
      </c>
      <c r="M5" t="inlineStr">
        <is>
          <t>Rental and leasing activities</t>
        </is>
      </c>
      <c r="N5" t="inlineStr">
        <is>
          <t>Yes</t>
        </is>
      </c>
      <c r="O5" s="2" t="n">
        <v>46164</v>
      </c>
      <c r="P5" t="inlineStr">
        <is>
          <t>No</t>
        </is>
      </c>
      <c r="Q5" t="inlineStr">
        <is>
          <t>Briefing session link is on the Main RFP Document and Tender invitation letter</t>
        </is>
      </c>
      <c r="R5" s="3" t="inlineStr">
        <is>
          <t>https://www.etenders.gov.za/home/Download/?blobName=3ac63674-d7d4-4b08-8b54-589c217ec10f.zip&amp;downloadedFileName=1.%20RFP38-2025%20Tender%20Pack.zip</t>
        </is>
      </c>
      <c r="S5" t="inlineStr"/>
      <c r="T5" t="inlineStr"/>
      <c r="U5" t="inlineStr"/>
      <c r="V5" t="inlineStr"/>
      <c r="W5" t="inlineStr"/>
    </row>
    <row r="6">
      <c r="A6" s="2" t="n">
        <v>46162</v>
      </c>
      <c r="B6" t="n">
        <v>92</v>
      </c>
      <c r="C6" t="inlineStr">
        <is>
          <t>83/2026</t>
        </is>
      </c>
      <c r="D6" s="2" t="n">
        <v>46156</v>
      </c>
      <c r="E6" s="2" t="n">
        <v>46164</v>
      </c>
      <c r="F6" t="inlineStr">
        <is>
          <t>14:00</t>
        </is>
      </c>
      <c r="G6" t="inlineStr">
        <is>
          <t>Request for Quotation</t>
        </is>
      </c>
      <c r="H6" t="inlineStr">
        <is>
          <t>SUPPLY AND DELIVERY OF MATERIAL AND EQUIPMENT FOR NEEDLEWORK PROJECT</t>
        </is>
      </c>
      <c r="I6" t="inlineStr">
        <is>
          <t>ETENDERS.GOV.ZA</t>
        </is>
      </c>
      <c r="J6" t="inlineStr">
        <is>
          <t>Beaufort West Municipality</t>
        </is>
      </c>
      <c r="K6" t="inlineStr">
        <is>
          <t>Western Cape</t>
        </is>
      </c>
      <c r="L6" t="inlineStr">
        <is>
          <t>No</t>
        </is>
      </c>
      <c r="M6" t="inlineStr">
        <is>
          <t>Services: General</t>
        </is>
      </c>
      <c r="N6" t="inlineStr">
        <is>
          <t>No</t>
        </is>
      </c>
      <c r="O6" t="inlineStr">
        <is>
          <t>N/A</t>
        </is>
      </c>
      <c r="P6" t="inlineStr">
        <is>
          <t>No</t>
        </is>
      </c>
      <c r="Q6" t="inlineStr">
        <is>
          <t>N/A</t>
        </is>
      </c>
      <c r="R6" s="3" t="inlineStr">
        <is>
          <t>https://www.etenders.gov.za/home/Download/?blobName=c077fee9-ef79-4ca9-8191-17e0589a9acb.pdf&amp;downloadedFileName=ADVERT%20SCM%2033-2026.pdf</t>
        </is>
      </c>
      <c r="S6" t="inlineStr"/>
      <c r="T6" t="inlineStr"/>
      <c r="U6" t="inlineStr"/>
      <c r="V6" t="inlineStr"/>
      <c r="W6" t="inlineStr"/>
    </row>
    <row r="7">
      <c r="A7" s="2" t="n">
        <v>46162</v>
      </c>
      <c r="B7" t="n">
        <v>91</v>
      </c>
      <c r="C7" t="inlineStr">
        <is>
          <t>SCM 47/2026</t>
        </is>
      </c>
      <c r="D7" s="2" t="n">
        <v>46156</v>
      </c>
      <c r="E7" s="2" t="n">
        <v>46164</v>
      </c>
      <c r="F7" t="inlineStr">
        <is>
          <t>14:00</t>
        </is>
      </c>
      <c r="G7" t="inlineStr">
        <is>
          <t>Request for Quotation</t>
        </is>
      </c>
      <c r="H7" t="inlineStr">
        <is>
          <t>SUPPLY AND DELIVERY OF BUILDING MATERIAL FOR MURRAYSBURG THUSONG CENTRE</t>
        </is>
      </c>
      <c r="I7" t="inlineStr">
        <is>
          <t>ETENDERS.GOV.ZA</t>
        </is>
      </c>
      <c r="J7" t="inlineStr">
        <is>
          <t>Beaufort West Municipality</t>
        </is>
      </c>
      <c r="K7" t="inlineStr">
        <is>
          <t>Western Cape</t>
        </is>
      </c>
      <c r="L7" t="inlineStr">
        <is>
          <t>No</t>
        </is>
      </c>
      <c r="M7" t="inlineStr">
        <is>
          <t>Supplies: General</t>
        </is>
      </c>
      <c r="N7" t="inlineStr">
        <is>
          <t>No</t>
        </is>
      </c>
      <c r="O7" t="inlineStr">
        <is>
          <t>N/A</t>
        </is>
      </c>
      <c r="P7" t="inlineStr">
        <is>
          <t>No</t>
        </is>
      </c>
      <c r="Q7" t="inlineStr">
        <is>
          <t>N/A</t>
        </is>
      </c>
      <c r="R7" s="3" t="inlineStr">
        <is>
          <t>https://www.etenders.gov.za/home/Download/?blobName=868d670c-b222-42c6-ab7d-bf8fa2d16fb2.pdf&amp;downloadedFileName=ADVERT%20-%20SCM%2047-2026%20MURRAYSBURG%20THUSONG.pdf</t>
        </is>
      </c>
      <c r="S7" t="inlineStr"/>
      <c r="T7" t="inlineStr"/>
      <c r="U7" t="inlineStr"/>
      <c r="V7" t="inlineStr"/>
      <c r="W7" t="inlineStr"/>
    </row>
    <row r="8">
      <c r="A8" s="2" t="n">
        <v>46162</v>
      </c>
      <c r="B8" t="n">
        <v>90</v>
      </c>
      <c r="C8" t="inlineStr">
        <is>
          <t>RFQ 013 2026/27</t>
        </is>
      </c>
      <c r="D8" s="2" t="n">
        <v>46156</v>
      </c>
      <c r="E8" s="2" t="n">
        <v>46163</v>
      </c>
      <c r="F8" t="inlineStr">
        <is>
          <t>12:00</t>
        </is>
      </c>
      <c r="G8" t="inlineStr">
        <is>
          <t>Request for Quotation</t>
        </is>
      </c>
      <c r="H8" t="inlineStr">
        <is>
          <t>Supply, Install and Configure of Advance Visual Display System for the Cybersecurity Operations Centre (SOC) for the SIU.</t>
        </is>
      </c>
      <c r="I8" t="inlineStr">
        <is>
          <t>ETENDERS.GOV.ZA</t>
        </is>
      </c>
      <c r="J8" t="inlineStr">
        <is>
          <t>Special Investigation Unit</t>
        </is>
      </c>
      <c r="K8" t="inlineStr">
        <is>
          <t>Gauteng</t>
        </is>
      </c>
      <c r="L8" t="inlineStr">
        <is>
          <t>No</t>
        </is>
      </c>
      <c r="M8" t="inlineStr">
        <is>
          <t>Supplies: Computer Equipment</t>
        </is>
      </c>
      <c r="N8" t="inlineStr">
        <is>
          <t>Yes</t>
        </is>
      </c>
      <c r="O8" s="2" t="n">
        <v>46160</v>
      </c>
      <c r="P8" t="inlineStr">
        <is>
          <t>No</t>
        </is>
      </c>
      <c r="Q8" t="inlineStr">
        <is>
          <t>https://teams.microsoft.com/meet/396432947689510?p=HpLuHt6Eg9qLAiNnJv</t>
        </is>
      </c>
      <c r="R8" s="3" t="inlineStr">
        <is>
          <t>https://www.etenders.gov.za/home/Download/?blobName=7ab6672c-16f7-47c0-b28b-24644fa8f91b.docx&amp;downloadedFileName=RFQ%20013%20Supply,%20Install%20and%20Configure.%20SOC.docx</t>
        </is>
      </c>
      <c r="S8" t="inlineStr"/>
      <c r="T8" t="inlineStr"/>
      <c r="U8" t="inlineStr"/>
      <c r="V8" t="inlineStr"/>
      <c r="W8" t="inlineStr"/>
    </row>
    <row r="9">
      <c r="A9" s="2" t="n">
        <v>46162</v>
      </c>
      <c r="B9" t="n">
        <v>89</v>
      </c>
      <c r="C9" t="inlineStr">
        <is>
          <t>RFQ07-2026/27</t>
        </is>
      </c>
      <c r="D9" s="2" t="n">
        <v>46156</v>
      </c>
      <c r="E9" s="2" t="n">
        <v>46163</v>
      </c>
      <c r="F9" t="inlineStr">
        <is>
          <t>12:00</t>
        </is>
      </c>
      <c r="G9" t="inlineStr">
        <is>
          <t>Request for Bid(Open-Tender)</t>
        </is>
      </c>
      <c r="H9" t="inlineStr">
        <is>
          <t>THE APPOINTMENT OF A SERVICE PROVIDER TO CONDUCT THE CSOS BOARD OF DIRECTORS AND COMMITTEE PERFORMANCE EVALUATION.</t>
        </is>
      </c>
      <c r="I9" t="inlineStr">
        <is>
          <t>ETENDERS.GOV.ZA</t>
        </is>
      </c>
      <c r="J9" t="inlineStr">
        <is>
          <t>Community Schemes Ombud Service</t>
        </is>
      </c>
      <c r="K9" t="inlineStr">
        <is>
          <t>National</t>
        </is>
      </c>
      <c r="L9" t="inlineStr">
        <is>
          <t>No</t>
        </is>
      </c>
      <c r="M9" t="inlineStr">
        <is>
          <t>Services: Professional</t>
        </is>
      </c>
      <c r="N9" t="inlineStr">
        <is>
          <t>No</t>
        </is>
      </c>
      <c r="O9" t="inlineStr">
        <is>
          <t>N/A</t>
        </is>
      </c>
      <c r="P9" t="inlineStr">
        <is>
          <t>No</t>
        </is>
      </c>
      <c r="Q9" t="inlineStr">
        <is>
          <t>N/A</t>
        </is>
      </c>
      <c r="R9" s="3" t="inlineStr">
        <is>
          <t>https://www.etenders.gov.za/home/Download/?blobName=d370fa8e-b3e8-46b9-86fa-88c0df78533b.pdf&amp;downloadedFileName=RFQ07-2026-27%20Board%20committe%20and%20perfomance.pdf</t>
        </is>
      </c>
      <c r="S9" t="inlineStr"/>
      <c r="T9" t="inlineStr"/>
      <c r="U9" t="inlineStr"/>
      <c r="V9" t="inlineStr"/>
      <c r="W9" t="inlineStr"/>
    </row>
    <row r="10">
      <c r="A10" s="2" t="n">
        <v>46162</v>
      </c>
      <c r="B10" t="n">
        <v>88</v>
      </c>
      <c r="C10" t="inlineStr">
        <is>
          <t>RFQ NO.289581/SK/2026</t>
        </is>
      </c>
      <c r="D10" s="2" t="n">
        <v>46156</v>
      </c>
      <c r="E10" s="2" t="n">
        <v>46163</v>
      </c>
      <c r="F10" t="inlineStr">
        <is>
          <t>11:00</t>
        </is>
      </c>
      <c r="G10" t="inlineStr">
        <is>
          <t>Request for Quotation</t>
        </is>
      </c>
      <c r="H10" t="inlineStr">
        <is>
          <t>SUPPLY AND DELIVERY OF JET A1 FUEL TO AIR SERVICES AT KRUGER NATIONAL PARK SKUKUZA CAMP</t>
        </is>
      </c>
      <c r="I10" t="inlineStr">
        <is>
          <t>ETENDERS.GOV.ZA</t>
        </is>
      </c>
      <c r="J10" t="inlineStr">
        <is>
          <t>South African National Parks</t>
        </is>
      </c>
      <c r="K10" t="inlineStr">
        <is>
          <t>Mpumalanga</t>
        </is>
      </c>
      <c r="L10" t="inlineStr">
        <is>
          <t>No</t>
        </is>
      </c>
      <c r="M10" t="inlineStr">
        <is>
          <t>Manufacture of coke and refined petroleum products</t>
        </is>
      </c>
      <c r="N10" t="inlineStr">
        <is>
          <t>No</t>
        </is>
      </c>
      <c r="O10" t="inlineStr">
        <is>
          <t>N/A</t>
        </is>
      </c>
      <c r="P10" t="inlineStr">
        <is>
          <t>No</t>
        </is>
      </c>
      <c r="Q10" t="inlineStr">
        <is>
          <t>N/A</t>
        </is>
      </c>
      <c r="R10" s="3" t="inlineStr">
        <is>
          <t>https://www.etenders.gov.za/home/Download/?blobName=9bf867b4-42f7-4125-8e7f-2922566be0a2.pdf&amp;downloadedFileName=SANParks%20RFQ%20No.%20289581_Jet%20A1_Air%20Services.pdf</t>
        </is>
      </c>
      <c r="S10" t="inlineStr"/>
      <c r="T10" t="inlineStr"/>
      <c r="U10" t="inlineStr"/>
      <c r="V10" t="inlineStr"/>
      <c r="W10" t="inlineStr"/>
    </row>
    <row r="11">
      <c r="A11" s="2" t="n">
        <v>46162</v>
      </c>
      <c r="B11" t="n">
        <v>87</v>
      </c>
      <c r="C11" t="inlineStr">
        <is>
          <t>BID0000014-26/27</t>
        </is>
      </c>
      <c r="D11" s="2" t="n">
        <v>46156</v>
      </c>
      <c r="E11" s="2" t="n">
        <v>46177</v>
      </c>
      <c r="F11" t="inlineStr">
        <is>
          <t>11:00</t>
        </is>
      </c>
      <c r="G11" t="inlineStr">
        <is>
          <t>Request for Bid(Open-Tender)</t>
        </is>
      </c>
      <c r="H11" t="inlineStr">
        <is>
          <t>APPOINTMENT OF A TRAVEL MANAGEMENT COMPANY (TMC) TO PROVIDE TRAVEL MANAGEMENT SERVICES TO THE COMPETITION COMMISSION FOR A PERIOD OF THREE YEARS.</t>
        </is>
      </c>
      <c r="I11" t="inlineStr">
        <is>
          <t>ETENDERS.GOV.ZA</t>
        </is>
      </c>
      <c r="J11" t="inlineStr">
        <is>
          <t>Competition Commission</t>
        </is>
      </c>
      <c r="K11" t="inlineStr">
        <is>
          <t>National</t>
        </is>
      </c>
      <c r="L11" t="inlineStr">
        <is>
          <t>No</t>
        </is>
      </c>
      <c r="M11" t="inlineStr">
        <is>
          <t>Services: Professional</t>
        </is>
      </c>
      <c r="N11" t="inlineStr">
        <is>
          <t>Yes</t>
        </is>
      </c>
      <c r="O11" s="2" t="n">
        <v>46164</v>
      </c>
      <c r="P11" t="inlineStr">
        <is>
          <t>Yes</t>
        </is>
      </c>
      <c r="Q11" t="inlineStr">
        <is>
          <t>https://teams.microsoft.com/meet/395463436195870?p=x3MlINsO0JYRFbRPlC</t>
        </is>
      </c>
      <c r="R11" s="3" t="inlineStr">
        <is>
          <t>https://www.etenders.gov.za/home/Download/?blobName=2ee4b5e0-f26e-4471-a33d-0d35ea915f4c.pdf&amp;downloadedFileName=SBD-4-BIDDERS-DISCLOSURE-BID0000014-2627.pdf</t>
        </is>
      </c>
      <c r="S11" t="inlineStr"/>
      <c r="T11" t="inlineStr"/>
      <c r="U11" t="inlineStr"/>
      <c r="V11" t="inlineStr"/>
      <c r="W11" t="inlineStr"/>
    </row>
    <row r="12">
      <c r="A12" s="2" t="n">
        <v>46162</v>
      </c>
      <c r="B12" t="n">
        <v>86</v>
      </c>
      <c r="C12" t="inlineStr">
        <is>
          <t>RFQ/2026-005-013</t>
        </is>
      </c>
      <c r="D12" s="2" t="n">
        <v>46156</v>
      </c>
      <c r="E12" s="2" t="n">
        <v>46164</v>
      </c>
      <c r="F12" t="inlineStr">
        <is>
          <t>11:00</t>
        </is>
      </c>
      <c r="G12" t="inlineStr">
        <is>
          <t>Request for Quotation</t>
        </is>
      </c>
      <c r="H12" t="inlineStr">
        <is>
          <t>REQUEST FOR QUOTATIONS FOR THE APPOINTMENT OF A SERVICE PROVIDER FOR RECRUITMENT PROBITY CHECKS AND PSYCHOMETRIC ASSESSMENTS FOR THE NATIONAL LOTTERIES COMMISSION FOR A PERIOD OF FIVE (5) YEARS</t>
        </is>
      </c>
      <c r="I12" t="inlineStr">
        <is>
          <t>ETENDERS.GOV.ZA</t>
        </is>
      </c>
      <c r="J12" t="inlineStr">
        <is>
          <t>National Lotteries Commission</t>
        </is>
      </c>
      <c r="K12" t="inlineStr">
        <is>
          <t>National</t>
        </is>
      </c>
      <c r="L12" t="inlineStr">
        <is>
          <t>No</t>
        </is>
      </c>
      <c r="M12" t="inlineStr">
        <is>
          <t>Administrative and support activities</t>
        </is>
      </c>
      <c r="N12" t="inlineStr">
        <is>
          <t>No</t>
        </is>
      </c>
      <c r="O12" t="inlineStr">
        <is>
          <t>N/A</t>
        </is>
      </c>
      <c r="P12" t="inlineStr">
        <is>
          <t>No</t>
        </is>
      </c>
      <c r="Q12" t="inlineStr">
        <is>
          <t>N/A</t>
        </is>
      </c>
      <c r="R12" s="3" t="inlineStr">
        <is>
          <t>https://www.etenders.gov.za/home/Download/?blobName=62fa8125-d143-42d4-98fb-18f3b5a24f4d.pdf&amp;downloadedFileName=RFQ2026-005-013%20Appointment%20of%20Service%20Provider%20for%20Probity%20Checks%20and%20Competency%20Assessments%20for%20NLC.pdf</t>
        </is>
      </c>
      <c r="S12" t="inlineStr"/>
      <c r="T12" t="inlineStr"/>
      <c r="U12" t="inlineStr"/>
      <c r="V12" t="inlineStr"/>
      <c r="W12" t="inlineStr"/>
    </row>
    <row r="13">
      <c r="A13" s="2" t="n">
        <v>46162</v>
      </c>
      <c r="B13" t="n">
        <v>85</v>
      </c>
      <c r="C13" t="inlineStr">
        <is>
          <t>NLM/DP/CFMPS/2026/2027</t>
        </is>
      </c>
      <c r="D13" s="2" t="n">
        <v>46156</v>
      </c>
      <c r="E13" s="2" t="n">
        <v>46175</v>
      </c>
      <c r="F13" t="inlineStr">
        <is>
          <t>12:00</t>
        </is>
      </c>
      <c r="G13" t="inlineStr">
        <is>
          <t>Request for Bid(Open-Tender)</t>
        </is>
      </c>
      <c r="H13" t="inlineStr">
        <is>
          <t>Construction of fenced Mathole Pre -School with ablution facilities in ward 3</t>
        </is>
      </c>
      <c r="I13" t="inlineStr">
        <is>
          <t>ETENDERS.GOV.ZA</t>
        </is>
      </c>
      <c r="J13" t="inlineStr">
        <is>
          <t>Ntabankulu Local Municipality</t>
        </is>
      </c>
      <c r="K13" t="inlineStr">
        <is>
          <t>Eastern Cape</t>
        </is>
      </c>
      <c r="L13" t="inlineStr">
        <is>
          <t>No</t>
        </is>
      </c>
      <c r="M13" t="inlineStr">
        <is>
          <t>Construction of buildings</t>
        </is>
      </c>
      <c r="N13" t="inlineStr">
        <is>
          <t>Yes</t>
        </is>
      </c>
      <c r="O13" s="2" t="n">
        <v>46164</v>
      </c>
      <c r="P13" t="inlineStr">
        <is>
          <t>Yes</t>
        </is>
      </c>
      <c r="Q13" t="inlineStr">
        <is>
          <t>Erf 85 Main Street, Ntabankulu Local Municipality, Ntabankulu Town Hall</t>
        </is>
      </c>
      <c r="R13" s="3" t="inlineStr">
        <is>
          <t>https://www.etenders.gov.za/home/Download/?blobName=2c86e6d5-aec1-4c9d-8e4d-fbdff78f9802.pdf&amp;downloadedFileName=Construction%20of%20Fenced%20Mathole%20Pre-School%20with%20Ablution%20Facilities%20in%20Ward%2003.pdf</t>
        </is>
      </c>
      <c r="S13" t="inlineStr"/>
      <c r="T13" t="inlineStr"/>
      <c r="U13" t="inlineStr"/>
      <c r="V13" t="inlineStr"/>
      <c r="W13" t="inlineStr"/>
    </row>
    <row r="14">
      <c r="A14" s="2" t="n">
        <v>46162</v>
      </c>
      <c r="B14" t="n">
        <v>84</v>
      </c>
      <c r="C14" t="inlineStr">
        <is>
          <t>2615S</t>
        </is>
      </c>
      <c r="D14" s="2" t="n">
        <v>46156</v>
      </c>
      <c r="E14" s="2" t="n">
        <v>46192</v>
      </c>
      <c r="F14" t="inlineStr">
        <is>
          <t>11:00</t>
        </is>
      </c>
      <c r="G14" t="inlineStr">
        <is>
          <t>Request for Bid(Open-Tender)</t>
        </is>
      </c>
      <c r="H14" t="inlineStr">
        <is>
          <t>BID NUMBER 2615S PRE -BID/BRIEFING SESSION None BID ADVERTISING DATE 14 May 2026 BID CLOSING DATE 19 June 2026 BID CLOSING TIME 11H00 CONTACT PERSONS THABILE MAHLANGENI TELEPHONE NUMBER 011 490 7794 E-mail address tmahlangeni@citypower.co.za</t>
        </is>
      </c>
      <c r="I14" t="inlineStr">
        <is>
          <t>ETENDERS.GOV.ZA</t>
        </is>
      </c>
      <c r="J14" t="inlineStr">
        <is>
          <t>City Power – Johannesburg</t>
        </is>
      </c>
      <c r="K14" t="inlineStr">
        <is>
          <t>Gauteng</t>
        </is>
      </c>
      <c r="L14" t="inlineStr">
        <is>
          <t>No</t>
        </is>
      </c>
      <c r="M14" t="inlineStr">
        <is>
          <t>Services: Functional (Including Cleaning and Security Services)</t>
        </is>
      </c>
      <c r="N14" t="inlineStr">
        <is>
          <t>No</t>
        </is>
      </c>
      <c r="O14" t="inlineStr">
        <is>
          <t>N/A</t>
        </is>
      </c>
      <c r="P14" t="inlineStr">
        <is>
          <t>No</t>
        </is>
      </c>
      <c r="Q14" t="inlineStr">
        <is>
          <t>N/A</t>
        </is>
      </c>
      <c r="R14" s="3" t="inlineStr">
        <is>
          <t>https://www.etenders.gov.za/home/Download/?blobName=04524fe1-1231-4265-8a0b-091ac5805a9f.pdf&amp;downloadedFileName=CP_TSSTAN_155_STANDARD%20FOR%20END%20POINT%20SECURITY%20SOLUTION.pdf</t>
        </is>
      </c>
      <c r="S14" t="inlineStr"/>
      <c r="T14" t="inlineStr"/>
      <c r="U14" t="inlineStr"/>
      <c r="V14" t="inlineStr"/>
      <c r="W14" t="inlineStr"/>
    </row>
    <row r="15">
      <c r="A15" s="2" t="n">
        <v>46162</v>
      </c>
      <c r="B15" t="n">
        <v>83</v>
      </c>
      <c r="C15" t="inlineStr">
        <is>
          <t>BID - 2630GS</t>
        </is>
      </c>
      <c r="D15" s="2" t="n">
        <v>46156</v>
      </c>
      <c r="E15" s="2" t="n">
        <v>46192</v>
      </c>
      <c r="F15" t="inlineStr">
        <is>
          <t>11:00</t>
        </is>
      </c>
      <c r="G15" t="inlineStr">
        <is>
          <t>Request for Bid(Open-Tender)</t>
        </is>
      </c>
      <c r="H15" t="inlineStr">
        <is>
          <t>BID - 2630GS - Supply, Repairs and Maintenance of Fire Extinguishers Equipment</t>
        </is>
      </c>
      <c r="I15" t="inlineStr">
        <is>
          <t>ETENDERS.GOV.ZA</t>
        </is>
      </c>
      <c r="J15" t="inlineStr">
        <is>
          <t>City Power – Johannesburg</t>
        </is>
      </c>
      <c r="K15" t="inlineStr">
        <is>
          <t>Gauteng</t>
        </is>
      </c>
      <c r="L15" t="inlineStr">
        <is>
          <t>No</t>
        </is>
      </c>
      <c r="M15" t="inlineStr">
        <is>
          <t>Other service activities</t>
        </is>
      </c>
      <c r="N15" t="inlineStr">
        <is>
          <t>No</t>
        </is>
      </c>
      <c r="O15" t="inlineStr">
        <is>
          <t>N/A</t>
        </is>
      </c>
      <c r="P15" t="inlineStr">
        <is>
          <t>No</t>
        </is>
      </c>
      <c r="Q15" t="inlineStr">
        <is>
          <t>N/A</t>
        </is>
      </c>
      <c r="R15" s="3" t="inlineStr">
        <is>
          <t>https://www.etenders.gov.za/home/Download/?blobName=9784e28d-bb58-4632-80f2-c45f604fb3a5.pdf&amp;downloadedFileName=Bid%20Advert%20Template%20%20Amended%20-%202630GS.pdf</t>
        </is>
      </c>
      <c r="S15" t="inlineStr"/>
      <c r="T15" t="inlineStr"/>
      <c r="U15" t="inlineStr"/>
      <c r="V15" t="inlineStr"/>
      <c r="W15" t="inlineStr"/>
    </row>
    <row r="16">
      <c r="A16" s="2" t="n">
        <v>46162</v>
      </c>
      <c r="B16" t="n">
        <v>82</v>
      </c>
      <c r="C16" t="inlineStr">
        <is>
          <t>A034 - 2025/26</t>
        </is>
      </c>
      <c r="D16" s="2" t="n">
        <v>46156</v>
      </c>
      <c r="E16" s="2" t="n">
        <v>46192</v>
      </c>
      <c r="F16" t="inlineStr">
        <is>
          <t>00:00</t>
        </is>
      </c>
      <c r="G16" t="inlineStr">
        <is>
          <t>Request for Bid(Open-Tender)</t>
        </is>
      </c>
      <c r="H16" t="inlineStr">
        <is>
          <t>PANEL OF CONTRACTORS FOR THE REPAIRS AND MAINTENANCE OF WASTEWATER TREATMENT PLANTS, PUMPSTATIONS AND BOREHOLES MECHANICAL EQUIPMENT ON AN “AS AND WHEN REQUIRED BASIS” FOR A PERIOD OF 36 MONTHS</t>
        </is>
      </c>
      <c r="I16" t="inlineStr">
        <is>
          <t>ETENDERS.GOV.ZA</t>
        </is>
      </c>
      <c r="J16" t="inlineStr">
        <is>
          <t>Newcastle Local Municipality</t>
        </is>
      </c>
      <c r="K16" t="inlineStr">
        <is>
          <t>KwaZulu-Natal</t>
        </is>
      </c>
      <c r="L16" t="inlineStr">
        <is>
          <t>No</t>
        </is>
      </c>
      <c r="M16" t="inlineStr">
        <is>
          <t>Water supply; sewerage, waste management and remediation activities</t>
        </is>
      </c>
      <c r="N16" t="inlineStr">
        <is>
          <t>No</t>
        </is>
      </c>
      <c r="O16" t="inlineStr">
        <is>
          <t>N/A</t>
        </is>
      </c>
      <c r="P16" t="inlineStr">
        <is>
          <t>No</t>
        </is>
      </c>
      <c r="Q16" t="inlineStr">
        <is>
          <t>N/A</t>
        </is>
      </c>
      <c r="R16" s="3" t="inlineStr">
        <is>
          <t>https://www.etenders.gov.za/home/Download/?blobName=f90433e8-5eb6-4972-b8e6-9185d8b29629.pdf&amp;downloadedFileName=A034%20OF%202025`26%20FINAL%20DOCUMENT%20ON%20PANEL%20FOR%20WWTP.pdf</t>
        </is>
      </c>
      <c r="S16" t="inlineStr"/>
      <c r="T16" t="inlineStr"/>
      <c r="U16" t="inlineStr"/>
      <c r="V16" t="inlineStr"/>
      <c r="W16" t="inlineStr"/>
    </row>
    <row r="17">
      <c r="A17" s="2" t="n">
        <v>46162</v>
      </c>
      <c r="B17" t="n">
        <v>81</v>
      </c>
      <c r="C17" t="inlineStr">
        <is>
          <t>FORMAL TENDER: TD 01/05/2026</t>
        </is>
      </c>
      <c r="D17" s="2" t="n">
        <v>46156</v>
      </c>
      <c r="E17" s="2" t="n">
        <v>46177</v>
      </c>
      <c r="F17" t="inlineStr">
        <is>
          <t>12:00</t>
        </is>
      </c>
      <c r="G17" t="inlineStr">
        <is>
          <t>Request for Bid(Open-Tender)</t>
        </is>
      </c>
      <c r="H17" t="inlineStr">
        <is>
          <t>FORMAL TENDER: TD 01/05/2026: PANEL OF RADIO STATIONS FOR ADVERTISEMENTS AND MARKETING FOR A CONTRACT PERIOD ENDING 30 JUNE 2029.</t>
        </is>
      </c>
      <c r="I17" t="inlineStr">
        <is>
          <t>ETENDERS.GOV.ZA</t>
        </is>
      </c>
      <c r="J17" t="inlineStr">
        <is>
          <t>Oudtshoorn Municipality</t>
        </is>
      </c>
      <c r="K17" t="inlineStr">
        <is>
          <t>Western Cape</t>
        </is>
      </c>
      <c r="L17" t="inlineStr">
        <is>
          <t>No</t>
        </is>
      </c>
      <c r="M17" t="inlineStr">
        <is>
          <t>Programming and broadcasting activities</t>
        </is>
      </c>
      <c r="N17" t="inlineStr">
        <is>
          <t>No</t>
        </is>
      </c>
      <c r="O17" t="inlineStr">
        <is>
          <t>N/A</t>
        </is>
      </c>
      <c r="P17" t="inlineStr">
        <is>
          <t>No</t>
        </is>
      </c>
      <c r="Q17" t="inlineStr">
        <is>
          <t>N/A</t>
        </is>
      </c>
      <c r="R17" s="3" t="inlineStr">
        <is>
          <t>https://www.etenders.gov.za/home/Download/?blobName=23a0c565-6359-46a6-b1c3-c773500849ed.pdf&amp;downloadedFileName=NOTICE%20NUMBER%2094%20OF%202026%20ADVERT%20TD%2001-05-2026%20(002).pdf</t>
        </is>
      </c>
      <c r="S17" t="inlineStr"/>
      <c r="T17" t="inlineStr"/>
      <c r="U17" t="inlineStr"/>
      <c r="V17" t="inlineStr"/>
      <c r="W17" t="inlineStr"/>
    </row>
    <row r="18">
      <c r="A18" s="2" t="n">
        <v>46162</v>
      </c>
      <c r="B18" t="n">
        <v>80</v>
      </c>
      <c r="C18" t="inlineStr">
        <is>
          <t>iLABS/RFQ 2026/27:24</t>
        </is>
      </c>
      <c r="D18" s="2" t="n">
        <v>46156</v>
      </c>
      <c r="E18" s="2" t="n">
        <v>46168</v>
      </c>
      <c r="F18" t="inlineStr">
        <is>
          <t>11:00</t>
        </is>
      </c>
      <c r="G18" t="inlineStr">
        <is>
          <t>Request for Quotation</t>
        </is>
      </c>
      <c r="H18" t="inlineStr">
        <is>
          <t>Provision of heater stirrers on an as-needed basis to iThemba LABS in Faure, Western Cape, over a period of three (3) years</t>
        </is>
      </c>
      <c r="I18" t="inlineStr">
        <is>
          <t>ETENDERS.GOV.ZA</t>
        </is>
      </c>
      <c r="J18" t="inlineStr">
        <is>
          <t>National Research Foundation</t>
        </is>
      </c>
      <c r="K18" t="inlineStr">
        <is>
          <t>Western Cape</t>
        </is>
      </c>
      <c r="L18" t="inlineStr">
        <is>
          <t>No</t>
        </is>
      </c>
      <c r="M18" t="inlineStr">
        <is>
          <t>Supplies: General</t>
        </is>
      </c>
      <c r="N18" t="inlineStr">
        <is>
          <t>No</t>
        </is>
      </c>
      <c r="O18" t="inlineStr">
        <is>
          <t>N/A</t>
        </is>
      </c>
      <c r="P18" t="inlineStr">
        <is>
          <t>No</t>
        </is>
      </c>
      <c r="Q18" t="inlineStr">
        <is>
          <t>N/A</t>
        </is>
      </c>
      <c r="R18" s="3" t="inlineStr">
        <is>
          <t>https://www.etenders.gov.za/home/Download/?blobName=cf3b4a3d-b73d-4bb9-b353-a9bd910ebeef.pdf&amp;downloadedFileName=RFQ%20for%20Heater%20Stirrers%202026.pdf</t>
        </is>
      </c>
      <c r="S18" t="inlineStr"/>
      <c r="T18" t="inlineStr"/>
      <c r="U18" t="inlineStr"/>
      <c r="V18" t="inlineStr"/>
      <c r="W18" t="inlineStr"/>
    </row>
    <row r="19">
      <c r="A19" s="2" t="n">
        <v>46162</v>
      </c>
      <c r="B19" t="n">
        <v>79</v>
      </c>
      <c r="C19" t="inlineStr">
        <is>
          <t>FORMAL TENDER: TD 02/05/2026</t>
        </is>
      </c>
      <c r="D19" s="2" t="n">
        <v>46156</v>
      </c>
      <c r="E19" s="2" t="n">
        <v>46177</v>
      </c>
      <c r="F19" t="inlineStr">
        <is>
          <t>12:00</t>
        </is>
      </c>
      <c r="G19" t="inlineStr">
        <is>
          <t>Request for Bid(Open-Tender)</t>
        </is>
      </c>
      <c r="H19" t="inlineStr">
        <is>
          <t>FORMAL TENDER: TD 02/05/2026: MEDIA MONITORING AND ANALYSIS FOR A CONTRACT PERIOD ENDING 30 JUNE 2029</t>
        </is>
      </c>
      <c r="I19" t="inlineStr">
        <is>
          <t>ETENDERS.GOV.ZA</t>
        </is>
      </c>
      <c r="J19" t="inlineStr">
        <is>
          <t>Oudtshoorn Municipality</t>
        </is>
      </c>
      <c r="K19" t="inlineStr">
        <is>
          <t>Western Cape</t>
        </is>
      </c>
      <c r="L19" t="inlineStr">
        <is>
          <t>No</t>
        </is>
      </c>
      <c r="M19" t="inlineStr">
        <is>
          <t>Services: Professional</t>
        </is>
      </c>
      <c r="N19" t="inlineStr">
        <is>
          <t>No</t>
        </is>
      </c>
      <c r="O19" t="inlineStr">
        <is>
          <t>N/A</t>
        </is>
      </c>
      <c r="P19" t="inlineStr">
        <is>
          <t>No</t>
        </is>
      </c>
      <c r="Q19" t="inlineStr">
        <is>
          <t>N/A</t>
        </is>
      </c>
      <c r="R19" s="3" t="inlineStr">
        <is>
          <t>https://www.etenders.gov.za/home/Download/?blobName=ac28b47b-5666-458c-ab18-3c0abbc3da0a.pdf&amp;downloadedFileName=NOTICE%20NUMBER%2095%20OF%202026%20ADVERT%20TD%2002-05-2026.pdf</t>
        </is>
      </c>
      <c r="S19" t="inlineStr"/>
      <c r="T19" t="inlineStr"/>
      <c r="U19" t="inlineStr"/>
      <c r="V19" t="inlineStr"/>
      <c r="W19" t="inlineStr"/>
    </row>
    <row r="20">
      <c r="A20" s="2" t="n">
        <v>46162</v>
      </c>
      <c r="B20" t="n">
        <v>78</v>
      </c>
      <c r="C20" t="inlineStr">
        <is>
          <t>FOSRBY-RFP-01-26/27</t>
        </is>
      </c>
      <c r="D20" s="2" t="n">
        <v>46156</v>
      </c>
      <c r="E20" s="2" t="n">
        <v>46196</v>
      </c>
      <c r="F20" t="inlineStr">
        <is>
          <t>12:00</t>
        </is>
      </c>
      <c r="G20" t="inlineStr">
        <is>
          <t>Request for Proposal</t>
        </is>
      </c>
      <c r="H20" t="inlineStr">
        <is>
          <t>FOSRBY-RFP-01-26/27 REQUEST FOR PROPOSAL FOR THE PROVISION OF CLINIC MANAGEMENT SERVICES FOR A PERIOD OF THIRTY-SIX (36) MONTHS</t>
        </is>
      </c>
      <c r="I20" t="inlineStr">
        <is>
          <t>ETENDERS.GOV.ZA</t>
        </is>
      </c>
      <c r="J20" t="inlineStr">
        <is>
          <t>Industrial Development Corporation of South Africa Limited</t>
        </is>
      </c>
      <c r="K20" t="inlineStr">
        <is>
          <t>KwaZulu-Natal</t>
        </is>
      </c>
      <c r="L20" t="inlineStr">
        <is>
          <t>No</t>
        </is>
      </c>
      <c r="M20" t="inlineStr">
        <is>
          <t>Supplies: General</t>
        </is>
      </c>
      <c r="N20" t="inlineStr">
        <is>
          <t>Yes</t>
        </is>
      </c>
      <c r="O20" s="2" t="n">
        <v>46164</v>
      </c>
      <c r="P20" t="inlineStr">
        <is>
          <t>No</t>
        </is>
      </c>
      <c r="Q20" t="inlineStr">
        <is>
          <t>Microsoft Teams</t>
        </is>
      </c>
      <c r="R20" s="3" t="inlineStr">
        <is>
          <t>https://www.etenders.gov.za/home/Download/?blobName=4fcd5d9f-12d5-4cba-a3d0-b6b264d9fb00.zip&amp;downloadedFileName=FOSRBY-RFP-01-26.27%20-%20Clinic%20Management%20Services%20for%20a%20period%20of%2036%20months.zip</t>
        </is>
      </c>
      <c r="S20" t="inlineStr"/>
      <c r="T20" t="inlineStr"/>
      <c r="U20" t="inlineStr"/>
      <c r="V20" t="inlineStr"/>
      <c r="W20" t="inlineStr"/>
    </row>
    <row r="21">
      <c r="A21" s="2" t="n">
        <v>46162</v>
      </c>
      <c r="B21" t="n">
        <v>77</v>
      </c>
      <c r="C21" t="inlineStr">
        <is>
          <t>NRCS 012 2025 2026</t>
        </is>
      </c>
      <c r="D21" s="2" t="n">
        <v>46156</v>
      </c>
      <c r="E21" s="2" t="n">
        <v>46190</v>
      </c>
      <c r="F21" t="inlineStr">
        <is>
          <t>11:00</t>
        </is>
      </c>
      <c r="G21" t="inlineStr">
        <is>
          <t>Request for Bid(Open-Tender)</t>
        </is>
      </c>
      <c r="H21" t="inlineStr">
        <is>
          <t>APPOINTMENT OF A SERVICE PROVIDER TO PROVIDE OFFICE ACCOMODATION AND STORAGE OF PRODUCTS TO THE NRCS IN CAPE TOWN FOR A PERIOD OF NINE YEARS ELEVEN MONTHS</t>
        </is>
      </c>
      <c r="I21" t="inlineStr">
        <is>
          <t>ETENDERS.GOV.ZA</t>
        </is>
      </c>
      <c r="J21" t="inlineStr">
        <is>
          <t>National Regulator for Compulsory Specifications</t>
        </is>
      </c>
      <c r="K21" t="inlineStr">
        <is>
          <t>Western Cape</t>
        </is>
      </c>
      <c r="L21" t="inlineStr">
        <is>
          <t>No</t>
        </is>
      </c>
      <c r="M21" t="inlineStr">
        <is>
          <t>Services: Building</t>
        </is>
      </c>
      <c r="N21" t="inlineStr">
        <is>
          <t>Yes</t>
        </is>
      </c>
      <c r="O21" t="inlineStr">
        <is>
          <t>N/A</t>
        </is>
      </c>
      <c r="P21" t="inlineStr">
        <is>
          <t>Yes</t>
        </is>
      </c>
      <c r="Q21" t="inlineStr">
        <is>
          <t>14 Railway Road,Montague Gardens,Cape Town</t>
        </is>
      </c>
      <c r="R21" s="3" t="inlineStr">
        <is>
          <t>https://www.etenders.gov.za/home/Download/?blobName=b817b18e-a40c-4907-abe1-59f093db377e.docx&amp;downloadedFileName=ADVERTISED%20CAPE%20TOWN%20BID%20DOCUMENT%20FOR%20LEACE%20OFFICE%20SPACE%20NRCS%20012%202025%206.docx</t>
        </is>
      </c>
      <c r="S21" t="inlineStr"/>
      <c r="T21" t="inlineStr"/>
      <c r="U21" t="inlineStr"/>
      <c r="V21" t="inlineStr"/>
      <c r="W21" t="inlineStr"/>
    </row>
    <row r="22">
      <c r="A22" s="2" t="n">
        <v>46162</v>
      </c>
      <c r="B22" t="n">
        <v>76</v>
      </c>
      <c r="C22" t="inlineStr">
        <is>
          <t>25/2025/2026</t>
        </is>
      </c>
      <c r="D22" s="2" t="n">
        <v>46157</v>
      </c>
      <c r="E22" s="2" t="n">
        <v>46191</v>
      </c>
      <c r="F22" t="inlineStr">
        <is>
          <t>11:00</t>
        </is>
      </c>
      <c r="G22" t="inlineStr">
        <is>
          <t>Request for Bid(Open-Tender)</t>
        </is>
      </c>
      <c r="H22" t="inlineStr">
        <is>
          <t>PANEL OF SERVICE PROVIDERS FOR THE PROVISION OF TOWN PLANNING SERVICES FROM 2026-2027 TO 2028-2029 FINANCIAL YEARS (3 YEARS CONTRACT)</t>
        </is>
      </c>
      <c r="I22" t="inlineStr">
        <is>
          <t>ETENDERS.GOV.ZA</t>
        </is>
      </c>
      <c r="J22" t="inlineStr">
        <is>
          <t>Thulamela Local Municipality</t>
        </is>
      </c>
      <c r="K22" t="inlineStr">
        <is>
          <t>Limpopo</t>
        </is>
      </c>
      <c r="L22" t="inlineStr">
        <is>
          <t>No</t>
        </is>
      </c>
      <c r="M22" t="inlineStr">
        <is>
          <t>Administrative and support activities</t>
        </is>
      </c>
      <c r="N22" t="inlineStr">
        <is>
          <t>No</t>
        </is>
      </c>
      <c r="O22" t="inlineStr">
        <is>
          <t>N/A</t>
        </is>
      </c>
      <c r="P22" t="inlineStr">
        <is>
          <t>No</t>
        </is>
      </c>
      <c r="Q22" t="inlineStr">
        <is>
          <t>N/A</t>
        </is>
      </c>
      <c r="R22" s="3" t="inlineStr">
        <is>
          <t>https://www.etenders.gov.za/home/Download/?blobName=595e58fb-5062-4a25-90b0-c35194d9afce.pdf&amp;downloadedFileName=PANEL%20OF%20SERVICE%20PROVIDERS%20FOR%20THE%20PROVISION%20OF%20TOWN%20PLANNING%20SERVICES%20FROM%202026-2027%20TO%202028-2029%20FINANCIAL%20YEARS%20(3%20YEARS%20CONT-05142026122613.pdf</t>
        </is>
      </c>
      <c r="S22" t="inlineStr"/>
      <c r="T22" t="inlineStr"/>
      <c r="U22" t="inlineStr"/>
      <c r="V22" t="inlineStr"/>
      <c r="W22" t="inlineStr"/>
    </row>
    <row r="23">
      <c r="A23" s="2" t="n">
        <v>46162</v>
      </c>
      <c r="B23" t="n">
        <v>75</v>
      </c>
      <c r="C23" t="inlineStr">
        <is>
          <t>PM41-25/26</t>
        </is>
      </c>
      <c r="D23" s="2" t="n">
        <v>46157</v>
      </c>
      <c r="E23" s="2" t="n">
        <v>46192</v>
      </c>
      <c r="F23" t="inlineStr">
        <is>
          <t>10:00</t>
        </is>
      </c>
      <c r="G23" t="inlineStr">
        <is>
          <t>Request for Quotation</t>
        </is>
      </c>
      <c r="H23" t="inlineStr">
        <is>
          <t>APPOINTMENT OF SERVICE PROVIDER TO CONDUCT WATER AND ELECTRICITY METER READINGS SERVICES WITHIN POLOKWANE MUNICIPALITY AREA OF JURISDICTION FOR A PERIOD OF THREE (3) YEARS.</t>
        </is>
      </c>
      <c r="I23" t="inlineStr">
        <is>
          <t>ETENDERS.GOV.ZA</t>
        </is>
      </c>
      <c r="J23" t="inlineStr">
        <is>
          <t>Polokwane Municipality</t>
        </is>
      </c>
      <c r="K23" t="inlineStr">
        <is>
          <t>Limpopo</t>
        </is>
      </c>
      <c r="L23" t="inlineStr">
        <is>
          <t>No</t>
        </is>
      </c>
      <c r="M23" t="inlineStr">
        <is>
          <t>Other service activities</t>
        </is>
      </c>
      <c r="N23" t="inlineStr">
        <is>
          <t>No</t>
        </is>
      </c>
      <c r="O23" t="inlineStr">
        <is>
          <t>N/A</t>
        </is>
      </c>
      <c r="P23" t="inlineStr">
        <is>
          <t>No</t>
        </is>
      </c>
      <c r="Q23" t="inlineStr">
        <is>
          <t>N/A</t>
        </is>
      </c>
      <c r="R23" s="3" t="inlineStr">
        <is>
          <t>https://www.etenders.gov.za/home/Download/?blobName=0b76728d-06f3-4f75-ae47-cac30d1ccbff.pdf&amp;downloadedFileName=PM41-25%20-%2026%20Tender%20document.pdf</t>
        </is>
      </c>
      <c r="S23" t="inlineStr"/>
      <c r="T23" t="inlineStr"/>
      <c r="U23" t="inlineStr"/>
      <c r="V23" t="inlineStr"/>
      <c r="W23" t="inlineStr"/>
    </row>
    <row r="24">
      <c r="A24" s="2" t="n">
        <v>46162</v>
      </c>
      <c r="B24" t="n">
        <v>74</v>
      </c>
      <c r="C24" t="inlineStr">
        <is>
          <t>PM42-25/26</t>
        </is>
      </c>
      <c r="D24" s="2" t="n">
        <v>46157</v>
      </c>
      <c r="E24" s="2" t="n">
        <v>46192</v>
      </c>
      <c r="F24" t="inlineStr">
        <is>
          <t>10:00</t>
        </is>
      </c>
      <c r="G24" t="inlineStr">
        <is>
          <t>Request for Quotation</t>
        </is>
      </c>
      <c r="H24" t="inlineStr">
        <is>
          <t>PROVISION OF REVENUE ENHANCEMENT PROTECTION, ENFORCEMENT OF CREDIT CONTROL AND INDIGENT MANAGEMENT, REPLACEMENT OF METERS FOR A PERION OF THREE (3) YEARS.</t>
        </is>
      </c>
      <c r="I24" t="inlineStr">
        <is>
          <t>ETENDERS.GOV.ZA</t>
        </is>
      </c>
      <c r="J24" t="inlineStr">
        <is>
          <t>Polokwane Municipality</t>
        </is>
      </c>
      <c r="K24" t="inlineStr">
        <is>
          <t>Limpopo</t>
        </is>
      </c>
      <c r="L24" t="inlineStr">
        <is>
          <t>No</t>
        </is>
      </c>
      <c r="M24" t="inlineStr">
        <is>
          <t>Other service activities</t>
        </is>
      </c>
      <c r="N24" t="inlineStr">
        <is>
          <t>No</t>
        </is>
      </c>
      <c r="O24" s="2" t="n">
        <v>46157</v>
      </c>
      <c r="P24" t="inlineStr">
        <is>
          <t>No</t>
        </is>
      </c>
      <c r="Q24" t="inlineStr">
        <is>
          <t>N/A</t>
        </is>
      </c>
      <c r="R24" s="3" t="inlineStr">
        <is>
          <t>https://www.etenders.gov.za/home/Download/?blobName=0801cf64-c076-4fe0-9cda-585eb8f77ba7.pdf&amp;downloadedFileName=PM42-25%20-%2026%20Tender%20document.pdf</t>
        </is>
      </c>
      <c r="S24" t="inlineStr"/>
      <c r="T24" t="inlineStr"/>
      <c r="U24" t="inlineStr"/>
      <c r="V24" t="inlineStr"/>
      <c r="W24" t="inlineStr"/>
    </row>
    <row r="25">
      <c r="A25" s="2" t="n">
        <v>46162</v>
      </c>
      <c r="B25" t="n">
        <v>73</v>
      </c>
      <c r="C25" t="inlineStr">
        <is>
          <t>.PM08- 25/26.</t>
        </is>
      </c>
      <c r="D25" s="2" t="n">
        <v>46157</v>
      </c>
      <c r="E25" s="2" t="n">
        <v>46196</v>
      </c>
      <c r="F25" t="inlineStr">
        <is>
          <t>10:00</t>
        </is>
      </c>
      <c r="G25" t="inlineStr">
        <is>
          <t>Request for Bid(Open-Tender)</t>
        </is>
      </c>
      <c r="H25" t="inlineStr">
        <is>
          <t>APPOINTMENT OF ADDITIONAL PANEL OF TEN (10) CONSULTANTS FOR PROFESSIONAL ELECTRICAL ENGINEERING RELATED SERVICES IN POLOKWANE LOCAL MUNICIPALITY</t>
        </is>
      </c>
      <c r="I25" t="inlineStr">
        <is>
          <t>ETENDERS.GOV.ZA</t>
        </is>
      </c>
      <c r="J25" t="inlineStr">
        <is>
          <t>Polokwane Municipality</t>
        </is>
      </c>
      <c r="K25" t="inlineStr">
        <is>
          <t>Limpopo</t>
        </is>
      </c>
      <c r="L25" t="inlineStr">
        <is>
          <t>No</t>
        </is>
      </c>
      <c r="M25" t="inlineStr">
        <is>
          <t>Activities of head offices; management consultancy activities</t>
        </is>
      </c>
      <c r="N25" t="inlineStr">
        <is>
          <t>No</t>
        </is>
      </c>
      <c r="O25" t="inlineStr">
        <is>
          <t>N/A</t>
        </is>
      </c>
      <c r="P25" t="inlineStr">
        <is>
          <t>No</t>
        </is>
      </c>
      <c r="Q25" t="inlineStr">
        <is>
          <t>N/A</t>
        </is>
      </c>
      <c r="R25" s="3" t="inlineStr">
        <is>
          <t>https://www.etenders.gov.za/home/Download/?blobName=e048f5a7-4ffe-4aa8-9343-3fbf7dc5d8c7.pdf&amp;downloadedFileName=Tender%20document%20-PM08-25%2026%20Additional%20consultants.pdf</t>
        </is>
      </c>
      <c r="S25" t="inlineStr"/>
      <c r="T25" t="inlineStr"/>
      <c r="U25" t="inlineStr"/>
      <c r="V25" t="inlineStr"/>
      <c r="W25" t="inlineStr"/>
    </row>
    <row r="26">
      <c r="A26" s="2" t="n">
        <v>46162</v>
      </c>
      <c r="B26" t="n">
        <v>72</v>
      </c>
      <c r="C26" t="inlineStr">
        <is>
          <t>PF13/2026</t>
        </is>
      </c>
      <c r="D26" s="2" t="n">
        <v>46157</v>
      </c>
      <c r="E26" s="2" t="n">
        <v>46178</v>
      </c>
      <c r="F26" t="inlineStr">
        <is>
          <t>11:00</t>
        </is>
      </c>
      <c r="G26" t="inlineStr">
        <is>
          <t>Request for Bid(Open-Tender)</t>
        </is>
      </c>
      <c r="H26" t="inlineStr">
        <is>
          <t>COLESBURG MAGISTRATE OFFICE: Provisioning of cleaning services for 36 months. (3 050m²)</t>
        </is>
      </c>
      <c r="I26" t="inlineStr">
        <is>
          <t>ETENDERS.GOV.ZA</t>
        </is>
      </c>
      <c r="J26" t="inlineStr">
        <is>
          <t>Public Works</t>
        </is>
      </c>
      <c r="K26" t="inlineStr">
        <is>
          <t>National</t>
        </is>
      </c>
      <c r="L26" t="inlineStr">
        <is>
          <t>No</t>
        </is>
      </c>
      <c r="M26" t="inlineStr">
        <is>
          <t>Services: Functional (Including Cleaning and Security Services)</t>
        </is>
      </c>
      <c r="N26" t="inlineStr">
        <is>
          <t>Yes</t>
        </is>
      </c>
      <c r="O26" s="2" t="n">
        <v>46171</v>
      </c>
      <c r="P26" t="inlineStr">
        <is>
          <t>Yes</t>
        </is>
      </c>
      <c r="Q26" t="inlineStr">
        <is>
          <t>COLESBURG MAGISTRATE OFFICE.</t>
        </is>
      </c>
      <c r="R26" s="3" t="inlineStr">
        <is>
          <t>https://www.etenders.gov.za/home/Download/?blobName=88e76581-10a3-4584-87c7-7527fdf2901c.pdf&amp;downloadedFileName=PF13.2026..pdf</t>
        </is>
      </c>
      <c r="S26" t="inlineStr"/>
      <c r="T26" t="inlineStr"/>
      <c r="U26" t="inlineStr"/>
      <c r="V26" t="inlineStr"/>
      <c r="W26" t="inlineStr"/>
    </row>
    <row r="27">
      <c r="A27" s="2" t="n">
        <v>46162</v>
      </c>
      <c r="B27" t="n">
        <v>71</v>
      </c>
      <c r="C27" t="inlineStr">
        <is>
          <t>.PM04-25/26.</t>
        </is>
      </c>
      <c r="D27" s="2" t="n">
        <v>46157</v>
      </c>
      <c r="E27" s="2" t="n">
        <v>46197</v>
      </c>
      <c r="F27" t="inlineStr">
        <is>
          <t>10:00</t>
        </is>
      </c>
      <c r="G27" t="inlineStr">
        <is>
          <t>Request for Bid(Open-Tender)</t>
        </is>
      </c>
      <c r="H27" t="inlineStr">
        <is>
          <t>APPOINTMENT OF SERVICE PROVIDER TO SUPPLY, REPAIR,INSTALL AND MAINTAIN TWO-WAY RADIO COMMUNICATION SYSTEM AND EQUIPMENT OF POLOKWANE MUNICIPAL EMEREGENCY SERVICES ON AN ADHOC BASIS FOR A PERIOD OF THREE (3) YEARS (RE-ADVERT)</t>
        </is>
      </c>
      <c r="I27" t="inlineStr">
        <is>
          <t>ETENDERS.GOV.ZA</t>
        </is>
      </c>
      <c r="J27" t="inlineStr">
        <is>
          <t>Polokwane Municipality</t>
        </is>
      </c>
      <c r="K27" t="inlineStr">
        <is>
          <t>Limpopo</t>
        </is>
      </c>
      <c r="L27" t="inlineStr">
        <is>
          <t>No</t>
        </is>
      </c>
      <c r="M27" t="inlineStr">
        <is>
          <t>Activities of head offices; management consultancy activities</t>
        </is>
      </c>
      <c r="N27" t="inlineStr">
        <is>
          <t>No</t>
        </is>
      </c>
      <c r="O27" t="inlineStr">
        <is>
          <t>N/A</t>
        </is>
      </c>
      <c r="P27" t="inlineStr">
        <is>
          <t>No</t>
        </is>
      </c>
      <c r="Q27" t="inlineStr">
        <is>
          <t>N/A</t>
        </is>
      </c>
      <c r="R27" s="3" t="inlineStr">
        <is>
          <t>https://www.etenders.gov.za/home/Download/?blobName=c1afca26-2472-4fc5-8fc9-2a43f163a13e.pdf&amp;downloadedFileName=Tender%20document%20%20-PM04%20-%202526%20(Re-Advert).pdf</t>
        </is>
      </c>
      <c r="S27" t="inlineStr"/>
      <c r="T27" t="inlineStr"/>
      <c r="U27" t="inlineStr"/>
      <c r="V27" t="inlineStr"/>
      <c r="W27" t="inlineStr"/>
    </row>
    <row r="28">
      <c r="A28" s="2" t="n">
        <v>46162</v>
      </c>
      <c r="B28" t="n">
        <v>70</v>
      </c>
      <c r="C28" t="inlineStr">
        <is>
          <t>RFT01 2026-2027</t>
        </is>
      </c>
      <c r="D28" s="2" t="n">
        <v>46157</v>
      </c>
      <c r="E28" s="2" t="n">
        <v>46178</v>
      </c>
      <c r="F28" t="inlineStr">
        <is>
          <t>11:00</t>
        </is>
      </c>
      <c r="G28" t="inlineStr">
        <is>
          <t>Request for Bid(Open-Tender)</t>
        </is>
      </c>
      <c r="H28" t="inlineStr">
        <is>
          <t>APPOINTMENT OF A SERVICE PROVIDER TO PROVIDE INTERNAL AUDIT SERVICES FOR A PERIOD OF THREE (3) YEARS</t>
        </is>
      </c>
      <c r="I28" t="inlineStr">
        <is>
          <t>ETENDERS.GOV.ZA</t>
        </is>
      </c>
      <c r="J28" t="inlineStr">
        <is>
          <t>National Film and Video Foundation of South Africa</t>
        </is>
      </c>
      <c r="K28" t="inlineStr">
        <is>
          <t>Gauteng</t>
        </is>
      </c>
      <c r="L28" t="inlineStr">
        <is>
          <t>No</t>
        </is>
      </c>
      <c r="M28" t="inlineStr">
        <is>
          <t>Activities of head offices; management consultancy activities</t>
        </is>
      </c>
      <c r="N28" t="inlineStr">
        <is>
          <t>No</t>
        </is>
      </c>
      <c r="O28" t="inlineStr">
        <is>
          <t>N/A</t>
        </is>
      </c>
      <c r="P28" t="inlineStr">
        <is>
          <t>No</t>
        </is>
      </c>
      <c r="Q28" t="inlineStr">
        <is>
          <t>N/A</t>
        </is>
      </c>
      <c r="R28" s="3" t="inlineStr">
        <is>
          <t>https://www.etenders.gov.za/home/Download/?blobName=41afc0f0-0ee5-4e4a-b0e8-2e5aa9d85c34.pdf&amp;downloadedFileName=RFT01%202026-2027%20INTERNAL%20AUDIT.pdf</t>
        </is>
      </c>
      <c r="S28" t="inlineStr"/>
      <c r="T28" t="inlineStr"/>
      <c r="U28" t="inlineStr"/>
      <c r="V28" t="inlineStr"/>
      <c r="W28" t="inlineStr"/>
    </row>
    <row r="29">
      <c r="A29" s="2" t="n">
        <v>46162</v>
      </c>
      <c r="B29" t="n">
        <v>69</v>
      </c>
      <c r="C29" t="inlineStr">
        <is>
          <t>RFQ029 2026/27</t>
        </is>
      </c>
      <c r="D29" s="2" t="n">
        <v>46157</v>
      </c>
      <c r="E29" s="2" t="n">
        <v>46164</v>
      </c>
      <c r="F29" t="inlineStr">
        <is>
          <t>11:00</t>
        </is>
      </c>
      <c r="G29" t="inlineStr">
        <is>
          <t>Request for Quotation</t>
        </is>
      </c>
      <c r="H29" t="inlineStr">
        <is>
          <t>SUPPLY, DELIVERY, INSTALLATION AND DISMANTLING OF TEMPORARY MARQUEE, CHAIRS AND VIP TOILETS FOR THE ANTI-CORRUPTION AND FRAUD AWARENESS CAMPAIGN AT OSHOEK BORDER POST IN MPUMALANGA</t>
        </is>
      </c>
      <c r="I29" t="inlineStr">
        <is>
          <t>ETENDERS.GOV.ZA</t>
        </is>
      </c>
      <c r="J29" t="inlineStr">
        <is>
          <t>Special Investigation Unit</t>
        </is>
      </c>
      <c r="K29" t="inlineStr">
        <is>
          <t>National</t>
        </is>
      </c>
      <c r="L29" t="inlineStr">
        <is>
          <t>No</t>
        </is>
      </c>
      <c r="M29" t="inlineStr">
        <is>
          <t>Services: General</t>
        </is>
      </c>
      <c r="N29" t="inlineStr">
        <is>
          <t>No</t>
        </is>
      </c>
      <c r="O29" t="inlineStr">
        <is>
          <t>N/A</t>
        </is>
      </c>
      <c r="P29" t="inlineStr">
        <is>
          <t>No</t>
        </is>
      </c>
      <c r="Q29" t="inlineStr">
        <is>
          <t>N/A</t>
        </is>
      </c>
      <c r="R29" s="3" t="inlineStr">
        <is>
          <t>https://www.etenders.gov.za/home/Download/?blobName=0d8dc5c6-4d8a-4276-88c2-29a61fb2b36f.pdf&amp;downloadedFileName=RFQ029%202026_27%20MARQUEE%20CHAIRS%20AND%20VIP%20TOILETS.pdf</t>
        </is>
      </c>
      <c r="S29" t="inlineStr"/>
      <c r="T29" t="inlineStr"/>
      <c r="U29" t="inlineStr"/>
      <c r="V29" t="inlineStr"/>
      <c r="W29" t="inlineStr"/>
    </row>
    <row r="30">
      <c r="A30" s="2" t="n">
        <v>46162</v>
      </c>
      <c r="B30" t="n">
        <v>68</v>
      </c>
      <c r="C30" t="inlineStr">
        <is>
          <t>CSIR RFQ 6704/29/05/2026</t>
        </is>
      </c>
      <c r="D30" s="2" t="n">
        <v>46157</v>
      </c>
      <c r="E30" s="2" t="n">
        <v>46171</v>
      </c>
      <c r="F30" t="inlineStr">
        <is>
          <t>16:30</t>
        </is>
      </c>
      <c r="G30" t="inlineStr">
        <is>
          <t>Request for Quotation</t>
        </is>
      </c>
      <c r="H30" t="inlineStr">
        <is>
          <t>Request for quotation (RFQ) for the supply of medical testing/surveillance services to be provided to the CSIR at regional sites in the Western Cape and Kwa-Zulu Natal for a period of five (5) years</t>
        </is>
      </c>
      <c r="I30" t="inlineStr">
        <is>
          <t>ETENDERS.GOV.ZA</t>
        </is>
      </c>
      <c r="J30" t="inlineStr">
        <is>
          <t>Council for Scientific and Industrial Research (CSIR)</t>
        </is>
      </c>
      <c r="K30" t="inlineStr">
        <is>
          <t>Gauteng</t>
        </is>
      </c>
      <c r="L30" t="inlineStr">
        <is>
          <t>No</t>
        </is>
      </c>
      <c r="M30" t="inlineStr">
        <is>
          <t>Professional, scientific and technical activities</t>
        </is>
      </c>
      <c r="N30" t="inlineStr">
        <is>
          <t>No</t>
        </is>
      </c>
      <c r="O30" t="inlineStr">
        <is>
          <t>N/A</t>
        </is>
      </c>
      <c r="P30" t="inlineStr">
        <is>
          <t>No</t>
        </is>
      </c>
      <c r="Q30" t="inlineStr">
        <is>
          <t>N/A</t>
        </is>
      </c>
      <c r="R30" s="3" t="inlineStr">
        <is>
          <t>https://www.etenders.gov.za/home/Download/?blobName=370cadd7-0272-481f-9b6b-1afba385e694.pdf&amp;downloadedFileName=CSIR%20RFQ%206704-29-05-2026.pdf</t>
        </is>
      </c>
      <c r="S30" t="inlineStr"/>
      <c r="T30" t="inlineStr"/>
      <c r="U30" t="inlineStr"/>
      <c r="V30" t="inlineStr"/>
      <c r="W30" t="inlineStr"/>
    </row>
    <row r="31">
      <c r="A31" s="2" t="n">
        <v>46162</v>
      </c>
      <c r="B31" t="n">
        <v>67</v>
      </c>
      <c r="C31" t="inlineStr">
        <is>
          <t>8/2/RNM0642</t>
        </is>
      </c>
      <c r="D31" s="2" t="n">
        <v>46157</v>
      </c>
      <c r="E31" s="2" t="n">
        <v>46188</v>
      </c>
      <c r="F31" t="inlineStr">
        <is>
          <t>12:00</t>
        </is>
      </c>
      <c r="G31" t="inlineStr">
        <is>
          <t>Request for Bid(Open-Tender)</t>
        </is>
      </c>
      <c r="H31" t="inlineStr">
        <is>
          <t>SUPPLY &amp; DELIVERY OF AGGREGATE PRODUCTS AND MATERIALS WITHIN RAY NKONYENI MUNICIPALITY FOR THREE (03) YEARS (RATES ONLY)</t>
        </is>
      </c>
      <c r="I31" t="inlineStr">
        <is>
          <t>ETENDERS.GOV.ZA</t>
        </is>
      </c>
      <c r="J31" t="inlineStr">
        <is>
          <t>Ray Nkonyeni Local Municipality</t>
        </is>
      </c>
      <c r="K31" t="inlineStr">
        <is>
          <t>KwaZulu-Natal</t>
        </is>
      </c>
      <c r="L31" t="inlineStr">
        <is>
          <t>No</t>
        </is>
      </c>
      <c r="M31" t="inlineStr">
        <is>
          <t>Construction</t>
        </is>
      </c>
      <c r="N31" t="inlineStr">
        <is>
          <t>Yes</t>
        </is>
      </c>
      <c r="O31" s="2" t="n">
        <v>46170</v>
      </c>
      <c r="P31" t="inlineStr">
        <is>
          <t>No</t>
        </is>
      </c>
      <c r="Q31" t="inlineStr">
        <is>
          <t>Non- Compulsory Virtual Tender Briefing</t>
        </is>
      </c>
      <c r="R31" s="3" t="inlineStr">
        <is>
          <t>https://www.etenders.gov.za/home/Download/?blobName=d758a33a-db23-42b2-86ba-0693b89b6e1d.pdf&amp;downloadedFileName=20260514%20-%20Aggregate%20Products%20Tender%20Document%202026.pdf</t>
        </is>
      </c>
      <c r="S31" t="inlineStr"/>
      <c r="T31" t="inlineStr"/>
      <c r="U31" t="inlineStr"/>
      <c r="V31" t="inlineStr"/>
      <c r="W31" t="inlineStr"/>
    </row>
    <row r="32">
      <c r="A32" s="2" t="n">
        <v>46162</v>
      </c>
      <c r="B32" t="n">
        <v>66</v>
      </c>
      <c r="C32" t="inlineStr">
        <is>
          <t>SLM/SCM/65/2025/2026</t>
        </is>
      </c>
      <c r="D32" s="2" t="n">
        <v>46157</v>
      </c>
      <c r="E32" s="2" t="n">
        <v>46178</v>
      </c>
      <c r="F32" t="inlineStr">
        <is>
          <t>12:00</t>
        </is>
      </c>
      <c r="G32" t="inlineStr">
        <is>
          <t>Request for Bid(Open-Tender)</t>
        </is>
      </c>
      <c r="H32" t="inlineStr">
        <is>
          <t>PAVING OF PHOLA PARK INTERNAL STREETS</t>
        </is>
      </c>
      <c r="I32" t="inlineStr">
        <is>
          <t>ETENDERS.GOV.ZA</t>
        </is>
      </c>
      <c r="J32" t="inlineStr">
        <is>
          <t>Sakhisizwe Local Municipality</t>
        </is>
      </c>
      <c r="K32" t="inlineStr">
        <is>
          <t>Eastern Cape</t>
        </is>
      </c>
      <c r="L32" t="inlineStr">
        <is>
          <t>No</t>
        </is>
      </c>
      <c r="M32" t="inlineStr">
        <is>
          <t>Construction</t>
        </is>
      </c>
      <c r="N32" t="inlineStr">
        <is>
          <t>Yes</t>
        </is>
      </c>
      <c r="O32" s="2" t="n">
        <v>46163</v>
      </c>
      <c r="P32" t="inlineStr">
        <is>
          <t>Yes</t>
        </is>
      </c>
      <c r="Q32" t="inlineStr">
        <is>
          <t>ERF 5556 CALA,UMTHATHA ROAD</t>
        </is>
      </c>
      <c r="R32" s="3" t="inlineStr">
        <is>
          <t>https://www.etenders.gov.za/home/Download/?blobName=92ba36e9-479d-483d-b6a3-66b603211ec5.pdf&amp;downloadedFileName=TENDER%20DOCUMENTS%20FOR%20PAVING%20OF%20PHOLA%20PARK%20INTERNAL%20STREETS.pdf</t>
        </is>
      </c>
      <c r="S32" t="inlineStr"/>
      <c r="T32" t="inlineStr"/>
      <c r="U32" t="inlineStr"/>
      <c r="V32" t="inlineStr"/>
      <c r="W32" t="inlineStr"/>
    </row>
    <row r="33">
      <c r="A33" s="2" t="n">
        <v>46162</v>
      </c>
      <c r="B33" t="n">
        <v>65</v>
      </c>
      <c r="C33" t="inlineStr">
        <is>
          <t>UMUZ/06/2026</t>
        </is>
      </c>
      <c r="D33" s="2" t="n">
        <v>46157</v>
      </c>
      <c r="E33" s="2" t="n">
        <v>46191</v>
      </c>
      <c r="F33" t="inlineStr">
        <is>
          <t>12:00</t>
        </is>
      </c>
      <c r="G33" t="inlineStr">
        <is>
          <t>Request for Bid(Open-Tender)</t>
        </is>
      </c>
      <c r="H33" t="inlineStr">
        <is>
          <t>SUPPLY MICROSOFT OFFICE 365 APPS 1FOR 36 MONTHS</t>
        </is>
      </c>
      <c r="I33" t="inlineStr">
        <is>
          <t>ETENDERS.GOV.ZA</t>
        </is>
      </c>
      <c r="J33" t="inlineStr">
        <is>
          <t>Umuziwabantu Local Municipality</t>
        </is>
      </c>
      <c r="K33" t="inlineStr">
        <is>
          <t>KwaZulu-Natal</t>
        </is>
      </c>
      <c r="L33" t="inlineStr">
        <is>
          <t>No</t>
        </is>
      </c>
      <c r="M33" t="inlineStr">
        <is>
          <t>Computer programming, consultancy and related activities</t>
        </is>
      </c>
      <c r="N33" t="inlineStr">
        <is>
          <t>No</t>
        </is>
      </c>
      <c r="O33" t="inlineStr">
        <is>
          <t>N/A</t>
        </is>
      </c>
      <c r="P33" t="inlineStr">
        <is>
          <t>No</t>
        </is>
      </c>
      <c r="Q33" t="inlineStr">
        <is>
          <t>N/A</t>
        </is>
      </c>
      <c r="R33" s="3" t="inlineStr">
        <is>
          <t>https://www.etenders.gov.za/home/Download/?blobName=805fab22-3369-45f9-b320-aab67e05c1d7.pdf&amp;downloadedFileName=MICROSOFT%20OFFICE%20365%20APPS%20FOR%2036%20MONTHS.pdf</t>
        </is>
      </c>
      <c r="S33" t="inlineStr"/>
      <c r="T33" t="inlineStr"/>
      <c r="U33" t="inlineStr"/>
      <c r="V33" t="inlineStr"/>
      <c r="W33" t="inlineStr"/>
    </row>
    <row r="34">
      <c r="A34" s="2" t="n">
        <v>46162</v>
      </c>
      <c r="B34" t="n">
        <v>64</v>
      </c>
      <c r="C34" t="inlineStr">
        <is>
          <t>GKM-Q 117-25/26</t>
        </is>
      </c>
      <c r="D34" s="2" t="n">
        <v>46157</v>
      </c>
      <c r="E34" s="2" t="n">
        <v>46163</v>
      </c>
      <c r="F34" t="inlineStr">
        <is>
          <t>11:00</t>
        </is>
      </c>
      <c r="G34" t="inlineStr">
        <is>
          <t>Request for Quotation</t>
        </is>
      </c>
      <c r="H34" t="inlineStr">
        <is>
          <t>2025/2026 INVESTIGATION OF UNAUTHORISED, IRREGULAR, FRUITLESS AND WASTEFUL EXPENDITURE</t>
        </is>
      </c>
      <c r="I34" t="inlineStr">
        <is>
          <t>ETENDERS.GOV.ZA</t>
        </is>
      </c>
      <c r="J34" t="inlineStr">
        <is>
          <t>Greater Kokstad Local Municipality</t>
        </is>
      </c>
      <c r="K34" t="inlineStr">
        <is>
          <t>KwaZulu-Natal</t>
        </is>
      </c>
      <c r="L34" t="inlineStr">
        <is>
          <t>No</t>
        </is>
      </c>
      <c r="M34" t="inlineStr">
        <is>
          <t>Financial service activities, except insurance and pension funding</t>
        </is>
      </c>
      <c r="N34" t="inlineStr">
        <is>
          <t>No</t>
        </is>
      </c>
      <c r="O34" t="inlineStr">
        <is>
          <t>N/A</t>
        </is>
      </c>
      <c r="P34" t="inlineStr">
        <is>
          <t>No</t>
        </is>
      </c>
      <c r="Q34" t="inlineStr">
        <is>
          <t>N/A</t>
        </is>
      </c>
      <c r="R34" s="3" t="inlineStr">
        <is>
          <t>https://www.etenders.gov.za/home/Download/?blobName=e0e04a85-c945-445f-a288-4c468718245e.pdf&amp;downloadedFileName=INVESTIGATION%20OF%20IRREGULAR,UNAUTHORIZED%20AND%20FRUITLESS%20EXPENDITURE-%20CLOSING%2021%20MAY%202026.pdf</t>
        </is>
      </c>
      <c r="S34" t="inlineStr"/>
      <c r="T34" t="inlineStr"/>
      <c r="U34" t="inlineStr"/>
      <c r="V34" t="inlineStr"/>
      <c r="W34" t="inlineStr"/>
    </row>
    <row r="35">
      <c r="A35" s="2" t="n">
        <v>46162</v>
      </c>
      <c r="B35" t="n">
        <v>63</v>
      </c>
      <c r="C35" t="inlineStr">
        <is>
          <t>E2900CXMWP</t>
        </is>
      </c>
      <c r="D35" s="2" t="n">
        <v>46157</v>
      </c>
      <c r="E35" s="2" t="n">
        <v>46188</v>
      </c>
      <c r="F35" t="inlineStr">
        <is>
          <t>10:00</t>
        </is>
      </c>
      <c r="G35" t="inlineStr">
        <is>
          <t>Request for Bid(Open-Tender)</t>
        </is>
      </c>
      <c r="H35" t="inlineStr">
        <is>
          <t>Procurement of X86 Rack Mount Workstation Hardware (X3) to Support Computational Fluid Dynamics Software for a period of five (5) years.</t>
        </is>
      </c>
      <c r="I35" t="inlineStr">
        <is>
          <t>ETENDERS.GOV.ZA</t>
        </is>
      </c>
      <c r="J35" t="inlineStr">
        <is>
          <t>ESKOM</t>
        </is>
      </c>
      <c r="K35" t="inlineStr">
        <is>
          <t>Gauteng</t>
        </is>
      </c>
      <c r="L35" t="inlineStr">
        <is>
          <t>No</t>
        </is>
      </c>
      <c r="M35" t="inlineStr">
        <is>
          <t>Services: Professional</t>
        </is>
      </c>
      <c r="N35" t="inlineStr">
        <is>
          <t>Yes</t>
        </is>
      </c>
      <c r="O35" t="inlineStr">
        <is>
          <t>N/A</t>
        </is>
      </c>
      <c r="P35" t="inlineStr">
        <is>
          <t>Yes</t>
        </is>
      </c>
      <c r="Q35" t="inlineStr">
        <is>
          <t>Virtual -via Microsoft Teams</t>
        </is>
      </c>
      <c r="R35" s="3" t="inlineStr">
        <is>
          <t>https://www.etenders.gov.za/home/Download/?blobName=419cd9a9-670f-41c6-95e0-5d2b8fdcb13a.xlsx&amp;downloadedFileName=CFD%2026%20Hardware%20Pricing%20Schedule-%20Annexure%20L.xlsx</t>
        </is>
      </c>
      <c r="S35" t="inlineStr"/>
      <c r="T35" t="inlineStr"/>
      <c r="U35" t="inlineStr"/>
      <c r="V35" t="inlineStr"/>
      <c r="W35" t="inlineStr"/>
    </row>
    <row r="36">
      <c r="A36" s="2" t="n">
        <v>46162</v>
      </c>
      <c r="B36" t="n">
        <v>62</v>
      </c>
      <c r="C36" t="inlineStr">
        <is>
          <t>RFQJW55SC26</t>
        </is>
      </c>
      <c r="D36" s="2" t="n">
        <v>46157</v>
      </c>
      <c r="E36" s="2" t="n">
        <v>46164</v>
      </c>
      <c r="F36" t="inlineStr">
        <is>
          <t>16:00</t>
        </is>
      </c>
      <c r="G36" t="inlineStr">
        <is>
          <t>Request for Quotation</t>
        </is>
      </c>
      <c r="H36" t="inlineStr">
        <is>
          <t>RFQJW55SC26 - Conducting of Occupational Hygiene Surveys at various JW sites</t>
        </is>
      </c>
      <c r="I36" t="inlineStr">
        <is>
          <t>ETENDERS.GOV.ZA</t>
        </is>
      </c>
      <c r="J36" t="inlineStr">
        <is>
          <t>Johannesburg Water</t>
        </is>
      </c>
      <c r="K36" t="inlineStr">
        <is>
          <t>Gauteng</t>
        </is>
      </c>
      <c r="L36" t="inlineStr">
        <is>
          <t>No</t>
        </is>
      </c>
      <c r="M36" t="inlineStr">
        <is>
          <t>Other professional, scientific and technical activities</t>
        </is>
      </c>
      <c r="N36" t="inlineStr">
        <is>
          <t>No</t>
        </is>
      </c>
      <c r="O36" t="inlineStr">
        <is>
          <t>N/A</t>
        </is>
      </c>
      <c r="P36" t="inlineStr">
        <is>
          <t>No</t>
        </is>
      </c>
      <c r="Q36" t="inlineStr">
        <is>
          <t>N/A</t>
        </is>
      </c>
      <c r="R36" s="3" t="inlineStr">
        <is>
          <t>https://www.etenders.gov.za/home/Download/?blobName=a7e670e3-c324-43a8-b91a-336ed313ad01.pdf&amp;downloadedFileName=RFQJW55SC26%20-%20Conducting%20of%20Occupational%20Hygiene%20Surveys%20at%20various%20JW%20sites.pdf</t>
        </is>
      </c>
      <c r="S36" t="inlineStr"/>
      <c r="T36" t="inlineStr"/>
      <c r="U36" t="inlineStr"/>
      <c r="V36" t="inlineStr"/>
      <c r="W36" t="inlineStr"/>
    </row>
    <row r="37">
      <c r="A37" s="2" t="n">
        <v>46162</v>
      </c>
      <c r="B37" t="n">
        <v>61</v>
      </c>
      <c r="C37" t="inlineStr">
        <is>
          <t>TNPA/2026/05/0002/114437/RFP</t>
        </is>
      </c>
      <c r="D37" s="2" t="n">
        <v>46157</v>
      </c>
      <c r="E37" s="2" t="n">
        <v>46178</v>
      </c>
      <c r="F37" t="inlineStr">
        <is>
          <t>16:00</t>
        </is>
      </c>
      <c r="G37" t="inlineStr">
        <is>
          <t>Request for Proposal</t>
        </is>
      </c>
      <c r="H37" t="inlineStr">
        <is>
          <t>REQUEST FOR PROPOSAL FOR THE LEASING OF OFFICE BUILDING AND CARPORTS SITUATED AT QUAY 4 IN THE PORT OF MOSSEL BAY FOR THE PERIOD OF FIVE (5) YEARS.</t>
        </is>
      </c>
      <c r="I37" t="inlineStr">
        <is>
          <t>ETENDERS.GOV.ZA</t>
        </is>
      </c>
      <c r="J37" t="inlineStr">
        <is>
          <t>Transnet SOC Ltd</t>
        </is>
      </c>
      <c r="K37" t="inlineStr">
        <is>
          <t>Western Cape</t>
        </is>
      </c>
      <c r="L37" t="inlineStr">
        <is>
          <t>No</t>
        </is>
      </c>
      <c r="M37" t="inlineStr">
        <is>
          <t>Rental and leasing activities</t>
        </is>
      </c>
      <c r="N37" t="inlineStr">
        <is>
          <t>Yes</t>
        </is>
      </c>
      <c r="O37" s="2" t="n">
        <v>46171</v>
      </c>
      <c r="P37" t="inlineStr">
        <is>
          <t>No</t>
        </is>
      </c>
      <c r="Q37" t="inlineStr">
        <is>
          <t>A non-compulsory briefing session will be held via Microsoft Team on 29 MAY 2026 @11h00 to 12h00 Bid</t>
        </is>
      </c>
      <c r="R37" s="3" t="inlineStr">
        <is>
          <t>https://www.etenders.gov.za/home/Download/?blobName=b9985575-85e6-4a75-a227-9a9ca9080f5f.pdf&amp;downloadedFileName=TNPA_2026_05_0002_114437_RFP.pdf</t>
        </is>
      </c>
      <c r="S37" t="inlineStr"/>
      <c r="T37" t="inlineStr"/>
      <c r="U37" t="inlineStr"/>
      <c r="V37" t="inlineStr"/>
      <c r="W37" t="inlineStr"/>
    </row>
    <row r="38">
      <c r="A38" s="2" t="n">
        <v>46162</v>
      </c>
      <c r="B38" t="n">
        <v>60</v>
      </c>
      <c r="C38" t="inlineStr">
        <is>
          <t>IEC/COM-01/2026</t>
        </is>
      </c>
      <c r="D38" s="2" t="n">
        <v>46157</v>
      </c>
      <c r="E38" s="2" t="n">
        <v>46183</v>
      </c>
      <c r="F38" t="inlineStr">
        <is>
          <t>11:00</t>
        </is>
      </c>
      <c r="G38" t="inlineStr">
        <is>
          <t>Request for Bid(Open-Tender)</t>
        </is>
      </c>
      <c r="H38" t="inlineStr">
        <is>
          <t>Branding and Kitting of two (2) outside Broadcast (OB) Trucks</t>
        </is>
      </c>
      <c r="I38" t="inlineStr">
        <is>
          <t>ETENDERS.GOV.ZA</t>
        </is>
      </c>
      <c r="J38" t="inlineStr">
        <is>
          <t>Electoral Commission (IEC)</t>
        </is>
      </c>
      <c r="K38" t="inlineStr">
        <is>
          <t>National</t>
        </is>
      </c>
      <c r="L38" t="inlineStr">
        <is>
          <t>No</t>
        </is>
      </c>
      <c r="M38" t="inlineStr">
        <is>
          <t>Services: General</t>
        </is>
      </c>
      <c r="N38" t="inlineStr">
        <is>
          <t>Yes</t>
        </is>
      </c>
      <c r="O38" s="2" t="n">
        <v>46164</v>
      </c>
      <c r="P38" t="inlineStr">
        <is>
          <t>No</t>
        </is>
      </c>
      <c r="Q38" t="inlineStr">
        <is>
          <t>Riverside Office Park,Election House, 1303 Heuwel Avenue, Centurion</t>
        </is>
      </c>
      <c r="R38" s="3" t="inlineStr">
        <is>
          <t>https://www.etenders.gov.za/home/Download/?blobName=859bf043-d91e-4bac-b59e-d2e63f6ff6ae.pdf&amp;downloadedFileName=Tender%20COM%20%2001%20Branding%20&amp;%20Kitting%20OB%20Trucks.pdf</t>
        </is>
      </c>
      <c r="S38" t="inlineStr"/>
      <c r="T38" t="inlineStr"/>
      <c r="U38" t="inlineStr"/>
      <c r="V38" t="inlineStr"/>
      <c r="W38" t="inlineStr"/>
    </row>
    <row r="39">
      <c r="A39" s="2" t="n">
        <v>46162</v>
      </c>
      <c r="B39" t="n">
        <v>59</v>
      </c>
      <c r="C39" t="inlineStr">
        <is>
          <t>F (R) 07/2026</t>
        </is>
      </c>
      <c r="D39" s="2" t="n">
        <v>46157</v>
      </c>
      <c r="E39" s="2" t="n">
        <v>46190</v>
      </c>
      <c r="F39" t="inlineStr">
        <is>
          <t>11:00</t>
        </is>
      </c>
      <c r="G39" t="inlineStr">
        <is>
          <t>Request for Bid(Open-Tender)</t>
        </is>
      </c>
      <c r="H39" t="inlineStr">
        <is>
          <t>TENDERS ARE HEREBY INVITED FOR THE APPOINTMENT OF A SERVICE PROVIDER TO ASSIST WITH THE IMPLEMENTATION OF AMENDED GRAP 104 REQUIREMENTS FOR A PERIOD OF THREE (3) YEARS.</t>
        </is>
      </c>
      <c r="I39" t="inlineStr">
        <is>
          <t>ETENDERS.GOV.ZA</t>
        </is>
      </c>
      <c r="J39" t="inlineStr">
        <is>
          <t>Mogale City Local Municipality</t>
        </is>
      </c>
      <c r="K39" t="inlineStr">
        <is>
          <t>Gauteng</t>
        </is>
      </c>
      <c r="L39" t="inlineStr">
        <is>
          <t>No</t>
        </is>
      </c>
      <c r="M39" t="inlineStr">
        <is>
          <t>Financial service activities, except insurance and pension funding</t>
        </is>
      </c>
      <c r="N39" t="inlineStr">
        <is>
          <t>Yes</t>
        </is>
      </c>
      <c r="O39" s="2" t="n">
        <v>46171</v>
      </c>
      <c r="P39" t="inlineStr">
        <is>
          <t>Yes</t>
        </is>
      </c>
      <c r="Q39" t="inlineStr">
        <is>
          <t>Mayoral Parlour, Civic Centre, Corner Commissioner and Market Street, Krugersdorp, 1740</t>
        </is>
      </c>
      <c r="R39" s="3" t="inlineStr">
        <is>
          <t>https://www.etenders.gov.za/home/Download/?blobName=2f51852e-0f85-4b9b-92f9-587bfc66735e.pdf&amp;downloadedFileName=F%20(R)%2007-2026.pdf</t>
        </is>
      </c>
      <c r="S39" t="inlineStr"/>
      <c r="T39" t="inlineStr"/>
      <c r="U39" t="inlineStr"/>
      <c r="V39" t="inlineStr"/>
      <c r="W39" t="inlineStr"/>
    </row>
    <row r="40">
      <c r="A40" s="2" t="n">
        <v>46162</v>
      </c>
      <c r="B40" t="n">
        <v>58</v>
      </c>
      <c r="C40" t="inlineStr">
        <is>
          <t>SCM15052026</t>
        </is>
      </c>
      <c r="D40" s="2" t="n">
        <v>46157</v>
      </c>
      <c r="E40" s="2" t="n">
        <v>46174</v>
      </c>
      <c r="F40" t="inlineStr">
        <is>
          <t>11:00</t>
        </is>
      </c>
      <c r="G40" t="inlineStr">
        <is>
          <t>Request for Quotation</t>
        </is>
      </c>
      <c r="H40" t="inlineStr">
        <is>
          <t>Provide a 24-hour monitoring of the fire alarms located at our Fish Hoek, Khayelitsha and Westlake campuses including bi-annual servicing and ad hoc maintenance for a period of 3 years</t>
        </is>
      </c>
      <c r="I40" t="inlineStr">
        <is>
          <t>ETENDERS.GOV.ZA</t>
        </is>
      </c>
      <c r="J40" t="inlineStr">
        <is>
          <t>False Bay TVET College</t>
        </is>
      </c>
      <c r="K40" t="inlineStr">
        <is>
          <t>Western Cape</t>
        </is>
      </c>
      <c r="L40" t="inlineStr">
        <is>
          <t>No</t>
        </is>
      </c>
      <c r="M40" t="inlineStr">
        <is>
          <t>Services: Building</t>
        </is>
      </c>
      <c r="N40" t="inlineStr">
        <is>
          <t>No</t>
        </is>
      </c>
      <c r="O40" t="inlineStr">
        <is>
          <t>N/A</t>
        </is>
      </c>
      <c r="P40" t="inlineStr">
        <is>
          <t>No</t>
        </is>
      </c>
      <c r="Q40" t="inlineStr">
        <is>
          <t>N/A</t>
        </is>
      </c>
      <c r="R40" s="3" t="inlineStr">
        <is>
          <t>https://www.etenders.gov.za/home/Download/?blobName=60318823-3d7a-4690-b3bb-f229d259aab1.pdf&amp;downloadedFileName=SCM15052026%20-%20Advert.pdf</t>
        </is>
      </c>
      <c r="S40" t="inlineStr"/>
      <c r="T40" t="inlineStr"/>
      <c r="U40" t="inlineStr"/>
      <c r="V40" t="inlineStr"/>
      <c r="W40" t="inlineStr"/>
    </row>
    <row r="41">
      <c r="A41" s="2" t="n">
        <v>46162</v>
      </c>
      <c r="B41" t="n">
        <v>57</v>
      </c>
      <c r="C41" t="inlineStr">
        <is>
          <t>E2915GXMPMAJ</t>
        </is>
      </c>
      <c r="D41" s="2" t="n">
        <v>46157</v>
      </c>
      <c r="E41" s="2" t="n">
        <v>46175</v>
      </c>
      <c r="F41" t="inlineStr">
        <is>
          <t>10:00</t>
        </is>
      </c>
      <c r="G41" t="inlineStr">
        <is>
          <t>Request for Quotation</t>
        </is>
      </c>
      <c r="H41" t="inlineStr">
        <is>
          <t>FFP Cage Refurbishment Re-bag 7 at Majuba Power Station for a period of two (2) years</t>
        </is>
      </c>
      <c r="I41" t="inlineStr">
        <is>
          <t>ETENDERS.GOV.ZA</t>
        </is>
      </c>
      <c r="J41" t="inlineStr">
        <is>
          <t>ESKOM</t>
        </is>
      </c>
      <c r="K41" t="inlineStr">
        <is>
          <t>Mpumalanga</t>
        </is>
      </c>
      <c r="L41" t="inlineStr">
        <is>
          <t>No</t>
        </is>
      </c>
      <c r="M41" t="inlineStr">
        <is>
          <t>Other service activities</t>
        </is>
      </c>
      <c r="N41" t="inlineStr">
        <is>
          <t>Yes</t>
        </is>
      </c>
      <c r="O41" s="2" t="n">
        <v>46168</v>
      </c>
      <c r="P41" t="inlineStr">
        <is>
          <t>Yes</t>
        </is>
      </c>
      <c r="Q41" t="inlineStr">
        <is>
          <t>Project Boadroom, Majuba Power Sation</t>
        </is>
      </c>
      <c r="R41" s="3" t="inlineStr">
        <is>
          <t>https://www.etenders.gov.za/home/Download/?blobName=6f79b615-cdd5-4322-b95d-fffd5b05d471.pdf&amp;downloadedFileName=240-12248652_List%20of%20Tender%20Returnables_Cat%203_%20Rev%207%20-%20Copy%20(2).pdf</t>
        </is>
      </c>
      <c r="S41" t="inlineStr"/>
      <c r="T41" t="inlineStr"/>
      <c r="U41" t="inlineStr"/>
      <c r="V41" t="inlineStr"/>
      <c r="W41" t="inlineStr"/>
    </row>
    <row r="42">
      <c r="A42" s="2" t="n">
        <v>46162</v>
      </c>
      <c r="B42" t="n">
        <v>56</v>
      </c>
      <c r="C42" t="inlineStr">
        <is>
          <t>E2921DXMPOU</t>
        </is>
      </c>
      <c r="D42" s="2" t="n">
        <v>46157</v>
      </c>
      <c r="E42" s="2" t="n">
        <v>46183</v>
      </c>
      <c r="F42" t="inlineStr">
        <is>
          <t>10:00</t>
        </is>
      </c>
      <c r="G42" t="inlineStr">
        <is>
          <t>Request for Bid(Open-Tender)</t>
        </is>
      </c>
      <c r="H42" t="inlineStr">
        <is>
          <t>PROVISION OF CADASTRAL SURVEY SERVICES IN LIMLANGA CLUSTER ON AN “AS AND WHEN REQUIRED BASIS” FOR A PERIOD OF FIVE (05) YEARS.</t>
        </is>
      </c>
      <c r="I42" t="inlineStr">
        <is>
          <t>ETENDERS.GOV.ZA</t>
        </is>
      </c>
      <c r="J42" t="inlineStr">
        <is>
          <t>ESKOM</t>
        </is>
      </c>
      <c r="K42" t="inlineStr">
        <is>
          <t>Mpumalanga</t>
        </is>
      </c>
      <c r="L42" t="inlineStr">
        <is>
          <t>No</t>
        </is>
      </c>
      <c r="M42" t="inlineStr">
        <is>
          <t>Services: Professional</t>
        </is>
      </c>
      <c r="N42" t="inlineStr">
        <is>
          <t>Yes</t>
        </is>
      </c>
      <c r="O42" s="2" t="n">
        <v>46170</v>
      </c>
      <c r="P42" t="inlineStr">
        <is>
          <t>No</t>
        </is>
      </c>
      <c r="Q42" t="inlineStr">
        <is>
          <t>Ms-Teams</t>
        </is>
      </c>
      <c r="R42" s="3" t="inlineStr">
        <is>
          <t>https://www.etenders.gov.za/home/Download/?blobName=0a76b716-91d1-4684-ba63-0ab17547b235.zip&amp;downloadedFileName=Tax%20Questionnaires.zip</t>
        </is>
      </c>
      <c r="S42" t="inlineStr"/>
      <c r="T42" t="inlineStr"/>
      <c r="U42" t="inlineStr"/>
      <c r="V42" t="inlineStr"/>
      <c r="W42" t="inlineStr"/>
    </row>
    <row r="43">
      <c r="A43" s="2" t="n">
        <v>46162</v>
      </c>
      <c r="B43" t="n">
        <v>55</v>
      </c>
      <c r="C43" t="inlineStr">
        <is>
          <t>E2825GXMPKUS</t>
        </is>
      </c>
      <c r="D43" s="2" t="n">
        <v>46157</v>
      </c>
      <c r="E43" s="2" t="n">
        <v>46174</v>
      </c>
      <c r="F43" t="inlineStr">
        <is>
          <t>10:00</t>
        </is>
      </c>
      <c r="G43" t="inlineStr">
        <is>
          <t>Request for Bid(Open-Tender)</t>
        </is>
      </c>
      <c r="H43" t="inlineStr">
        <is>
          <t>Supply &amp; Delivery of C&amp;I Spares, Once-off.</t>
        </is>
      </c>
      <c r="I43" t="inlineStr">
        <is>
          <t>ETENDERS.GOV.ZA</t>
        </is>
      </c>
      <c r="J43" t="inlineStr">
        <is>
          <t>ESKOM</t>
        </is>
      </c>
      <c r="K43" t="inlineStr">
        <is>
          <t>Mpumalanga</t>
        </is>
      </c>
      <c r="L43" t="inlineStr">
        <is>
          <t>No</t>
        </is>
      </c>
      <c r="M43" t="inlineStr">
        <is>
          <t>Supplies: General</t>
        </is>
      </c>
      <c r="N43" t="inlineStr">
        <is>
          <t>No</t>
        </is>
      </c>
      <c r="O43" t="inlineStr">
        <is>
          <t>N/A</t>
        </is>
      </c>
      <c r="P43" t="inlineStr">
        <is>
          <t>No</t>
        </is>
      </c>
      <c r="Q43" t="inlineStr">
        <is>
          <t>N/A</t>
        </is>
      </c>
      <c r="R43" s="3" t="inlineStr">
        <is>
          <t>https://www.etenders.gov.za/home/Download/?blobName=47121dea-8eea-4fb8-86a0-fbe65de3fc22.pdf&amp;downloadedFileName=Standard_Bidding_Document_(SBD)_6.2_Template_-_Local_production_and_content_for_designated_sectors_(03_February_2023).pdf</t>
        </is>
      </c>
      <c r="S43" t="inlineStr"/>
      <c r="T43" t="inlineStr"/>
      <c r="U43" t="inlineStr"/>
      <c r="V43" t="inlineStr"/>
      <c r="W43" t="inlineStr"/>
    </row>
    <row r="44">
      <c r="A44" s="2" t="n">
        <v>46162</v>
      </c>
      <c r="B44" t="n">
        <v>54</v>
      </c>
      <c r="C44" t="inlineStr">
        <is>
          <t>E2920GXLPMAT</t>
        </is>
      </c>
      <c r="D44" s="2" t="n">
        <v>46157</v>
      </c>
      <c r="E44" s="2" t="n">
        <v>46177</v>
      </c>
      <c r="F44" t="inlineStr">
        <is>
          <t>10:00</t>
        </is>
      </c>
      <c r="G44" t="inlineStr">
        <is>
          <t>Request for Quotation</t>
        </is>
      </c>
      <c r="H44" t="inlineStr">
        <is>
          <t>Provision of housing maintenance services for Matimba Power Station over a period of 3 months</t>
        </is>
      </c>
      <c r="I44" t="inlineStr">
        <is>
          <t>ETENDERS.GOV.ZA</t>
        </is>
      </c>
      <c r="J44" t="inlineStr">
        <is>
          <t>ESKOM</t>
        </is>
      </c>
      <c r="K44" t="inlineStr">
        <is>
          <t>Limpopo</t>
        </is>
      </c>
      <c r="L44" t="inlineStr">
        <is>
          <t>No</t>
        </is>
      </c>
      <c r="M44" t="inlineStr">
        <is>
          <t>Services: General</t>
        </is>
      </c>
      <c r="N44" t="inlineStr">
        <is>
          <t>No</t>
        </is>
      </c>
      <c r="O44" t="inlineStr">
        <is>
          <t>N/A</t>
        </is>
      </c>
      <c r="P44" t="inlineStr">
        <is>
          <t>No</t>
        </is>
      </c>
      <c r="Q44" t="inlineStr">
        <is>
          <t>N/A</t>
        </is>
      </c>
      <c r="R44" s="3" t="inlineStr">
        <is>
          <t>https://www.etenders.gov.za/home/Download/?blobName=70f24a6e-3f56-4b45-87d7-5c5e7c67f8e4.pdf&amp;downloadedFileName=RFQ_Returnables.pdf</t>
        </is>
      </c>
      <c r="S44" t="inlineStr"/>
      <c r="T44" t="inlineStr"/>
      <c r="U44" t="inlineStr"/>
      <c r="V44" t="inlineStr"/>
      <c r="W44" t="inlineStr"/>
    </row>
    <row r="45">
      <c r="A45" s="2" t="n">
        <v>46162</v>
      </c>
      <c r="B45" t="n">
        <v>53</v>
      </c>
      <c r="C45" t="inlineStr">
        <is>
          <t>E2917NTCSAMWP</t>
        </is>
      </c>
      <c r="D45" s="2" t="n">
        <v>46157</v>
      </c>
      <c r="E45" s="2" t="n">
        <v>46183</v>
      </c>
      <c r="F45" t="inlineStr">
        <is>
          <t>10:00</t>
        </is>
      </c>
      <c r="G45" t="inlineStr">
        <is>
          <t>Request for Proposal</t>
        </is>
      </c>
      <c r="H45" t="inlineStr">
        <is>
          <t>THE PROVISION OF SECURITY SYSTEMS AND SERVICES FOR SIMMERPAN, TOWER TESTING STATION, AND DUVHA SOC SITES FOR A PERIOD OF SIXTY (60) MONTHS.</t>
        </is>
      </c>
      <c r="I45" t="inlineStr">
        <is>
          <t>ETENDERS.GOV.ZA</t>
        </is>
      </c>
      <c r="J45" t="inlineStr">
        <is>
          <t>ESKOM</t>
        </is>
      </c>
      <c r="K45" t="inlineStr">
        <is>
          <t>Gauteng</t>
        </is>
      </c>
      <c r="L45" t="inlineStr">
        <is>
          <t>No</t>
        </is>
      </c>
      <c r="M45" t="inlineStr">
        <is>
          <t>Security and investigation activities</t>
        </is>
      </c>
      <c r="N45" t="inlineStr">
        <is>
          <t>Yes</t>
        </is>
      </c>
      <c r="O45" s="2" t="n">
        <v>46164</v>
      </c>
      <c r="P45" t="inlineStr">
        <is>
          <t>No</t>
        </is>
      </c>
      <c r="Q45" t="inlineStr">
        <is>
          <t>MS Teams and site visit at Simmerpan, Tower Testing Station and Duvha SOC (refer to RFP for dates)</t>
        </is>
      </c>
      <c r="R45" s="3" t="inlineStr">
        <is>
          <t>https://www.etenders.gov.za/home/Download/?blobName=0f0a7989-6202-403b-bc5a-fc5ca3ba8175.pdf&amp;downloadedFileName=20260416_Security%20Services_Tender%20Returnables_Cat%202_%20Rev%207.pdf</t>
        </is>
      </c>
      <c r="S45" t="inlineStr"/>
      <c r="T45" t="inlineStr"/>
      <c r="U45" t="inlineStr"/>
      <c r="V45" t="inlineStr"/>
      <c r="W45" t="inlineStr"/>
    </row>
    <row r="46">
      <c r="A46" s="2" t="n">
        <v>46162</v>
      </c>
      <c r="B46" t="n">
        <v>52</v>
      </c>
      <c r="C46" t="inlineStr">
        <is>
          <t>E2795NTCSAMWP</t>
        </is>
      </c>
      <c r="D46" s="2" t="n">
        <v>46157</v>
      </c>
      <c r="E46" s="2" t="n">
        <v>46181</v>
      </c>
      <c r="F46" t="inlineStr">
        <is>
          <t>10:00</t>
        </is>
      </c>
      <c r="G46" t="inlineStr">
        <is>
          <t>Request for Bid(Open-Tender)</t>
        </is>
      </c>
      <c r="H46" t="inlineStr">
        <is>
          <t>THE PROVISION OF CONSULTANCY SERVICES TO CONDUCT A COMPREHENSIVE STUDY INCLUDING ASSESSMENTS, MODELLING AND RECOMMENDATION FOR GRID FORMING TECHNOLOGY.</t>
        </is>
      </c>
      <c r="I46" t="inlineStr">
        <is>
          <t>ETENDERS.GOV.ZA</t>
        </is>
      </c>
      <c r="J46" t="inlineStr">
        <is>
          <t>ESKOM</t>
        </is>
      </c>
      <c r="K46" t="inlineStr">
        <is>
          <t>Gauteng</t>
        </is>
      </c>
      <c r="L46" t="inlineStr">
        <is>
          <t>No</t>
        </is>
      </c>
      <c r="M46" t="inlineStr">
        <is>
          <t>Scientific research and development</t>
        </is>
      </c>
      <c r="N46" t="inlineStr">
        <is>
          <t>Yes</t>
        </is>
      </c>
      <c r="O46" s="2" t="n">
        <v>46164</v>
      </c>
      <c r="P46" t="inlineStr">
        <is>
          <t>No</t>
        </is>
      </c>
      <c r="Q46" t="inlineStr">
        <is>
          <t>MS Teams, link attached on a word document and Invitation to tender document in the tender advert</t>
        </is>
      </c>
      <c r="R46" s="3" t="inlineStr">
        <is>
          <t>https://www.etenders.gov.za/home/Download/?blobName=086f6efe-30c9-400a-afb1-91805168ca69.pdf&amp;downloadedFileName=Eskom_-_Standard_Conditions_of_Tender_-_30_January_2025.pdf</t>
        </is>
      </c>
      <c r="S46" t="inlineStr"/>
      <c r="T46" t="inlineStr"/>
      <c r="U46" t="inlineStr"/>
      <c r="V46" t="inlineStr"/>
      <c r="W46" t="inlineStr"/>
    </row>
    <row r="47">
      <c r="A47" s="2" t="n">
        <v>46162</v>
      </c>
      <c r="B47" t="n">
        <v>51</v>
      </c>
      <c r="C47" t="inlineStr">
        <is>
          <t>E2918CXMWP</t>
        </is>
      </c>
      <c r="D47" s="2" t="n">
        <v>46157</v>
      </c>
      <c r="E47" s="2" t="n">
        <v>46183</v>
      </c>
      <c r="F47" t="inlineStr">
        <is>
          <t>10:00</t>
        </is>
      </c>
      <c r="G47" t="inlineStr">
        <is>
          <t>Request for Bid(Open-Tender)</t>
        </is>
      </c>
      <c r="H47" t="inlineStr">
        <is>
          <t>Provision of E-Learning Content Development Software subscription licenses for a period of five (5) years</t>
        </is>
      </c>
      <c r="I47" t="inlineStr">
        <is>
          <t>ETENDERS.GOV.ZA</t>
        </is>
      </c>
      <c r="J47" t="inlineStr">
        <is>
          <t>ESKOM</t>
        </is>
      </c>
      <c r="K47" t="inlineStr">
        <is>
          <t>Gauteng</t>
        </is>
      </c>
      <c r="L47" t="inlineStr">
        <is>
          <t>No</t>
        </is>
      </c>
      <c r="M47" t="inlineStr">
        <is>
          <t>Information and communication</t>
        </is>
      </c>
      <c r="N47" t="inlineStr">
        <is>
          <t>Yes</t>
        </is>
      </c>
      <c r="O47" s="2" t="n">
        <v>46170</v>
      </c>
      <c r="P47" t="inlineStr">
        <is>
          <t>No</t>
        </is>
      </c>
      <c r="Q47" t="inlineStr">
        <is>
          <t>https://teams.microsoft.com/meet/354360268633915?p=RQ9adVwqXrp853gVoD</t>
        </is>
      </c>
      <c r="R47" s="3" t="inlineStr">
        <is>
          <t>https://www.etenders.gov.za/home/Download/?blobName=5dedae11-105d-4938-84ab-a8a98d0639fb.pdf&amp;downloadedFileName=Invitation%20to%20Tender%20signed.pdf</t>
        </is>
      </c>
      <c r="S47" t="inlineStr"/>
      <c r="T47" t="inlineStr"/>
      <c r="U47" t="inlineStr"/>
      <c r="V47" t="inlineStr"/>
      <c r="W47" t="inlineStr"/>
    </row>
    <row r="48">
      <c r="A48" s="2" t="n">
        <v>46162</v>
      </c>
      <c r="B48" t="n">
        <v>50</v>
      </c>
      <c r="C48" t="inlineStr">
        <is>
          <t>SCMU8-26/27-0054</t>
        </is>
      </c>
      <c r="D48" s="2" t="n">
        <v>46157</v>
      </c>
      <c r="E48" s="2" t="n">
        <v>46181</v>
      </c>
      <c r="F48" t="inlineStr">
        <is>
          <t>11:00</t>
        </is>
      </c>
      <c r="G48" t="inlineStr">
        <is>
          <t>Request for Bid(Open-Tender)</t>
        </is>
      </c>
      <c r="H48" t="inlineStr">
        <is>
          <t>SUPPLY AND DELIVERY OF FENCING MATERIAL AND EQUIPMENT FOR LANDCARE PROJECT (21.098 KM) AT BLUEGUMS IN SENQU LOCAL MUNICIPALITY OF THE JOE GQABI DISTRICT</t>
        </is>
      </c>
      <c r="I48" t="inlineStr">
        <is>
          <t>ETENDERS.GOV.ZA</t>
        </is>
      </c>
      <c r="J48" t="inlineStr">
        <is>
          <t>Eastern Cape - Agriculture</t>
        </is>
      </c>
      <c r="K48" t="inlineStr">
        <is>
          <t>Eastern Cape</t>
        </is>
      </c>
      <c r="L48" t="inlineStr">
        <is>
          <t>No</t>
        </is>
      </c>
      <c r="M48" t="inlineStr">
        <is>
          <t>Services: General</t>
        </is>
      </c>
      <c r="N48" t="inlineStr">
        <is>
          <t>No</t>
        </is>
      </c>
      <c r="O48" t="inlineStr">
        <is>
          <t>N/A</t>
        </is>
      </c>
      <c r="P48" t="inlineStr">
        <is>
          <t>No</t>
        </is>
      </c>
      <c r="Q48" t="inlineStr">
        <is>
          <t>N/A</t>
        </is>
      </c>
      <c r="R48" s="3" t="inlineStr">
        <is>
          <t>https://www.etenders.gov.za/home/Download/?blobName=edbdeb90-14b0-429a-ad44-6d2c8a9c854f.pdf&amp;downloadedFileName=SCMU8-26%2027-0054%20BLUEGUMS%20LANDCARE%20PROJECT%20S&amp;D%20Tender%20Document.pdf</t>
        </is>
      </c>
      <c r="S48" t="inlineStr"/>
      <c r="T48" t="inlineStr"/>
      <c r="U48" t="inlineStr"/>
      <c r="V48" t="inlineStr"/>
      <c r="W48" t="inlineStr"/>
    </row>
    <row r="49">
      <c r="A49" s="2" t="n">
        <v>46162</v>
      </c>
      <c r="B49" t="n">
        <v>49</v>
      </c>
      <c r="C49" t="inlineStr">
        <is>
          <t>ZNQ004-2026/2027HG</t>
        </is>
      </c>
      <c r="D49" s="2" t="n">
        <v>46157</v>
      </c>
      <c r="E49" s="2" t="n">
        <v>46164</v>
      </c>
      <c r="F49" t="inlineStr">
        <is>
          <t>11:00</t>
        </is>
      </c>
      <c r="G49" t="inlineStr">
        <is>
          <t>Request for Bid(Open-Tender)</t>
        </is>
      </c>
      <c r="H49" t="inlineStr">
        <is>
          <t>APPOINTMENT OF A SUITABLE SERVICE PROVIDER TO RENDER THE SECURITY SERVICES FOR A PERIOD OF TEN (10) MONTHS AT HARRY GWALA DISTRICT OFFICE, NO.2 MARGARET STREET, IXOPO</t>
        </is>
      </c>
      <c r="I49" t="inlineStr">
        <is>
          <t>ETENDERS.GOV.ZA</t>
        </is>
      </c>
      <c r="J49" t="inlineStr">
        <is>
          <t>Kwazulu Natal - Public Works (Head Office)</t>
        </is>
      </c>
      <c r="K49" t="inlineStr">
        <is>
          <t>KwaZulu-Natal</t>
        </is>
      </c>
      <c r="L49" t="inlineStr">
        <is>
          <t>No</t>
        </is>
      </c>
      <c r="M49" t="inlineStr">
        <is>
          <t>Services: General</t>
        </is>
      </c>
      <c r="N49" t="inlineStr">
        <is>
          <t>No</t>
        </is>
      </c>
      <c r="O49" t="inlineStr">
        <is>
          <t>N/A</t>
        </is>
      </c>
      <c r="P49" t="inlineStr">
        <is>
          <t>No</t>
        </is>
      </c>
      <c r="Q49" t="inlineStr">
        <is>
          <t>N/A</t>
        </is>
      </c>
      <c r="R49" s="3" t="inlineStr">
        <is>
          <t>https://www.etenders.gov.za/home/Download/?blobName=bc466d27-4895-45d9-8f6a-dd69e1149618.docx&amp;downloadedFileName=SECURITY%20SERVICES%202026%20(1).docx</t>
        </is>
      </c>
      <c r="S49" t="inlineStr"/>
      <c r="T49" t="inlineStr"/>
      <c r="U49" t="inlineStr"/>
      <c r="V49" t="inlineStr"/>
      <c r="W49" t="inlineStr"/>
    </row>
    <row r="50">
      <c r="A50" s="2" t="n">
        <v>46162</v>
      </c>
      <c r="B50" t="n">
        <v>48</v>
      </c>
      <c r="C50" t="inlineStr">
        <is>
          <t>LNW 09/25/26</t>
        </is>
      </c>
      <c r="D50" s="2" t="n">
        <v>46157</v>
      </c>
      <c r="E50" s="2" t="n">
        <v>46183</v>
      </c>
      <c r="F50" t="inlineStr">
        <is>
          <t>11:00</t>
        </is>
      </c>
      <c r="G50" t="inlineStr">
        <is>
          <t>Request for Bid(Open-Tender)</t>
        </is>
      </c>
      <c r="H50" t="inlineStr">
        <is>
          <t>APPOINTMENT OF A PANEL OF FIVE (5) SERVICE PROVIDERS FOR THE SERVICE, MAINTENANCE, REFURBISHMENT, SUPPLY, DELIVERY, INSTALLATION AND COMMISSIONING OF VALVES FOR THREE (3) YEARS (36 Months) ON AN AD HOC AS WHEN REQUIRED.</t>
        </is>
      </c>
      <c r="I50" t="inlineStr">
        <is>
          <t>ETENDERS.GOV.ZA</t>
        </is>
      </c>
      <c r="J50" t="inlineStr">
        <is>
          <t>Lepelle Northern Water</t>
        </is>
      </c>
      <c r="K50" t="inlineStr">
        <is>
          <t>Limpopo</t>
        </is>
      </c>
      <c r="L50" t="inlineStr">
        <is>
          <t>No</t>
        </is>
      </c>
      <c r="M50" t="inlineStr">
        <is>
          <t>Civil engineering</t>
        </is>
      </c>
      <c r="N50" t="inlineStr">
        <is>
          <t>No</t>
        </is>
      </c>
      <c r="O50" t="inlineStr">
        <is>
          <t>N/A</t>
        </is>
      </c>
      <c r="P50" t="inlineStr">
        <is>
          <t>No</t>
        </is>
      </c>
      <c r="Q50" t="inlineStr">
        <is>
          <t>N/A</t>
        </is>
      </c>
      <c r="R50" s="3" t="inlineStr">
        <is>
          <t>https://www.etenders.gov.za/home/Download/?blobName=32bbab3a-6021-4fbf-a705-f92c69fd63ea.pdf&amp;downloadedFileName=PANEL%20OF%20SERVICE%20PROVIDER%20FOR%20SERVICE%20REFURBISHEMENT%20SUPPLY%20COMMISSIONING%20OF%20VALVES%20FOR%203%20YEARS.pdf</t>
        </is>
      </c>
      <c r="S50" t="inlineStr"/>
      <c r="T50" t="inlineStr"/>
      <c r="U50" t="inlineStr"/>
      <c r="V50" t="inlineStr"/>
      <c r="W50" t="inlineStr"/>
    </row>
    <row r="51">
      <c r="A51" s="2" t="n">
        <v>46162</v>
      </c>
      <c r="B51" t="n">
        <v>47</v>
      </c>
      <c r="C51" t="inlineStr">
        <is>
          <t>PM38-25/26</t>
        </is>
      </c>
      <c r="D51" s="2" t="n">
        <v>46157</v>
      </c>
      <c r="E51" s="2" t="n">
        <v>46191</v>
      </c>
      <c r="F51" t="inlineStr">
        <is>
          <t>10:00</t>
        </is>
      </c>
      <c r="G51" t="inlineStr">
        <is>
          <t>Request for Quotation</t>
        </is>
      </c>
      <c r="H51" t="inlineStr">
        <is>
          <t>APPOINTMENT OF TWO (2) SERVICE PROVIDER TO SUPPLY, PRINT AND DELIVER SPORT APPARELS/PROMOTIONAL MATERIALS FOR ALL SPORT AND RECRATION EVENTS FOR A PERIOD OF THREE (3) YEARS.</t>
        </is>
      </c>
      <c r="I51" t="inlineStr">
        <is>
          <t>ETENDERS.GOV.ZA</t>
        </is>
      </c>
      <c r="J51" t="inlineStr">
        <is>
          <t>Polokwane Municipality</t>
        </is>
      </c>
      <c r="K51" t="inlineStr">
        <is>
          <t>Limpopo</t>
        </is>
      </c>
      <c r="L51" t="inlineStr">
        <is>
          <t>No</t>
        </is>
      </c>
      <c r="M51" t="inlineStr">
        <is>
          <t>Supplies: General</t>
        </is>
      </c>
      <c r="N51" t="inlineStr">
        <is>
          <t>No</t>
        </is>
      </c>
      <c r="O51" t="inlineStr">
        <is>
          <t>N/A</t>
        </is>
      </c>
      <c r="P51" t="inlineStr">
        <is>
          <t>No</t>
        </is>
      </c>
      <c r="Q51" t="inlineStr">
        <is>
          <t>N/A</t>
        </is>
      </c>
      <c r="R51" s="3" t="inlineStr">
        <is>
          <t>https://www.etenders.gov.za/home/Download/?blobName=1e2d2058-b2a7-46a3-968c-605cd5e4059b.pdf&amp;downloadedFileName=Tender%20document%20PM38-%2025%2026%20.pdf</t>
        </is>
      </c>
      <c r="S51" t="inlineStr"/>
      <c r="T51" t="inlineStr"/>
      <c r="U51" t="inlineStr"/>
      <c r="V51" t="inlineStr"/>
      <c r="W51" t="inlineStr"/>
    </row>
    <row r="52">
      <c r="A52" s="2" t="n">
        <v>46162</v>
      </c>
      <c r="B52" t="n">
        <v>46</v>
      </c>
      <c r="C52" t="inlineStr">
        <is>
          <t>RFQJW089TN26</t>
        </is>
      </c>
      <c r="D52" s="2" t="n">
        <v>46157</v>
      </c>
      <c r="E52" s="2" t="n">
        <v>46164</v>
      </c>
      <c r="F52" t="inlineStr">
        <is>
          <t>16:00</t>
        </is>
      </c>
      <c r="G52" t="inlineStr">
        <is>
          <t>Request for Quotation</t>
        </is>
      </c>
      <c r="H52" t="inlineStr">
        <is>
          <t>RFQJW089TN26 - REVIEW OF PERFOMANCE MANAGEMENT POLICY</t>
        </is>
      </c>
      <c r="I52" t="inlineStr">
        <is>
          <t>ETENDERS.GOV.ZA</t>
        </is>
      </c>
      <c r="J52" t="inlineStr">
        <is>
          <t>Johannesburg Water</t>
        </is>
      </c>
      <c r="K52" t="inlineStr">
        <is>
          <t>Gauteng</t>
        </is>
      </c>
      <c r="L52" t="inlineStr">
        <is>
          <t>No</t>
        </is>
      </c>
      <c r="M52" t="inlineStr">
        <is>
          <t>Services: General</t>
        </is>
      </c>
      <c r="N52" t="inlineStr">
        <is>
          <t>No</t>
        </is>
      </c>
      <c r="O52" t="inlineStr">
        <is>
          <t>N/A</t>
        </is>
      </c>
      <c r="P52" t="inlineStr">
        <is>
          <t>No</t>
        </is>
      </c>
      <c r="Q52" t="inlineStr">
        <is>
          <t>N/A</t>
        </is>
      </c>
      <c r="R52" s="3" t="inlineStr">
        <is>
          <t>https://www.etenders.gov.za/home/Download/?blobName=14af6335-2740-4283-881b-e2e119f56d2e.pdf&amp;downloadedFileName=RFQJW089TN26%20-%20REVIEW%20OF%20PERFOMANCE%20MANAGEMENT%20POLICY.pdf</t>
        </is>
      </c>
      <c r="S52" t="inlineStr"/>
      <c r="T52" t="inlineStr"/>
      <c r="U52" t="inlineStr"/>
      <c r="V52" t="inlineStr"/>
      <c r="W52" t="inlineStr"/>
    </row>
    <row r="53">
      <c r="A53" s="2" t="n">
        <v>46162</v>
      </c>
      <c r="B53" t="n">
        <v>45</v>
      </c>
      <c r="C53" t="inlineStr">
        <is>
          <t>IDS(R&amp;T) 15/2026</t>
        </is>
      </c>
      <c r="D53" s="2" t="n">
        <v>46157</v>
      </c>
      <c r="E53" s="2" t="n">
        <v>46190</v>
      </c>
      <c r="F53" t="inlineStr">
        <is>
          <t>11:00</t>
        </is>
      </c>
      <c r="G53" t="inlineStr">
        <is>
          <t>Request for Bid(Open-Tender)</t>
        </is>
      </c>
      <c r="H53" t="inlineStr">
        <is>
          <t>TENDERERS ARE HEREBY INVITED FOR THE APPOINTMENT OF SERVICE PROVIDER/S FOR THE SUPPLY, DELIVERY AND OFFLOADING OF COLD MIX ASPHALT BAGS ON AS AND WHEN REQUIRED BASIS FOR A PERIOD OF THIRTY-SIX (36) MONTHS.</t>
        </is>
      </c>
      <c r="I53" t="inlineStr">
        <is>
          <t>ETENDERS.GOV.ZA</t>
        </is>
      </c>
      <c r="J53" t="inlineStr">
        <is>
          <t>Mogale City Local Municipality</t>
        </is>
      </c>
      <c r="K53" t="inlineStr">
        <is>
          <t>Gauteng</t>
        </is>
      </c>
      <c r="L53" t="inlineStr">
        <is>
          <t>No</t>
        </is>
      </c>
      <c r="M53" t="inlineStr">
        <is>
          <t>Other service activities</t>
        </is>
      </c>
      <c r="N53" t="inlineStr">
        <is>
          <t>Yes</t>
        </is>
      </c>
      <c r="O53" s="2" t="n">
        <v>46169</v>
      </c>
      <c r="P53" t="inlineStr">
        <is>
          <t>Yes</t>
        </is>
      </c>
      <c r="Q53" t="inlineStr">
        <is>
          <t>Mayoral Parlour, Civic Centre, Corner Commissioner and Market Street, Krugersdorp, 1740</t>
        </is>
      </c>
      <c r="R53" s="3" t="inlineStr">
        <is>
          <t>https://www.etenders.gov.za/home/Download/?blobName=0563f96b-b652-4749-abb9-e0021983b549.pdf&amp;downloadedFileName=IDS%20(R&amp;T)%2015-2026.pdf</t>
        </is>
      </c>
      <c r="S53" t="inlineStr"/>
      <c r="T53" t="inlineStr"/>
      <c r="U53" t="inlineStr"/>
      <c r="V53" t="inlineStr"/>
      <c r="W53" t="inlineStr"/>
    </row>
    <row r="54">
      <c r="A54" s="2" t="n">
        <v>46162</v>
      </c>
      <c r="B54" t="n">
        <v>44</v>
      </c>
      <c r="C54" t="inlineStr">
        <is>
          <t>RFQJW028TN26 (RE-ADVERT)</t>
        </is>
      </c>
      <c r="D54" s="2" t="n">
        <v>46157</v>
      </c>
      <c r="E54" s="2" t="n">
        <v>46164</v>
      </c>
      <c r="F54" t="inlineStr">
        <is>
          <t>16:00</t>
        </is>
      </c>
      <c r="G54" t="inlineStr">
        <is>
          <t>Request for Quotation</t>
        </is>
      </c>
      <c r="H54" t="inlineStr">
        <is>
          <t>RFQJW028TN26 - LABORATORY WATER BATHS</t>
        </is>
      </c>
      <c r="I54" t="inlineStr">
        <is>
          <t>ETENDERS.GOV.ZA</t>
        </is>
      </c>
      <c r="J54" t="inlineStr">
        <is>
          <t>Johannesburg Water</t>
        </is>
      </c>
      <c r="K54" t="inlineStr">
        <is>
          <t>Gauteng</t>
        </is>
      </c>
      <c r="L54" t="inlineStr">
        <is>
          <t>No</t>
        </is>
      </c>
      <c r="M54" t="inlineStr">
        <is>
          <t>Services: General</t>
        </is>
      </c>
      <c r="N54" t="inlineStr">
        <is>
          <t>No</t>
        </is>
      </c>
      <c r="O54" t="inlineStr">
        <is>
          <t>N/A</t>
        </is>
      </c>
      <c r="P54" t="inlineStr">
        <is>
          <t>No</t>
        </is>
      </c>
      <c r="Q54" t="inlineStr">
        <is>
          <t>N/A</t>
        </is>
      </c>
      <c r="R54" s="3" t="inlineStr">
        <is>
          <t>https://www.etenders.gov.za/home/Download/?blobName=d49db910-1400-4786-ab7a-d02ae0fa411a.pdf&amp;downloadedFileName=RFQJW028TN26%20-%20LABORATORY%20WATER%20BATH%20(RE-ADVERT).pdf</t>
        </is>
      </c>
      <c r="S54" t="inlineStr"/>
      <c r="T54" t="inlineStr"/>
      <c r="U54" t="inlineStr"/>
      <c r="V54" t="inlineStr"/>
      <c r="W54" t="inlineStr"/>
    </row>
    <row r="55">
      <c r="A55" s="2" t="n">
        <v>46162</v>
      </c>
      <c r="B55" t="n">
        <v>43</v>
      </c>
      <c r="C55" t="inlineStr">
        <is>
          <t>GT/GPT/018/2026</t>
        </is>
      </c>
      <c r="D55" s="2" t="n">
        <v>46157</v>
      </c>
      <c r="E55" s="2" t="n">
        <v>46199</v>
      </c>
      <c r="F55" t="inlineStr">
        <is>
          <t>11:00</t>
        </is>
      </c>
      <c r="G55" t="inlineStr">
        <is>
          <t>Request for Bid(Open-Tender)</t>
        </is>
      </c>
      <c r="H55" t="inlineStr">
        <is>
          <t>APPOINTMENT OF A SERVICE PROVIDER TO RENDER PROFESSIONAL RESEARCH SERVICES FOR THE COMPILATION OF THE MUNICIPAL ECONOMIC REVIEW AND OUTLOOK (MERO) REPORT FOR THE 2026/2027 FINANCIAL YEAR</t>
        </is>
      </c>
      <c r="I55" t="inlineStr">
        <is>
          <t>ETENDERS.GOV.ZA</t>
        </is>
      </c>
      <c r="J55" t="inlineStr">
        <is>
          <t>Gauteng - Provincial Treasury</t>
        </is>
      </c>
      <c r="K55" t="inlineStr">
        <is>
          <t>Gauteng</t>
        </is>
      </c>
      <c r="L55" t="inlineStr">
        <is>
          <t>No</t>
        </is>
      </c>
      <c r="M55" t="inlineStr">
        <is>
          <t>Services: Professional</t>
        </is>
      </c>
      <c r="N55" t="inlineStr">
        <is>
          <t>Yes</t>
        </is>
      </c>
      <c r="O55" s="2" t="n">
        <v>46171</v>
      </c>
      <c r="P55" t="inlineStr">
        <is>
          <t>No</t>
        </is>
      </c>
      <c r="Q55" t="inlineStr">
        <is>
          <t>https://teams.microsoft.com/meet/326770128400389?p=PykgVml6G7VjSFp9j5</t>
        </is>
      </c>
      <c r="R55" s="3" t="inlineStr">
        <is>
          <t>https://www.etenders.gov.za/home/Download/?blobName=1a7f1b56-b4a4-47b0-875a-865ddaf5b335.pdf&amp;downloadedFileName=GT%20GPT%20018%202026%20-%20Section%201A.pdf</t>
        </is>
      </c>
      <c r="S55" t="inlineStr"/>
      <c r="T55" t="inlineStr"/>
      <c r="U55" t="inlineStr"/>
      <c r="V55" t="inlineStr"/>
      <c r="W55" t="inlineStr"/>
    </row>
    <row r="56">
      <c r="A56" s="2" t="n">
        <v>46162</v>
      </c>
      <c r="B56" t="n">
        <v>42</v>
      </c>
      <c r="C56" t="inlineStr">
        <is>
          <t>237S/2025/26</t>
        </is>
      </c>
      <c r="D56" s="2" t="n">
        <v>46157</v>
      </c>
      <c r="E56" s="2" t="n">
        <v>46190</v>
      </c>
      <c r="F56" t="inlineStr">
        <is>
          <t>10:00</t>
        </is>
      </c>
      <c r="G56" t="inlineStr">
        <is>
          <t>Request for Bid(Open-Tender)</t>
        </is>
      </c>
      <c r="H56" t="inlineStr">
        <is>
          <t>GROUNDS, HORTICULTURAL AND AD HOC CLEANING SERVICES AT GENERATION SITES</t>
        </is>
      </c>
      <c r="I56" t="inlineStr">
        <is>
          <t>ETENDERS.GOV.ZA</t>
        </is>
      </c>
      <c r="J56" t="inlineStr">
        <is>
          <t>City of Cape Town</t>
        </is>
      </c>
      <c r="K56" t="inlineStr">
        <is>
          <t>Western Cape</t>
        </is>
      </c>
      <c r="L56" t="inlineStr">
        <is>
          <t>No</t>
        </is>
      </c>
      <c r="M56" t="inlineStr">
        <is>
          <t>Services: Electrical</t>
        </is>
      </c>
      <c r="N56" t="inlineStr">
        <is>
          <t>Yes</t>
        </is>
      </c>
      <c r="O56" s="2" t="n">
        <v>46168</v>
      </c>
      <c r="P56" t="inlineStr">
        <is>
          <t>No</t>
        </is>
      </c>
      <c r="Q56" t="inlineStr">
        <is>
          <t>Via MS Teams link: https://teams.microsoft.com/meet/32573260385171 ?p=2EyEylYdQ1SBV3sKW4</t>
        </is>
      </c>
      <c r="R56" s="3" t="inlineStr">
        <is>
          <t>https://www.etenders.gov.za/home/Download/?blobName=2257353e-9e24-4ffb-9b2e-882a1f2f8274.pdf&amp;downloadedFileName=237S_2025_26%20GROUNDS%20HORTICULTURAL%20AND%20AD%20HOC%20CLEANING%20SERVICES%20AT%20GENERATION%20SITES%20E%20Tender.pdf</t>
        </is>
      </c>
      <c r="S56" t="inlineStr"/>
      <c r="T56" t="inlineStr"/>
      <c r="U56" t="inlineStr"/>
      <c r="V56" t="inlineStr"/>
      <c r="W56" t="inlineStr"/>
    </row>
    <row r="57">
      <c r="A57" s="2" t="n">
        <v>46162</v>
      </c>
      <c r="B57" t="n">
        <v>41</v>
      </c>
      <c r="C57" t="inlineStr">
        <is>
          <t>240S/2025/26</t>
        </is>
      </c>
      <c r="D57" s="2" t="n">
        <v>46157</v>
      </c>
      <c r="E57" s="2" t="n">
        <v>46195</v>
      </c>
      <c r="F57" t="inlineStr">
        <is>
          <t>10:00</t>
        </is>
      </c>
      <c r="G57" t="inlineStr">
        <is>
          <t>Request for Bid(Open-Tender)</t>
        </is>
      </c>
      <c r="H57" t="inlineStr">
        <is>
          <t>PROVISION OF WET REFUSE COLLECTION SERVICE TO VARIOUS SUBURBS OF AREA SOUTH TWO OCEANS COLLECTIONS AREA : FAR SOUTH: MUIZENBERG, ST JAMES, KALK BAY, FISH HOEK, NOORDHOEK, OCEAN VIEW, KOMMETJIE, MASIPHUMELELE, SUNVALLEY, SUNNYDALE, GLENCAIRN, SIMONS TOWN, CAPE POINT, SCARBOROUGH AND SURROUNDS</t>
        </is>
      </c>
      <c r="I57" t="inlineStr">
        <is>
          <t>ETENDERS.GOV.ZA</t>
        </is>
      </c>
      <c r="J57" t="inlineStr">
        <is>
          <t>City of Cape Town</t>
        </is>
      </c>
      <c r="K57" t="inlineStr">
        <is>
          <t>Western Cape</t>
        </is>
      </c>
      <c r="L57" t="inlineStr">
        <is>
          <t>No</t>
        </is>
      </c>
      <c r="M57" t="inlineStr">
        <is>
          <t>Waste collection, treatment and disposal activities; materials recovery</t>
        </is>
      </c>
      <c r="N57" t="inlineStr">
        <is>
          <t>Yes</t>
        </is>
      </c>
      <c r="O57" s="2" t="n">
        <v>46175</v>
      </c>
      <c r="P57" t="inlineStr">
        <is>
          <t>No</t>
        </is>
      </c>
      <c r="Q57" t="inlineStr">
        <is>
          <t>Meeting ID: 382 607 109 728 679 Passcode: JW9zZ6wn</t>
        </is>
      </c>
      <c r="R57" s="3" t="inlineStr">
        <is>
          <t>https://www.etenders.gov.za/home/Download/?blobName=8801075e-1f0c-4fd4-a1b4-907bbac11d07.pdf&amp;downloadedFileName=240S_2025_26%20-%20Notice%201.pdf</t>
        </is>
      </c>
      <c r="S57" t="inlineStr"/>
      <c r="T57" t="inlineStr"/>
      <c r="U57" t="inlineStr"/>
      <c r="V57" t="inlineStr"/>
      <c r="W57" t="inlineStr"/>
    </row>
    <row r="58">
      <c r="A58" s="2" t="n">
        <v>46162</v>
      </c>
      <c r="B58" t="n">
        <v>40</v>
      </c>
      <c r="C58" t="inlineStr">
        <is>
          <t>241S/2025/26</t>
        </is>
      </c>
      <c r="D58" s="2" t="n">
        <v>46157</v>
      </c>
      <c r="E58" s="2" t="n">
        <v>46196</v>
      </c>
      <c r="F58" t="inlineStr">
        <is>
          <t>10:00</t>
        </is>
      </c>
      <c r="G58" t="inlineStr">
        <is>
          <t>Request for Bid(Open-Tender)</t>
        </is>
      </c>
      <c r="H58" t="inlineStr">
        <is>
          <t>PROVISION OF TRANSPORT SERVICES TO SHUTTLE STAFF FROM PICK UP POINTS TO VARIOUS WORKSTATIONS IN URBAN WASTE MANAGEMENT</t>
        </is>
      </c>
      <c r="I58" t="inlineStr">
        <is>
          <t>ETENDERS.GOV.ZA</t>
        </is>
      </c>
      <c r="J58" t="inlineStr">
        <is>
          <t>City of Cape Town</t>
        </is>
      </c>
      <c r="K58" t="inlineStr">
        <is>
          <t>Western Cape</t>
        </is>
      </c>
      <c r="L58" t="inlineStr">
        <is>
          <t>No</t>
        </is>
      </c>
      <c r="M58" t="inlineStr">
        <is>
          <t>Services: General</t>
        </is>
      </c>
      <c r="N58" t="inlineStr">
        <is>
          <t>Yes</t>
        </is>
      </c>
      <c r="O58" s="2" t="n">
        <v>46171</v>
      </c>
      <c r="P58" t="inlineStr">
        <is>
          <t>No</t>
        </is>
      </c>
      <c r="Q58" t="inlineStr">
        <is>
          <t>MS Teams - https://teams.microsoft.com/meet/378783008059843?p=2t98pwX3DHJSlA5QYY</t>
        </is>
      </c>
      <c r="R58" s="3" t="inlineStr">
        <is>
          <t>https://www.etenders.gov.za/home/Download/?blobName=8ea2eab7-996e-48d8-89a5-a55cd807dc1a.pdf&amp;downloadedFileName=241S_2025_26%20-%20FINAL%2011.05.26.pdf</t>
        </is>
      </c>
      <c r="S58" t="inlineStr"/>
      <c r="T58" t="inlineStr"/>
      <c r="U58" t="inlineStr"/>
      <c r="V58" t="inlineStr"/>
      <c r="W58" t="inlineStr"/>
    </row>
    <row r="59">
      <c r="A59" s="2" t="n">
        <v>46162</v>
      </c>
      <c r="B59" t="n">
        <v>39</v>
      </c>
      <c r="C59" t="inlineStr">
        <is>
          <t>238G/2025/26</t>
        </is>
      </c>
      <c r="D59" s="2" t="n">
        <v>46157</v>
      </c>
      <c r="E59" s="2" t="n">
        <v>46191</v>
      </c>
      <c r="F59" t="inlineStr">
        <is>
          <t>10:00</t>
        </is>
      </c>
      <c r="G59" t="inlineStr">
        <is>
          <t>Request for Proposal</t>
        </is>
      </c>
      <c r="H59" t="inlineStr">
        <is>
          <t>Appointment of a Certified Adobe Reseller.</t>
        </is>
      </c>
      <c r="I59" t="inlineStr">
        <is>
          <t>ETENDERS.GOV.ZA</t>
        </is>
      </c>
      <c r="J59" t="inlineStr">
        <is>
          <t>City of Cape Town</t>
        </is>
      </c>
      <c r="K59" t="inlineStr">
        <is>
          <t>Western Cape</t>
        </is>
      </c>
      <c r="L59" t="inlineStr">
        <is>
          <t>No</t>
        </is>
      </c>
      <c r="M59" t="inlineStr">
        <is>
          <t>Services: General</t>
        </is>
      </c>
      <c r="N59" t="inlineStr">
        <is>
          <t>Yes</t>
        </is>
      </c>
      <c r="O59" s="2" t="n">
        <v>46171</v>
      </c>
      <c r="P59" t="inlineStr">
        <is>
          <t>Yes</t>
        </is>
      </c>
      <c r="Q59" t="inlineStr">
        <is>
          <t>https://teams.microsoft.com/meet/329013916616744?p=WA9ZFdwHVheFZssOFC.</t>
        </is>
      </c>
      <c r="R59" s="3" t="inlineStr">
        <is>
          <t>https://www.etenders.gov.za/home/Download/?blobName=532367f5-b31b-4360-991f-568dd73c3478.pdf&amp;downloadedFileName=238G-2025-26%20-%20Appointment%20of%20a%20Certified%20Adobe%20Reseller%20Final.pdf</t>
        </is>
      </c>
      <c r="S59" t="inlineStr"/>
      <c r="T59" t="inlineStr"/>
      <c r="U59" t="inlineStr"/>
      <c r="V59" t="inlineStr"/>
      <c r="W59" t="inlineStr"/>
    </row>
    <row r="60">
      <c r="A60" s="2" t="n">
        <v>46162</v>
      </c>
      <c r="B60" t="n">
        <v>38</v>
      </c>
      <c r="C60" t="inlineStr">
        <is>
          <t>245S/2025/26</t>
        </is>
      </c>
      <c r="D60" s="2" t="n">
        <v>46157</v>
      </c>
      <c r="E60" s="2" t="n">
        <v>46198</v>
      </c>
      <c r="F60" t="inlineStr">
        <is>
          <t>10:00</t>
        </is>
      </c>
      <c r="G60" t="inlineStr">
        <is>
          <t>Request for Proposal</t>
        </is>
      </c>
      <c r="H60" t="inlineStr">
        <is>
          <t>PROVISION OF PSYCHOMETRIC AND BEHAVIOURAL ASSESSMENT INSTRUMENTS TO THE CITY OF CAPE TOWN.</t>
        </is>
      </c>
      <c r="I60" t="inlineStr">
        <is>
          <t>ETENDERS.GOV.ZA</t>
        </is>
      </c>
      <c r="J60" t="inlineStr">
        <is>
          <t>City of Cape Town</t>
        </is>
      </c>
      <c r="K60" t="inlineStr">
        <is>
          <t>Western Cape</t>
        </is>
      </c>
      <c r="L60" t="inlineStr">
        <is>
          <t>No</t>
        </is>
      </c>
      <c r="M60" t="inlineStr">
        <is>
          <t>Services: General</t>
        </is>
      </c>
      <c r="N60" t="inlineStr">
        <is>
          <t>Yes</t>
        </is>
      </c>
      <c r="O60" s="2" t="n">
        <v>46174</v>
      </c>
      <c r="P60" t="inlineStr">
        <is>
          <t>No</t>
        </is>
      </c>
      <c r="Q60" t="inlineStr">
        <is>
          <t>https://teams.microsoft.com/meet/360640604082421?p=EWMncEAXW7zYfLRfka</t>
        </is>
      </c>
      <c r="R60" s="3" t="inlineStr">
        <is>
          <t>https://www.etenders.gov.za/home/Download/?blobName=944cb65b-0511-4a9e-a9f7-03d95f274da9.pdf&amp;downloadedFileName=Tender_245S_2025_26%20_Final%20doc.pdf</t>
        </is>
      </c>
      <c r="S60" t="inlineStr"/>
      <c r="T60" t="inlineStr"/>
      <c r="U60" t="inlineStr"/>
      <c r="V60" t="inlineStr"/>
      <c r="W60" t="inlineStr"/>
    </row>
    <row r="61">
      <c r="A61" s="2" t="n">
        <v>46162</v>
      </c>
      <c r="B61" t="n">
        <v>37</v>
      </c>
      <c r="C61" t="inlineStr">
        <is>
          <t>244S/2025/26</t>
        </is>
      </c>
      <c r="D61" s="2" t="n">
        <v>46157</v>
      </c>
      <c r="E61" s="2" t="n">
        <v>46196</v>
      </c>
      <c r="F61" t="inlineStr">
        <is>
          <t>10:00</t>
        </is>
      </c>
      <c r="G61" t="inlineStr">
        <is>
          <t>Request for Proposal</t>
        </is>
      </c>
      <c r="H61" t="inlineStr">
        <is>
          <t>PROVISION OF PEST CONTROL, RODENT MANAGEMENT, AND NUISANCE ANIMAL REMOVAL SERVICES AT VARIOUS FACILITIES FOR THE CITY OF CAPE TOWN.</t>
        </is>
      </c>
      <c r="I61" t="inlineStr">
        <is>
          <t>ETENDERS.GOV.ZA</t>
        </is>
      </c>
      <c r="J61" t="inlineStr">
        <is>
          <t>City of Cape Town</t>
        </is>
      </c>
      <c r="K61" t="inlineStr">
        <is>
          <t>Western Cape</t>
        </is>
      </c>
      <c r="L61" t="inlineStr">
        <is>
          <t>No</t>
        </is>
      </c>
      <c r="M61" t="inlineStr">
        <is>
          <t>Services: General</t>
        </is>
      </c>
      <c r="N61" t="inlineStr">
        <is>
          <t>Yes</t>
        </is>
      </c>
      <c r="O61" s="2" t="n">
        <v>46174</v>
      </c>
      <c r="P61" t="inlineStr">
        <is>
          <t>No</t>
        </is>
      </c>
      <c r="Q61" t="inlineStr">
        <is>
          <t>https://teams.microsoft.com/meet/319305125784436?p=kxF84biBVxv8sVYD7I</t>
        </is>
      </c>
      <c r="R61" s="3" t="inlineStr">
        <is>
          <t>https://www.etenders.gov.za/home/Download/?blobName=b45d0e83-036e-41bb-9d16-11851da69e21.pdf&amp;downloadedFileName=244S-2025-26%20-%20Tender%20Document%20Final.pdf</t>
        </is>
      </c>
      <c r="S61" t="inlineStr"/>
      <c r="T61" t="inlineStr"/>
      <c r="U61" t="inlineStr"/>
      <c r="V61" t="inlineStr"/>
      <c r="W61" t="inlineStr"/>
    </row>
    <row r="62">
      <c r="A62" s="2" t="n">
        <v>46162</v>
      </c>
      <c r="B62" t="n">
        <v>36</v>
      </c>
      <c r="C62" t="inlineStr">
        <is>
          <t>ITVETC-004/05/2026</t>
        </is>
      </c>
      <c r="D62" s="2" t="n">
        <v>46157</v>
      </c>
      <c r="E62" s="2" t="n">
        <v>46192</v>
      </c>
      <c r="F62" t="inlineStr">
        <is>
          <t>11:00</t>
        </is>
      </c>
      <c r="G62" t="inlineStr">
        <is>
          <t>Request for Bid(Open-Tender)</t>
        </is>
      </c>
      <c r="H62" t="inlineStr">
        <is>
          <t>PROCUREMENT OF HAND TOOLS, SPECIAL TOOLS, MEASURING EQUIPMENT AND MACHINERY FOR MILLWRIGHT OCCUPATIONAL PROGRAMME</t>
        </is>
      </c>
      <c r="I62" t="inlineStr">
        <is>
          <t>ETENDERS.GOV.ZA</t>
        </is>
      </c>
      <c r="J62" t="inlineStr">
        <is>
          <t>IKHALA PUBLIC TVET COLLEGE</t>
        </is>
      </c>
      <c r="K62" t="inlineStr">
        <is>
          <t>Eastern Cape</t>
        </is>
      </c>
      <c r="L62" t="inlineStr">
        <is>
          <t>No</t>
        </is>
      </c>
      <c r="M62" t="inlineStr">
        <is>
          <t>Supplies: General</t>
        </is>
      </c>
      <c r="N62" t="inlineStr">
        <is>
          <t>Yes</t>
        </is>
      </c>
      <c r="O62" s="2" t="n">
        <v>46162</v>
      </c>
      <c r="P62" t="inlineStr">
        <is>
          <t>Yes</t>
        </is>
      </c>
      <c r="Q62" t="inlineStr">
        <is>
          <t>An online compulsory session to be held on 20 May 2026@10:00</t>
        </is>
      </c>
      <c r="R62" s="3" t="inlineStr">
        <is>
          <t>https://www.etenders.gov.za/home/Download/?blobName=605900a8-5e98-4785-8060-50f162aa873d.doc&amp;downloadedFileName=TENDER%20MACHINERY%20MILLWRIGHT%20001052026.doc</t>
        </is>
      </c>
      <c r="S62" t="inlineStr"/>
      <c r="T62" t="inlineStr"/>
      <c r="U62" t="inlineStr"/>
      <c r="V62" t="inlineStr"/>
      <c r="W62" t="inlineStr"/>
    </row>
    <row r="63">
      <c r="A63" s="2" t="n">
        <v>46162</v>
      </c>
      <c r="B63" t="n">
        <v>35</v>
      </c>
      <c r="C63" t="inlineStr">
        <is>
          <t>JTC0032/2025-26</t>
        </is>
      </c>
      <c r="D63" s="2" t="n">
        <v>46157</v>
      </c>
      <c r="E63" s="2" t="n">
        <v>46164</v>
      </c>
      <c r="F63" t="inlineStr">
        <is>
          <t>10:00</t>
        </is>
      </c>
      <c r="G63" t="inlineStr">
        <is>
          <t>Request for Quotation</t>
        </is>
      </c>
      <c r="H63" t="inlineStr">
        <is>
          <t>REQUEST FOR QUOTATION FROM SUITABLE, QUALIFIED AND REGISTERED TRAVEL MANAGEMENT SERVICE PROVIDER FOR CONFERENCE REGISTRATION, AIR TRAVEL, ACCOMMODATION, DINNER, BREAKFAST, CAR HIRE, TRAVEL INSURANCE FOR THE JOBURG TOURISM COMPANY OFFICIALS’ ATTENDANCE AT THE 12TH AFRICAN FEDERATION OF INSTITUTES OF INTERNAL AUDITORS CONFERENCE TAKING PLACE FROM 27TH – 29TH MAY 2026 IN CAPE TOWN</t>
        </is>
      </c>
      <c r="I63" t="inlineStr">
        <is>
          <t>ETENDERS.GOV.ZA</t>
        </is>
      </c>
      <c r="J63" t="inlineStr">
        <is>
          <t>City Council of Johannesburg</t>
        </is>
      </c>
      <c r="K63" t="inlineStr">
        <is>
          <t>Gauteng</t>
        </is>
      </c>
      <c r="L63" t="inlineStr">
        <is>
          <t>No</t>
        </is>
      </c>
      <c r="M63" t="inlineStr">
        <is>
          <t>Travel agency, tour operator, reservation service and related activities</t>
        </is>
      </c>
      <c r="N63" t="inlineStr">
        <is>
          <t>No</t>
        </is>
      </c>
      <c r="O63" t="inlineStr">
        <is>
          <t>N/A</t>
        </is>
      </c>
      <c r="P63" t="inlineStr">
        <is>
          <t>No</t>
        </is>
      </c>
      <c r="Q63" t="inlineStr">
        <is>
          <t>N/A</t>
        </is>
      </c>
      <c r="R63" s="3" t="inlineStr">
        <is>
          <t>https://www.etenders.gov.za/home/Download/?blobName=8c7f7b6a-50d8-467d-bb4e-ce823c0ce29d.pdf&amp;downloadedFileName=RFQ%20for%2012th%20AFIAA%20conference%202026.pdf</t>
        </is>
      </c>
      <c r="S63" t="inlineStr"/>
      <c r="T63" t="inlineStr"/>
      <c r="U63" t="inlineStr"/>
      <c r="V63" t="inlineStr"/>
      <c r="W63" t="inlineStr"/>
    </row>
    <row r="64">
      <c r="A64" s="2" t="n">
        <v>46162</v>
      </c>
      <c r="B64" t="n">
        <v>34</v>
      </c>
      <c r="C64" t="inlineStr">
        <is>
          <t>239S/2025/26</t>
        </is>
      </c>
      <c r="D64" s="2" t="n">
        <v>46157</v>
      </c>
      <c r="E64" s="2" t="n">
        <v>46191</v>
      </c>
      <c r="F64" t="inlineStr">
        <is>
          <t>10:00</t>
        </is>
      </c>
      <c r="G64" t="inlineStr">
        <is>
          <t>Request for Bid(Open-Tender)</t>
        </is>
      </c>
      <c r="H64" t="inlineStr">
        <is>
          <t>PROVISION OF REAL-TIME AERIAL INTELLIGENCE, SURVEILLANCEAND RECONNAISANCE FROM AN AIRCRAFT PLATFORM.</t>
        </is>
      </c>
      <c r="I64" t="inlineStr">
        <is>
          <t>ETENDERS.GOV.ZA</t>
        </is>
      </c>
      <c r="J64" t="inlineStr">
        <is>
          <t>City of Cape Town</t>
        </is>
      </c>
      <c r="K64" t="inlineStr">
        <is>
          <t>Western Cape</t>
        </is>
      </c>
      <c r="L64" t="inlineStr">
        <is>
          <t>No</t>
        </is>
      </c>
      <c r="M64" t="inlineStr">
        <is>
          <t>Disposals: General</t>
        </is>
      </c>
      <c r="N64" t="inlineStr">
        <is>
          <t>Yes</t>
        </is>
      </c>
      <c r="O64" s="2" t="n">
        <v>46177</v>
      </c>
      <c r="P64" t="inlineStr">
        <is>
          <t>No</t>
        </is>
      </c>
      <c r="Q64" t="inlineStr">
        <is>
          <t>Microsoft Teams - online link on the 3rd page of the tender document.</t>
        </is>
      </c>
      <c r="R64" s="3" t="inlineStr">
        <is>
          <t>https://www.etenders.gov.za/home/Download/?blobName=25a8e93b-fad8-4c7a-bb5f-5b203ace99a9.pdf&amp;downloadedFileName=239S-2025-26%20Tender%20Document.pdf</t>
        </is>
      </c>
      <c r="S64" t="inlineStr"/>
      <c r="T64" t="inlineStr"/>
      <c r="U64" t="inlineStr"/>
      <c r="V64" t="inlineStr"/>
      <c r="W64" t="inlineStr"/>
    </row>
    <row r="65">
      <c r="A65" s="2" t="n">
        <v>46162</v>
      </c>
      <c r="B65" t="n">
        <v>33</v>
      </c>
      <c r="C65" t="inlineStr">
        <is>
          <t>GKM-Q 113/25-26</t>
        </is>
      </c>
      <c r="D65" s="2" t="n">
        <v>46157</v>
      </c>
      <c r="E65" s="2" t="n">
        <v>46163</v>
      </c>
      <c r="F65" t="inlineStr">
        <is>
          <t>11:00</t>
        </is>
      </c>
      <c r="G65" t="inlineStr">
        <is>
          <t>Request for Quotation</t>
        </is>
      </c>
      <c r="H65" t="inlineStr">
        <is>
          <t>2025/2026 PROVISION FOR ICT AUDIT SERVICES</t>
        </is>
      </c>
      <c r="I65" t="inlineStr">
        <is>
          <t>ETENDERS.GOV.ZA</t>
        </is>
      </c>
      <c r="J65" t="inlineStr">
        <is>
          <t>Greater Kokstad Local Municipality</t>
        </is>
      </c>
      <c r="K65" t="inlineStr">
        <is>
          <t>KwaZulu-Natal</t>
        </is>
      </c>
      <c r="L65" t="inlineStr">
        <is>
          <t>No</t>
        </is>
      </c>
      <c r="M65" t="inlineStr">
        <is>
          <t>Financial service activities, except insurance and pension funding</t>
        </is>
      </c>
      <c r="N65" t="inlineStr">
        <is>
          <t>No</t>
        </is>
      </c>
      <c r="O65" t="inlineStr">
        <is>
          <t>N/A</t>
        </is>
      </c>
      <c r="P65" t="inlineStr">
        <is>
          <t>No</t>
        </is>
      </c>
      <c r="Q65" t="inlineStr">
        <is>
          <t>N/A</t>
        </is>
      </c>
      <c r="R65" s="3" t="inlineStr">
        <is>
          <t>https://www.etenders.gov.za/home/Download/?blobName=fdeeb7a0-ecc4-4a2e-b019-776fafc127af.pdf&amp;downloadedFileName=PROVISION%20OF%20ICT%20AUDIT%20SERVICES-CLOSING%2021%20MAY%202026.pdf</t>
        </is>
      </c>
      <c r="S65" t="inlineStr"/>
      <c r="T65" t="inlineStr"/>
      <c r="U65" t="inlineStr"/>
      <c r="V65" t="inlineStr"/>
      <c r="W65" t="inlineStr"/>
    </row>
    <row r="66">
      <c r="A66" s="2" t="n">
        <v>46162</v>
      </c>
      <c r="B66" t="n">
        <v>32</v>
      </c>
      <c r="C66" t="inlineStr">
        <is>
          <t>NSG/BID/01/2026/2027</t>
        </is>
      </c>
      <c r="D66" s="2" t="n">
        <v>46157</v>
      </c>
      <c r="E66" s="2" t="n">
        <v>46178</v>
      </c>
      <c r="F66" t="inlineStr">
        <is>
          <t>11:00</t>
        </is>
      </c>
      <c r="G66" t="inlineStr">
        <is>
          <t>Request for Bid(Open-Tender)</t>
        </is>
      </c>
      <c r="H66" t="inlineStr">
        <is>
          <t>PROVISION OF MICROSOFT OPEN VALUE SUBSCRIPTION FOR EDUCATION SOLUTIONS (OVS-ES) FOR THE NATIONAL SCHOOL OF GOVERNMENT FOR THE PRIOD OF THREE (3) YEARS.</t>
        </is>
      </c>
      <c r="I66" t="inlineStr">
        <is>
          <t>ETENDERS.GOV.ZA</t>
        </is>
      </c>
      <c r="J66" t="inlineStr">
        <is>
          <t>National School of Government</t>
        </is>
      </c>
      <c r="K66" t="inlineStr">
        <is>
          <t>National</t>
        </is>
      </c>
      <c r="L66" t="inlineStr">
        <is>
          <t>No</t>
        </is>
      </c>
      <c r="M66" t="inlineStr">
        <is>
          <t>Services: Professional</t>
        </is>
      </c>
      <c r="N66" t="inlineStr">
        <is>
          <t>No</t>
        </is>
      </c>
      <c r="O66" t="inlineStr">
        <is>
          <t>N/A</t>
        </is>
      </c>
      <c r="P66" t="inlineStr">
        <is>
          <t>No</t>
        </is>
      </c>
      <c r="Q66" t="inlineStr">
        <is>
          <t>N/A</t>
        </is>
      </c>
      <c r="R66" s="3" t="inlineStr">
        <is>
          <t>https://www.etenders.gov.za/home/Download/?blobName=34712e14-0ceb-49cc-9675-c00dbe03b0ff.pdf&amp;downloadedFileName=TERMS%20OF%20REFERENCE%20AND%20SPECIAL%20CONDITIONS%20OF%20CONTRACT.pdf</t>
        </is>
      </c>
      <c r="S66" t="inlineStr"/>
      <c r="T66" t="inlineStr"/>
      <c r="U66" t="inlineStr"/>
      <c r="V66" t="inlineStr"/>
      <c r="W66" t="inlineStr"/>
    </row>
    <row r="67">
      <c r="A67" s="2" t="n">
        <v>46162</v>
      </c>
      <c r="B67" t="n">
        <v>31</v>
      </c>
      <c r="C67" t="inlineStr">
        <is>
          <t>ITVETC-005/05/2026</t>
        </is>
      </c>
      <c r="D67" s="2" t="n">
        <v>46157</v>
      </c>
      <c r="E67" s="2" t="n">
        <v>46192</v>
      </c>
      <c r="F67" t="inlineStr">
        <is>
          <t>11:00</t>
        </is>
      </c>
      <c r="G67" t="inlineStr">
        <is>
          <t>Request for Bid(Open-Tender)</t>
        </is>
      </c>
      <c r="H67" t="inlineStr">
        <is>
          <t>PROCUREMENT OF HAND TOOLS, SPECIAL TOOLS, MEASURING EQUIPMENT, AND MACHINERY FOR BOILERMAKER OCCUPATIONAL PROGRAMME</t>
        </is>
      </c>
      <c r="I67" t="inlineStr">
        <is>
          <t>ETENDERS.GOV.ZA</t>
        </is>
      </c>
      <c r="J67" t="inlineStr">
        <is>
          <t>IKHALA PUBLIC TVET COLLEGE</t>
        </is>
      </c>
      <c r="K67" t="inlineStr">
        <is>
          <t>Eastern Cape</t>
        </is>
      </c>
      <c r="L67" t="inlineStr">
        <is>
          <t>No</t>
        </is>
      </c>
      <c r="M67" t="inlineStr">
        <is>
          <t>Supplies: General</t>
        </is>
      </c>
      <c r="N67" t="inlineStr">
        <is>
          <t>Yes</t>
        </is>
      </c>
      <c r="O67" s="2" t="n">
        <v>46162</v>
      </c>
      <c r="P67" t="inlineStr">
        <is>
          <t>Yes</t>
        </is>
      </c>
      <c r="Q67" t="inlineStr">
        <is>
          <t>online compulsory information session will be held via MS TEAMS on 20 May 2026. Please visit the col</t>
        </is>
      </c>
      <c r="R67" s="3" t="inlineStr">
        <is>
          <t>https://www.etenders.gov.za/home/Download/?blobName=ba735d1a-0563-48df-b255-1ba3eaf0db28.pdf&amp;downloadedFileName=62033889710-confirmation%20(5).pdf</t>
        </is>
      </c>
      <c r="S67" t="inlineStr"/>
      <c r="T67" t="inlineStr"/>
      <c r="U67" t="inlineStr"/>
      <c r="V67" t="inlineStr"/>
      <c r="W67" t="inlineStr"/>
    </row>
    <row r="68">
      <c r="A68" s="2" t="n">
        <v>46162</v>
      </c>
      <c r="B68" t="n">
        <v>30</v>
      </c>
      <c r="C68" t="inlineStr">
        <is>
          <t>RFQ-004/05/2026</t>
        </is>
      </c>
      <c r="D68" s="2" t="n">
        <v>46157</v>
      </c>
      <c r="E68" s="2" t="n">
        <v>46178</v>
      </c>
      <c r="F68" t="inlineStr">
        <is>
          <t>11:00</t>
        </is>
      </c>
      <c r="G68" t="inlineStr">
        <is>
          <t>Request for Quotation</t>
        </is>
      </c>
      <c r="H68" t="inlineStr">
        <is>
          <t>PROCUREMENT OF AN ACCREDITED SKILL DEVELOPMENT PROVIDER TO CONDUCT ASSESSMENT AND MODERATION OF DIGITALISATION SKILLS PROGRAMME</t>
        </is>
      </c>
      <c r="I68" t="inlineStr">
        <is>
          <t>ETENDERS.GOV.ZA</t>
        </is>
      </c>
      <c r="J68" t="inlineStr">
        <is>
          <t>IKHALA PUBLIC TVET COLLEGE</t>
        </is>
      </c>
      <c r="K68" t="inlineStr">
        <is>
          <t>Eastern Cape</t>
        </is>
      </c>
      <c r="L68" t="inlineStr">
        <is>
          <t>No</t>
        </is>
      </c>
      <c r="M68" t="inlineStr">
        <is>
          <t>Supplies: General</t>
        </is>
      </c>
      <c r="N68" t="inlineStr">
        <is>
          <t>Yes</t>
        </is>
      </c>
      <c r="O68" s="2" t="n">
        <v>46163</v>
      </c>
      <c r="P68" t="inlineStr">
        <is>
          <t>Yes</t>
        </is>
      </c>
      <c r="Q68" t="inlineStr">
        <is>
          <t>online compulsory information session will be held via MS TEAMS on 21 May 2026. Please visit the col</t>
        </is>
      </c>
      <c r="R68" s="3" t="inlineStr">
        <is>
          <t>https://www.etenders.gov.za/home/Download/?blobName=ffa77c57-2a47-4b83-a6da-48b1e3340b45.docx&amp;downloadedFileName=0848-FS-SCM-TP-SBD6.1-Preference%20Point%20Claim%20Form-2026-2029-A.docx</t>
        </is>
      </c>
      <c r="S68" t="inlineStr"/>
      <c r="T68" t="inlineStr"/>
      <c r="U68" t="inlineStr"/>
      <c r="V68" t="inlineStr"/>
      <c r="W68" t="inlineStr"/>
    </row>
    <row r="69">
      <c r="A69" s="2" t="n">
        <v>46162</v>
      </c>
      <c r="B69" t="n">
        <v>29</v>
      </c>
      <c r="C69" t="inlineStr">
        <is>
          <t>RFQ005/05/2026</t>
        </is>
      </c>
      <c r="D69" s="2" t="n">
        <v>46157</v>
      </c>
      <c r="E69" s="2" t="n">
        <v>46178</v>
      </c>
      <c r="F69" t="inlineStr">
        <is>
          <t>11:00</t>
        </is>
      </c>
      <c r="G69" t="inlineStr">
        <is>
          <t>Request for Quotation</t>
        </is>
      </c>
      <c r="H69" t="inlineStr">
        <is>
          <t>IKHALA TVET COLLEGE: ROAD DIRECTIONAL SIGN BOARDS</t>
        </is>
      </c>
      <c r="I69" t="inlineStr">
        <is>
          <t>ETENDERS.GOV.ZA</t>
        </is>
      </c>
      <c r="J69" t="inlineStr">
        <is>
          <t>IKHALA PUBLIC TVET COLLEGE</t>
        </is>
      </c>
      <c r="K69" t="inlineStr">
        <is>
          <t>Eastern Cape</t>
        </is>
      </c>
      <c r="L69" t="inlineStr">
        <is>
          <t>No</t>
        </is>
      </c>
      <c r="M69" t="inlineStr">
        <is>
          <t>Supplies: General</t>
        </is>
      </c>
      <c r="N69" t="inlineStr">
        <is>
          <t>Yes</t>
        </is>
      </c>
      <c r="O69" t="inlineStr">
        <is>
          <t>N/A</t>
        </is>
      </c>
      <c r="P69" t="inlineStr">
        <is>
          <t>Yes</t>
        </is>
      </c>
      <c r="Q69" t="inlineStr">
        <is>
          <t>online compulsory information session will be held via MS TEAMS on 21 May 2026. Please visit the col</t>
        </is>
      </c>
      <c r="R69" s="3" t="inlineStr">
        <is>
          <t>https://www.etenders.gov.za/home/Download/?blobName=047a1478-dffb-46d3-a27e-04dca5eedeaa.docx&amp;downloadedFileName=0848-FS-SCM-TP-SBD6.1-Preference%20Point%20Claim%20Form-2026-2029-A.docx</t>
        </is>
      </c>
      <c r="S69" t="inlineStr"/>
      <c r="T69" t="inlineStr"/>
      <c r="U69" t="inlineStr"/>
      <c r="V69" t="inlineStr"/>
      <c r="W69" t="inlineStr"/>
    </row>
    <row r="70">
      <c r="A70" s="2" t="n">
        <v>46162</v>
      </c>
      <c r="B70" t="n">
        <v>28</v>
      </c>
      <c r="C70" t="inlineStr">
        <is>
          <t>RW10414754/26R</t>
        </is>
      </c>
      <c r="D70" s="2" t="n">
        <v>46157</v>
      </c>
      <c r="E70" s="2" t="n">
        <v>46178</v>
      </c>
      <c r="F70" t="inlineStr">
        <is>
          <t>12:00</t>
        </is>
      </c>
      <c r="G70" t="inlineStr">
        <is>
          <t>Request for Bid(Open-Tender)</t>
        </is>
      </c>
      <c r="H70" t="inlineStr">
        <is>
          <t>PROVISION OF PHYSICAL SECURITY SERVICES AT RAND WATER SITES, INCLUDING AREAS WHERE RAND WATER IS PROVIDING A SERVICE FOR A PERIOD OF FIVE (5) YEARS.</t>
        </is>
      </c>
      <c r="I70" t="inlineStr">
        <is>
          <t>ETENDERS.GOV.ZA</t>
        </is>
      </c>
      <c r="J70" t="inlineStr">
        <is>
          <t>Rand Water</t>
        </is>
      </c>
      <c r="K70" t="inlineStr">
        <is>
          <t>Gauteng</t>
        </is>
      </c>
      <c r="L70" t="inlineStr">
        <is>
          <t>No</t>
        </is>
      </c>
      <c r="M70" t="inlineStr">
        <is>
          <t>Services: Professional</t>
        </is>
      </c>
      <c r="N70" t="inlineStr">
        <is>
          <t>No</t>
        </is>
      </c>
      <c r="O70" t="inlineStr">
        <is>
          <t>N/A</t>
        </is>
      </c>
      <c r="P70" t="inlineStr">
        <is>
          <t>No</t>
        </is>
      </c>
      <c r="Q70" t="inlineStr">
        <is>
          <t>N/A</t>
        </is>
      </c>
      <c r="R70" s="3" t="inlineStr">
        <is>
          <t>https://www.etenders.gov.za/home/Download/?blobName=576b727f-075a-429e-a992-0c79b395ee7c.pdf&amp;downloadedFileName=RFB%20Physical%20Security%20RW10414754%2026R%2015%20May%202026.pdf</t>
        </is>
      </c>
      <c r="S70" t="inlineStr"/>
      <c r="T70" t="inlineStr"/>
      <c r="U70" t="inlineStr"/>
      <c r="V70" t="inlineStr"/>
      <c r="W70" t="inlineStr"/>
    </row>
    <row r="71">
      <c r="A71" s="2" t="n">
        <v>46162</v>
      </c>
      <c r="B71" t="n">
        <v>27</v>
      </c>
      <c r="C71" t="inlineStr">
        <is>
          <t>RE-ADVERT - BTO-CORP 038/25/26</t>
        </is>
      </c>
      <c r="D71" s="2" t="n">
        <v>46157</v>
      </c>
      <c r="E71" s="2" t="n">
        <v>46188</v>
      </c>
      <c r="F71" t="inlineStr">
        <is>
          <t>12:00</t>
        </is>
      </c>
      <c r="G71" t="inlineStr">
        <is>
          <t>Request for Proposal</t>
        </is>
      </c>
      <c r="H71" t="inlineStr">
        <is>
          <t>SUPPLY AND DELIVER ADOBE ACROBAT FOR A PERIOD OF 3 YEARS - RE-ADVERT</t>
        </is>
      </c>
      <c r="I71" t="inlineStr">
        <is>
          <t>ETENDERS.GOV.ZA</t>
        </is>
      </c>
      <c r="J71" t="inlineStr">
        <is>
          <t>Dr Nkosazana Dlamini Zuma Local Municipality</t>
        </is>
      </c>
      <c r="K71" t="inlineStr">
        <is>
          <t>KwaZulu-Natal</t>
        </is>
      </c>
      <c r="L71" t="inlineStr">
        <is>
          <t>No</t>
        </is>
      </c>
      <c r="M71" t="inlineStr">
        <is>
          <t>Other service activities</t>
        </is>
      </c>
      <c r="N71" t="inlineStr">
        <is>
          <t>Yes</t>
        </is>
      </c>
      <c r="O71" s="2" t="n">
        <v>46161</v>
      </c>
      <c r="P71" t="inlineStr">
        <is>
          <t>Yes</t>
        </is>
      </c>
      <c r="Q71" t="inlineStr">
        <is>
          <t>Creighton</t>
        </is>
      </c>
      <c r="R71" s="3" t="inlineStr">
        <is>
          <t>https://www.etenders.gov.za/home/Download/?blobName=425e4fd8-9152-4329-a842-cf66eae6401c.pdf&amp;downloadedFileName=ADVERT%2015-05-2026.pdf</t>
        </is>
      </c>
      <c r="S71" t="inlineStr"/>
      <c r="T71" t="inlineStr"/>
      <c r="U71" t="inlineStr"/>
      <c r="V71" t="inlineStr"/>
      <c r="W71" t="inlineStr"/>
    </row>
    <row r="72">
      <c r="A72" s="2" t="n">
        <v>46162</v>
      </c>
      <c r="B72" t="n">
        <v>26</v>
      </c>
      <c r="C72" t="inlineStr">
        <is>
          <t>18 OF 2026</t>
        </is>
      </c>
      <c r="D72" s="2" t="n">
        <v>46157</v>
      </c>
      <c r="E72" s="2" t="n">
        <v>46191</v>
      </c>
      <c r="F72" t="inlineStr">
        <is>
          <t>12:00</t>
        </is>
      </c>
      <c r="G72" t="inlineStr">
        <is>
          <t>Request for Bid(Open-Tender)</t>
        </is>
      </c>
      <c r="H72" t="inlineStr">
        <is>
          <t>PANEL FOR PROVISION OF SECURITY SERVICES FOR PERIOD OF THREE (03) YEARS</t>
        </is>
      </c>
      <c r="I72" t="inlineStr">
        <is>
          <t>ETENDERS.GOV.ZA</t>
        </is>
      </c>
      <c r="J72" t="inlineStr">
        <is>
          <t>Makhado Local Municipality</t>
        </is>
      </c>
      <c r="K72" t="inlineStr">
        <is>
          <t>Limpopo</t>
        </is>
      </c>
      <c r="L72" t="inlineStr">
        <is>
          <t>No</t>
        </is>
      </c>
      <c r="M72" t="inlineStr">
        <is>
          <t>Security and investigation activities</t>
        </is>
      </c>
      <c r="N72" t="inlineStr">
        <is>
          <t>Yes</t>
        </is>
      </c>
      <c r="O72" s="2" t="n">
        <v>46171</v>
      </c>
      <c r="P72" t="inlineStr">
        <is>
          <t>Yes</t>
        </is>
      </c>
      <c r="Q72" t="inlineStr">
        <is>
          <t>Makhado Local Municipality at council chamber, 83 Krogh Street, Makhado 0920</t>
        </is>
      </c>
      <c r="R72" s="3" t="inlineStr">
        <is>
          <t>https://www.etenders.gov.za/home/Download/?blobName=eb5ac349-da62-4c97-afec-fcf010c8f518.pdf&amp;downloadedFileName=Various%20tenders%20for%20May%202026.pdf</t>
        </is>
      </c>
      <c r="S72" t="inlineStr"/>
      <c r="T72" t="inlineStr"/>
      <c r="U72" t="inlineStr"/>
      <c r="V72" t="inlineStr"/>
      <c r="W72" t="inlineStr"/>
    </row>
    <row r="73">
      <c r="A73" s="2" t="n">
        <v>46162</v>
      </c>
      <c r="B73" t="n">
        <v>25</v>
      </c>
      <c r="C73" t="inlineStr">
        <is>
          <t>UMUZ/05/2026</t>
        </is>
      </c>
      <c r="D73" s="2" t="n">
        <v>46157</v>
      </c>
      <c r="E73" s="2" t="n">
        <v>46191</v>
      </c>
      <c r="F73" t="inlineStr">
        <is>
          <t>12:00</t>
        </is>
      </c>
      <c r="G73" t="inlineStr">
        <is>
          <t>Request for Bid(Open-Tender)</t>
        </is>
      </c>
      <c r="H73" t="inlineStr">
        <is>
          <t>DISPOSAL OF LAND OWNED PEOPERTIES</t>
        </is>
      </c>
      <c r="I73" t="inlineStr">
        <is>
          <t>ETENDERS.GOV.ZA</t>
        </is>
      </c>
      <c r="J73" t="inlineStr">
        <is>
          <t>Umuziwabantu Local Municipality</t>
        </is>
      </c>
      <c r="K73" t="inlineStr">
        <is>
          <t>KwaZulu-Natal</t>
        </is>
      </c>
      <c r="L73" t="inlineStr">
        <is>
          <t>No</t>
        </is>
      </c>
      <c r="M73" t="inlineStr">
        <is>
          <t>Disposals: General</t>
        </is>
      </c>
      <c r="N73" t="inlineStr">
        <is>
          <t>No</t>
        </is>
      </c>
      <c r="O73" t="inlineStr">
        <is>
          <t>N/A</t>
        </is>
      </c>
      <c r="P73" t="inlineStr">
        <is>
          <t>No</t>
        </is>
      </c>
      <c r="Q73" t="inlineStr">
        <is>
          <t>N/A</t>
        </is>
      </c>
      <c r="R73" s="3" t="inlineStr">
        <is>
          <t>https://www.etenders.gov.za/home/Download/?blobName=140fc7d5-acf5-49cd-86e0-8a3a386ddeb7.pdf&amp;downloadedFileName=DISPOSAL%20OF%20MUNICIPAL%20OWNED%20PROPERTIES%20DOCUMENT.pdf</t>
        </is>
      </c>
      <c r="S73" t="inlineStr"/>
      <c r="T73" t="inlineStr"/>
      <c r="U73" t="inlineStr"/>
      <c r="V73" t="inlineStr"/>
      <c r="W73" t="inlineStr"/>
    </row>
    <row r="74">
      <c r="A74" s="2" t="n">
        <v>46162</v>
      </c>
      <c r="B74" t="n">
        <v>24</v>
      </c>
      <c r="C74" t="inlineStr">
        <is>
          <t>NDOHF01-2026/2027</t>
        </is>
      </c>
      <c r="D74" s="2" t="n">
        <v>46157</v>
      </c>
      <c r="E74" s="2" t="n">
        <v>46181</v>
      </c>
      <c r="F74" t="inlineStr">
        <is>
          <t>11:00</t>
        </is>
      </c>
      <c r="G74" t="inlineStr">
        <is>
          <t>Request for Bid(Open-Tender)</t>
        </is>
      </c>
      <c r="H74" t="inlineStr">
        <is>
          <t>The appointment of a Service Provider to complete the construction of eThandakukhanya Community Healthcare Centre.</t>
        </is>
      </c>
      <c r="I74" t="inlineStr">
        <is>
          <t>ETENDERS.GOV.ZA</t>
        </is>
      </c>
      <c r="J74" t="inlineStr">
        <is>
          <t>Health</t>
        </is>
      </c>
      <c r="K74" t="inlineStr">
        <is>
          <t>National</t>
        </is>
      </c>
      <c r="L74" t="inlineStr">
        <is>
          <t>No</t>
        </is>
      </c>
      <c r="M74" t="inlineStr">
        <is>
          <t>Construction</t>
        </is>
      </c>
      <c r="N74" t="inlineStr">
        <is>
          <t>Yes</t>
        </is>
      </c>
      <c r="O74" s="2" t="n">
        <v>46168</v>
      </c>
      <c r="P74" t="inlineStr">
        <is>
          <t>Yes</t>
        </is>
      </c>
      <c r="Q74" t="inlineStr">
        <is>
          <t>6th Street, eThandakukhanya CHC, Mkhondo Local Municipality</t>
        </is>
      </c>
      <c r="R74" s="3" t="inlineStr">
        <is>
          <t>https://www.etenders.gov.za/home/Download/?blobName=2e935a33-3e15-42c0-b3f9-8ca14014630b.pdf&amp;downloadedFileName=NDOHF01%202026-2027%20ETHANDAKUKHANYA.pdf</t>
        </is>
      </c>
      <c r="S74" t="inlineStr"/>
      <c r="T74" t="inlineStr"/>
      <c r="U74" t="inlineStr"/>
      <c r="V74" t="inlineStr"/>
      <c r="W74" t="inlineStr"/>
    </row>
    <row r="75">
      <c r="A75" s="2" t="n">
        <v>46162</v>
      </c>
      <c r="B75" t="n">
        <v>23</v>
      </c>
      <c r="C75" t="inlineStr">
        <is>
          <t>RFQ-003/05/2026</t>
        </is>
      </c>
      <c r="D75" s="2" t="n">
        <v>46157</v>
      </c>
      <c r="E75" s="2" t="n">
        <v>46178</v>
      </c>
      <c r="F75" t="inlineStr">
        <is>
          <t>11:00</t>
        </is>
      </c>
      <c r="G75" t="inlineStr">
        <is>
          <t>Request for Quotation</t>
        </is>
      </c>
      <c r="H75" t="inlineStr">
        <is>
          <t>SUPPLY, AND BUILD A PREFAB CLASSROOM FOR 50 STUDENTS - TOURISM PRACTICUM ROOM</t>
        </is>
      </c>
      <c r="I75" t="inlineStr">
        <is>
          <t>ETENDERS.GOV.ZA</t>
        </is>
      </c>
      <c r="J75" t="inlineStr">
        <is>
          <t>IKHALA PUBLIC TVET COLLEGE</t>
        </is>
      </c>
      <c r="K75" t="inlineStr">
        <is>
          <t>Eastern Cape</t>
        </is>
      </c>
      <c r="L75" t="inlineStr">
        <is>
          <t>No</t>
        </is>
      </c>
      <c r="M75" t="inlineStr">
        <is>
          <t>Supplies: General</t>
        </is>
      </c>
      <c r="N75" t="inlineStr">
        <is>
          <t>Yes</t>
        </is>
      </c>
      <c r="O75" s="2" t="n">
        <v>46163</v>
      </c>
      <c r="P75" t="inlineStr">
        <is>
          <t>Yes</t>
        </is>
      </c>
      <c r="Q75" t="inlineStr">
        <is>
          <t>online compulsory information session will be held via MS TEAMS on 21 May 2026. Please visit the col</t>
        </is>
      </c>
      <c r="R75" s="3" t="inlineStr">
        <is>
          <t>https://www.etenders.gov.za/home/Download/?blobName=bd06dbb0-ab11-4a03-ade2-a6a3128d2557.pdf&amp;downloadedFileName=specifications%20practicum%20room%20.pdf</t>
        </is>
      </c>
      <c r="S75" t="inlineStr"/>
      <c r="T75" t="inlineStr"/>
      <c r="U75" t="inlineStr"/>
      <c r="V75" t="inlineStr"/>
      <c r="W75" t="inlineStr"/>
    </row>
    <row r="76">
      <c r="A76" s="2" t="n">
        <v>46162</v>
      </c>
      <c r="B76" t="n">
        <v>22</v>
      </c>
      <c r="C76" t="inlineStr">
        <is>
          <t>ATNS/RFQ/02/2026/32_TECHNICAL SUPPORT_NETWORK DEVI</t>
        </is>
      </c>
      <c r="D76" s="2" t="n">
        <v>46157</v>
      </c>
      <c r="E76" s="2" t="n">
        <v>46171</v>
      </c>
      <c r="F76" t="inlineStr">
        <is>
          <t>11:00</t>
        </is>
      </c>
      <c r="G76" t="inlineStr">
        <is>
          <t>Request for Quotation</t>
        </is>
      </c>
      <c r="H76" t="inlineStr">
        <is>
          <t>APPOINTMENT OF A SERVICE PROVIDER FOR THE SUPPLY AND DELIVERY OF NETWORKING DEVICES AT ATNS KING PHALO AIRPORT FOR A PERIOD OF THREE (3) YEARS ON AN AS-AND-WHEN REQUIRED BASIS</t>
        </is>
      </c>
      <c r="I76" t="inlineStr">
        <is>
          <t>ETENDERS.GOV.ZA</t>
        </is>
      </c>
      <c r="J76" t="inlineStr">
        <is>
          <t>Air Traffic and Navigation Services Company Limited</t>
        </is>
      </c>
      <c r="K76" t="inlineStr">
        <is>
          <t>Eastern Cape</t>
        </is>
      </c>
      <c r="L76" t="inlineStr">
        <is>
          <t>No</t>
        </is>
      </c>
      <c r="M76" t="inlineStr">
        <is>
          <t>Supplies: General</t>
        </is>
      </c>
      <c r="N76" t="inlineStr">
        <is>
          <t>No</t>
        </is>
      </c>
      <c r="O76" t="inlineStr">
        <is>
          <t>N/A</t>
        </is>
      </c>
      <c r="P76" t="inlineStr">
        <is>
          <t>No</t>
        </is>
      </c>
      <c r="Q76" t="inlineStr">
        <is>
          <t>N/A</t>
        </is>
      </c>
      <c r="R76" s="3" t="inlineStr">
        <is>
          <t>https://www.etenders.gov.za/home/Download/?blobName=765c6763-ce14-4f83-baf1-33a533418e36.pdf&amp;downloadedFileName=ATNS%20RFQ%20Network%20devices%20FAEL.pdf</t>
        </is>
      </c>
      <c r="S76" t="inlineStr"/>
      <c r="T76" t="inlineStr"/>
      <c r="U76" t="inlineStr"/>
      <c r="V76" t="inlineStr"/>
      <c r="W76" t="inlineStr"/>
    </row>
    <row r="77">
      <c r="A77" s="2" t="n">
        <v>46162</v>
      </c>
      <c r="B77" t="n">
        <v>21</v>
      </c>
      <c r="C77" t="inlineStr">
        <is>
          <t>TPT/2026/05/0448/5506/RFQ PPA-102733</t>
        </is>
      </c>
      <c r="D77" s="2" t="n">
        <v>46157</v>
      </c>
      <c r="E77" s="2" t="n">
        <v>46164</v>
      </c>
      <c r="F77" t="inlineStr">
        <is>
          <t>12:00</t>
        </is>
      </c>
      <c r="G77" t="inlineStr">
        <is>
          <t>Request for Quotation</t>
        </is>
      </c>
      <c r="H77" t="inlineStr">
        <is>
          <t>PROVISION OF A02 WALKWAY STRUCTURAL REPAIRS FOR TRANSNET PORT TERMINALS IN RICHARDS BAY AS ONCE OFF.</t>
        </is>
      </c>
      <c r="I77" t="inlineStr">
        <is>
          <t>ETENDERS.GOV.ZA</t>
        </is>
      </c>
      <c r="J77" t="inlineStr">
        <is>
          <t>Transnet SOC Ltd</t>
        </is>
      </c>
      <c r="K77" t="inlineStr">
        <is>
          <t>KwaZulu-Natal</t>
        </is>
      </c>
      <c r="L77" t="inlineStr">
        <is>
          <t>No</t>
        </is>
      </c>
      <c r="M77" t="inlineStr">
        <is>
          <t>Other service activities</t>
        </is>
      </c>
      <c r="N77" t="inlineStr">
        <is>
          <t>Yes</t>
        </is>
      </c>
      <c r="O77" t="inlineStr">
        <is>
          <t>N/A</t>
        </is>
      </c>
      <c r="P77" t="inlineStr">
        <is>
          <t>Yes</t>
        </is>
      </c>
      <c r="Q77" t="inlineStr">
        <is>
          <t>Umhlathuze Building Transnet Port Terminals</t>
        </is>
      </c>
      <c r="R77" s="3" t="inlineStr">
        <is>
          <t>https://www.etenders.gov.za/home/Download/?blobName=b01a9856-85c5-43fe-b8f9-bf770ec9eb06.pdf&amp;downloadedFileName=PPA-102733%20-%20RFQ%20to%20market%20-%20A02%20Walkway%20%20rev00.pdf</t>
        </is>
      </c>
      <c r="S77" t="inlineStr"/>
      <c r="T77" t="inlineStr"/>
      <c r="U77" t="inlineStr"/>
      <c r="V77" t="inlineStr"/>
      <c r="W77" t="inlineStr"/>
    </row>
    <row r="78">
      <c r="A78" s="2" t="n">
        <v>46162</v>
      </c>
      <c r="B78" t="n">
        <v>20</v>
      </c>
      <c r="C78" t="inlineStr">
        <is>
          <t>26 /2025/2026</t>
        </is>
      </c>
      <c r="D78" s="2" t="n">
        <v>46157</v>
      </c>
      <c r="E78" s="2" t="n">
        <v>46191</v>
      </c>
      <c r="F78" t="inlineStr">
        <is>
          <t>11:00</t>
        </is>
      </c>
      <c r="G78" t="inlineStr">
        <is>
          <t>Request for Bid(Open-Tender)</t>
        </is>
      </c>
      <c r="H78" t="inlineStr">
        <is>
          <t>PANEL OF SERVICE PROVIDERS FOR THE PROVISION OF SURVEYING SERVICES FROM 20262027 TO 20282029 FINANCIAL YEARS (3 YEARS CONTRACT)</t>
        </is>
      </c>
      <c r="I78" t="inlineStr">
        <is>
          <t>ETENDERS.GOV.ZA</t>
        </is>
      </c>
      <c r="J78" t="inlineStr">
        <is>
          <t>Thulamela Local Municipality</t>
        </is>
      </c>
      <c r="K78" t="inlineStr">
        <is>
          <t>Limpopo</t>
        </is>
      </c>
      <c r="L78" t="inlineStr">
        <is>
          <t>No</t>
        </is>
      </c>
      <c r="M78" t="inlineStr">
        <is>
          <t>Administrative and support activities</t>
        </is>
      </c>
      <c r="N78" t="inlineStr">
        <is>
          <t>No</t>
        </is>
      </c>
      <c r="O78" t="inlineStr">
        <is>
          <t>N/A</t>
        </is>
      </c>
      <c r="P78" t="inlineStr">
        <is>
          <t>No</t>
        </is>
      </c>
      <c r="Q78" t="inlineStr">
        <is>
          <t>N/A</t>
        </is>
      </c>
      <c r="R78" s="3" t="inlineStr">
        <is>
          <t>https://www.etenders.gov.za/home/Download/?blobName=52bee8f2-1b5e-4026-ba90-c487a7918cf6.pdf&amp;downloadedFileName=PANEL%20OF%20SERVICE%20PROVIDERS%20FOR%20THE%20PROVISION%20OF%20SURVEYING%20SERVICES%20FROM%2020262027%20TO%2020282029%20FINANCIAL%20YEARS%20(3%20YEARS%20CONTRACT)-05142026150606.pdf</t>
        </is>
      </c>
      <c r="S78" t="inlineStr"/>
      <c r="T78" t="inlineStr"/>
      <c r="U78" t="inlineStr"/>
      <c r="V78" t="inlineStr"/>
      <c r="W78" t="inlineStr"/>
    </row>
    <row r="79">
      <c r="A79" s="2" t="n">
        <v>46162</v>
      </c>
      <c r="B79" t="n">
        <v>19</v>
      </c>
      <c r="C79" t="inlineStr">
        <is>
          <t>Q 2026/011</t>
        </is>
      </c>
      <c r="D79" s="2" t="n">
        <v>46157</v>
      </c>
      <c r="E79" s="2" t="n">
        <v>46169</v>
      </c>
      <c r="F79" t="inlineStr">
        <is>
          <t>11:00</t>
        </is>
      </c>
      <c r="G79" t="inlineStr">
        <is>
          <t>Request for Bid(Limited-Tender</t>
        </is>
      </c>
      <c r="H79" t="inlineStr">
        <is>
          <t>FINANCIAL ACCOUNTING ADVISORY AND GRAP STANDARDS SUPPORT SERVICES FOR THE CAPE WINELANDS DISTRICT MUNICIPALITY</t>
        </is>
      </c>
      <c r="I79" t="inlineStr">
        <is>
          <t>ETENDERS.GOV.ZA</t>
        </is>
      </c>
      <c r="J79" t="inlineStr">
        <is>
          <t>Cape Winelands District Municipality</t>
        </is>
      </c>
      <c r="K79" t="inlineStr">
        <is>
          <t>Western Cape</t>
        </is>
      </c>
      <c r="L79" t="inlineStr">
        <is>
          <t>No</t>
        </is>
      </c>
      <c r="M79" t="inlineStr">
        <is>
          <t>Services: Professional</t>
        </is>
      </c>
      <c r="N79" t="inlineStr">
        <is>
          <t>No</t>
        </is>
      </c>
      <c r="O79" t="inlineStr">
        <is>
          <t>N/A</t>
        </is>
      </c>
      <c r="P79" t="inlineStr">
        <is>
          <t>No</t>
        </is>
      </c>
      <c r="Q79" t="inlineStr">
        <is>
          <t>N/A</t>
        </is>
      </c>
      <c r="R79" s="3" t="inlineStr">
        <is>
          <t>https://www.etenders.gov.za/home/Download/?blobName=14b2cfcf-bbde-4d80-905d-100c8fe0b550.pdf&amp;downloadedFileName=Q2026%20011%20DOC.pdf</t>
        </is>
      </c>
      <c r="S79" t="inlineStr"/>
      <c r="T79" t="inlineStr"/>
      <c r="U79" t="inlineStr"/>
      <c r="V79" t="inlineStr"/>
      <c r="W79" t="inlineStr"/>
    </row>
    <row r="80">
      <c r="A80" s="2" t="n">
        <v>46162</v>
      </c>
      <c r="B80" t="n">
        <v>18</v>
      </c>
      <c r="C80" t="inlineStr">
        <is>
          <t>8/2/RNM0637</t>
        </is>
      </c>
      <c r="D80" s="2" t="n">
        <v>46157</v>
      </c>
      <c r="E80" s="2" t="n">
        <v>46192</v>
      </c>
      <c r="F80" t="inlineStr">
        <is>
          <t>12:00</t>
        </is>
      </c>
      <c r="G80" t="inlineStr">
        <is>
          <t>Request for Bid(Open-Tender)</t>
        </is>
      </c>
      <c r="H80" t="inlineStr">
        <is>
          <t>CONSTRUCTION OF NGQUMBELA VEHICULAR BRIDGE IN WARD 7</t>
        </is>
      </c>
      <c r="I80" t="inlineStr">
        <is>
          <t>ETENDERS.GOV.ZA</t>
        </is>
      </c>
      <c r="J80" t="inlineStr">
        <is>
          <t>Ray Nkonyeni Local Municipality</t>
        </is>
      </c>
      <c r="K80" t="inlineStr">
        <is>
          <t>KwaZulu-Natal</t>
        </is>
      </c>
      <c r="L80" t="inlineStr">
        <is>
          <t>No</t>
        </is>
      </c>
      <c r="M80" t="inlineStr">
        <is>
          <t>Services: Civil</t>
        </is>
      </c>
      <c r="N80" t="inlineStr">
        <is>
          <t>Yes</t>
        </is>
      </c>
      <c r="O80" s="2" t="n">
        <v>46164</v>
      </c>
      <c r="P80" t="inlineStr">
        <is>
          <t>Yes</t>
        </is>
      </c>
      <c r="Q80" t="inlineStr">
        <is>
          <t>No1 Protea Rd, Marburg, Port Shepstone, 4240</t>
        </is>
      </c>
      <c r="R80" s="3" t="inlineStr">
        <is>
          <t>https://www.etenders.gov.za/home/Download/?blobName=4456e8c0-9813-429b-8812-56dc031bf322.pdf&amp;downloadedFileName=NGQUMBELO%20BRIDGE%20Ward%207%20final%20Rev%20june.pdf</t>
        </is>
      </c>
      <c r="S80" t="inlineStr"/>
      <c r="T80" t="inlineStr"/>
      <c r="U80" t="inlineStr"/>
      <c r="V80" t="inlineStr"/>
      <c r="W80" t="inlineStr"/>
    </row>
    <row r="81">
      <c r="A81" s="2" t="n">
        <v>46162</v>
      </c>
      <c r="B81" t="n">
        <v>17</v>
      </c>
      <c r="C81" t="inlineStr">
        <is>
          <t>ITVETC-003/05/2026</t>
        </is>
      </c>
      <c r="D81" s="2" t="n">
        <v>46157</v>
      </c>
      <c r="E81" s="2" t="n">
        <v>46196</v>
      </c>
      <c r="F81" t="inlineStr">
        <is>
          <t>11:00</t>
        </is>
      </c>
      <c r="G81" t="inlineStr">
        <is>
          <t>Request for Bid(Open-Tender)</t>
        </is>
      </c>
      <c r="H81" t="inlineStr">
        <is>
          <t>CONSTRUCTION OF PHOTOVOITAIC TRAINING STRUCTURE -PHASE 1 (MINI SOLAR FARM) CIDB GRADE 4GB/EP</t>
        </is>
      </c>
      <c r="I81" t="inlineStr">
        <is>
          <t>ETENDERS.GOV.ZA</t>
        </is>
      </c>
      <c r="J81" t="inlineStr">
        <is>
          <t>IKHALA PUBLIC TVET COLLEGE</t>
        </is>
      </c>
      <c r="K81" t="inlineStr">
        <is>
          <t>Eastern Cape</t>
        </is>
      </c>
      <c r="L81" t="inlineStr">
        <is>
          <t>No</t>
        </is>
      </c>
      <c r="M81" t="inlineStr">
        <is>
          <t>Construction</t>
        </is>
      </c>
      <c r="N81" t="inlineStr">
        <is>
          <t>Yes</t>
        </is>
      </c>
      <c r="O81" s="2" t="n">
        <v>46167</v>
      </c>
      <c r="P81" t="inlineStr">
        <is>
          <t>Yes</t>
        </is>
      </c>
      <c r="Q81" t="inlineStr">
        <is>
          <t>A compulsory physical site briefing to be held on 25 May 2026@11:00am</t>
        </is>
      </c>
      <c r="R81" s="3" t="inlineStr">
        <is>
          <t>https://www.etenders.gov.za/home/Download/?blobName=78698076-44cd-44cf-95e5-03fd3a5a5a11.pdf&amp;downloadedFileName=0014_100-02-A1%20-%20KLIP-LOK%20ROOF%20SHEETING%20WITH%20SOLAR%20PANELS.pdf</t>
        </is>
      </c>
      <c r="S81" t="inlineStr"/>
      <c r="T81" t="inlineStr"/>
      <c r="U81" t="inlineStr"/>
      <c r="V81" t="inlineStr"/>
      <c r="W81" t="inlineStr"/>
    </row>
    <row r="82">
      <c r="A82" s="2" t="n">
        <v>46162</v>
      </c>
      <c r="B82" t="n">
        <v>16</v>
      </c>
      <c r="C82" t="inlineStr">
        <is>
          <t>ATNS/RFQ/03/2026/49/FAPE_VEHICLE RADIO</t>
        </is>
      </c>
      <c r="D82" s="2" t="n">
        <v>46157</v>
      </c>
      <c r="E82" s="2" t="n">
        <v>46171</v>
      </c>
      <c r="F82" t="inlineStr">
        <is>
          <t>11:00</t>
        </is>
      </c>
      <c r="G82" t="inlineStr">
        <is>
          <t>Request for Quotation</t>
        </is>
      </c>
      <c r="H82" t="inlineStr">
        <is>
          <t>APPOINTMENT OF A SERVICE PROVIDER FOR THE SUPPLY AND DELIVERY VEHILCE RADIOS FOR ATNS PORT ELIZABETH INTERNATIONAL AIRPORT (FAPE) – ONCE OFF PURCHASE</t>
        </is>
      </c>
      <c r="I82" t="inlineStr">
        <is>
          <t>ETENDERS.GOV.ZA</t>
        </is>
      </c>
      <c r="J82" t="inlineStr">
        <is>
          <t>Air Traffic and Navigation Services Company Limited</t>
        </is>
      </c>
      <c r="K82" t="inlineStr">
        <is>
          <t>Eastern Cape</t>
        </is>
      </c>
      <c r="L82" t="inlineStr">
        <is>
          <t>No</t>
        </is>
      </c>
      <c r="M82" t="inlineStr">
        <is>
          <t>Telecommunications</t>
        </is>
      </c>
      <c r="N82" t="inlineStr">
        <is>
          <t>Yes</t>
        </is>
      </c>
      <c r="O82" t="inlineStr">
        <is>
          <t>N/A</t>
        </is>
      </c>
      <c r="P82" t="inlineStr">
        <is>
          <t>Yes</t>
        </is>
      </c>
      <c r="Q82" t="inlineStr">
        <is>
          <t>N/A</t>
        </is>
      </c>
      <c r="R82" s="3" t="inlineStr">
        <is>
          <t>https://www.etenders.gov.za/home/Download/?blobName=7c38075c-831e-4c74-8acd-90ae117b9a84.pdf&amp;downloadedFileName=ATNS%20RFQ%20-%20Vehicle%20Radios%20FAPE.pdf</t>
        </is>
      </c>
      <c r="S82" t="inlineStr"/>
      <c r="T82" t="inlineStr"/>
      <c r="U82" t="inlineStr"/>
      <c r="V82" t="inlineStr"/>
      <c r="W82" t="inlineStr"/>
    </row>
    <row r="83">
      <c r="A83" s="2" t="n">
        <v>46162</v>
      </c>
      <c r="B83" t="n">
        <v>15</v>
      </c>
      <c r="C83" t="inlineStr">
        <is>
          <t>ATNS/RFQ/03/2026/50/FAPE_MOBILE RADIO</t>
        </is>
      </c>
      <c r="D83" s="2" t="n">
        <v>46157</v>
      </c>
      <c r="E83" s="2" t="n">
        <v>46171</v>
      </c>
      <c r="F83" t="inlineStr">
        <is>
          <t>11:00</t>
        </is>
      </c>
      <c r="G83" t="inlineStr">
        <is>
          <t>Request for Quotation</t>
        </is>
      </c>
      <c r="H83" t="inlineStr">
        <is>
          <t>APPOINTMENT OF A SERVICE PROVIDER FOR THE SUPPLY AND DELIVERY MOBILE RADIOS FOR ATNS PORT ELIZABETH INTERNATIONAL AIRPORT (FAPE) – ONCE OFF PURCHASE</t>
        </is>
      </c>
      <c r="I83" t="inlineStr">
        <is>
          <t>ETENDERS.GOV.ZA</t>
        </is>
      </c>
      <c r="J83" t="inlineStr">
        <is>
          <t>Air Traffic and Navigation Services Company Limited</t>
        </is>
      </c>
      <c r="K83" t="inlineStr">
        <is>
          <t>Eastern Cape</t>
        </is>
      </c>
      <c r="L83" t="inlineStr">
        <is>
          <t>No</t>
        </is>
      </c>
      <c r="M83" t="inlineStr">
        <is>
          <t>Telecommunications</t>
        </is>
      </c>
      <c r="N83" t="inlineStr">
        <is>
          <t>No</t>
        </is>
      </c>
      <c r="O83" t="inlineStr">
        <is>
          <t>N/A</t>
        </is>
      </c>
      <c r="P83" t="inlineStr">
        <is>
          <t>No</t>
        </is>
      </c>
      <c r="Q83" t="inlineStr">
        <is>
          <t>N/A</t>
        </is>
      </c>
      <c r="R83" s="3" t="inlineStr">
        <is>
          <t>https://www.etenders.gov.za/home/Download/?blobName=c979a539-dde5-40ee-b118-a9805910e530.pdf&amp;downloadedFileName=ATNS%20RFQ%20-%20Mobile%20Radios%20FAPE.pdf</t>
        </is>
      </c>
      <c r="S83" t="inlineStr"/>
      <c r="T83" t="inlineStr"/>
      <c r="U83" t="inlineStr"/>
      <c r="V83" t="inlineStr"/>
      <c r="W83" t="inlineStr"/>
    </row>
    <row r="84">
      <c r="A84" s="2" t="n">
        <v>46162</v>
      </c>
      <c r="B84" t="n">
        <v>14</v>
      </c>
      <c r="C84" t="inlineStr">
        <is>
          <t>F (R) 08/2026</t>
        </is>
      </c>
      <c r="D84" s="2" t="n">
        <v>46157</v>
      </c>
      <c r="E84" s="2" t="n">
        <v>46191</v>
      </c>
      <c r="F84" t="inlineStr">
        <is>
          <t>11:00</t>
        </is>
      </c>
      <c r="G84" t="inlineStr">
        <is>
          <t>Request for Bid(Open-Tender)</t>
        </is>
      </c>
      <c r="H84" t="inlineStr">
        <is>
          <t>TENDERS ARE INVITED FROM EXPERIENCED AND SUITABLY QUALIFIED SERVICES PROVIDER FOR THE PROVISION OF OUTLETS OR FACILITIES FOR THE RECEIPTING OF MUNICIPAL ACCOUNT PAYMENTS AND THE VENDING OF PREPAID WATER AND ELECTRICITY INCLUDING PROVISION AND MAINTENANCE OF A VENDING SYSTEM FOR A PERIOD OF THREE (3) YEARS.</t>
        </is>
      </c>
      <c r="I84" t="inlineStr">
        <is>
          <t>ETENDERS.GOV.ZA</t>
        </is>
      </c>
      <c r="J84" t="inlineStr">
        <is>
          <t>Mogale City Local Municipality</t>
        </is>
      </c>
      <c r="K84" t="inlineStr">
        <is>
          <t>Gauteng</t>
        </is>
      </c>
      <c r="L84" t="inlineStr">
        <is>
          <t>No</t>
        </is>
      </c>
      <c r="M84" t="inlineStr">
        <is>
          <t>Other service activities</t>
        </is>
      </c>
      <c r="N84" t="inlineStr">
        <is>
          <t>Yes</t>
        </is>
      </c>
      <c r="O84" s="2" t="n">
        <v>46169</v>
      </c>
      <c r="P84" t="inlineStr">
        <is>
          <t>Yes</t>
        </is>
      </c>
      <c r="Q84" t="inlineStr">
        <is>
          <t>Mayoral Parlour, Civic Centre, Corner Commissioner and Market Street, Krugersdorp, 1740</t>
        </is>
      </c>
      <c r="R84" s="3" t="inlineStr">
        <is>
          <t>https://www.etenders.gov.za/home/Download/?blobName=678370bd-2e92-4e76-bda8-981fd01c5a1b.pdf&amp;downloadedFileName=F%20(R)%2008-2026.pdf</t>
        </is>
      </c>
      <c r="S84" t="inlineStr"/>
      <c r="T84" t="inlineStr"/>
      <c r="U84" t="inlineStr"/>
      <c r="V84" t="inlineStr"/>
      <c r="W84" t="inlineStr"/>
    </row>
    <row r="85">
      <c r="A85" s="2" t="n">
        <v>46162</v>
      </c>
      <c r="B85" t="n">
        <v>13</v>
      </c>
      <c r="C85" t="inlineStr">
        <is>
          <t>IDS (R&amp;T) 14/2026</t>
        </is>
      </c>
      <c r="D85" s="2" t="n">
        <v>46157</v>
      </c>
      <c r="E85" s="2" t="n">
        <v>46190</v>
      </c>
      <c r="F85" t="inlineStr">
        <is>
          <t>11:00</t>
        </is>
      </c>
      <c r="G85" t="inlineStr">
        <is>
          <t>Request for Bid(Open-Tender)</t>
        </is>
      </c>
      <c r="H85" t="inlineStr">
        <is>
          <t>TENDERS ARE HEREBY INVITED FOR THE APPOINTMENT OF SERVICE PROVIDER/S FOR HIRE OF VARIOUS SMALL PLANT AND EQUIPMENT FOR MOGALE CITY LOCAL MUNICIPALITY ON AN AS AND WHEN REQUIRED BASIS FOR A PERIOD OF THIRTY-SIX (36) MONTHS.</t>
        </is>
      </c>
      <c r="I85" t="inlineStr">
        <is>
          <t>ETENDERS.GOV.ZA</t>
        </is>
      </c>
      <c r="J85" t="inlineStr">
        <is>
          <t>Mogale City Local Municipality</t>
        </is>
      </c>
      <c r="K85" t="inlineStr">
        <is>
          <t>Gauteng</t>
        </is>
      </c>
      <c r="L85" t="inlineStr">
        <is>
          <t>No</t>
        </is>
      </c>
      <c r="M85" t="inlineStr">
        <is>
          <t>Other service activities</t>
        </is>
      </c>
      <c r="N85" t="inlineStr">
        <is>
          <t>Yes</t>
        </is>
      </c>
      <c r="O85" s="2" t="n">
        <v>46169</v>
      </c>
      <c r="P85" t="inlineStr">
        <is>
          <t>Yes</t>
        </is>
      </c>
      <c r="Q85" t="inlineStr">
        <is>
          <t>Mayoral Chamber, Civic Centre, Corner Commissioner and Market Street, Krugersdorp, 1740</t>
        </is>
      </c>
      <c r="R85" s="3" t="inlineStr">
        <is>
          <t>https://www.etenders.gov.za/home/Download/?blobName=e4a1f1b8-a695-49b3-9e0b-0217b18cc09f.pdf&amp;downloadedFileName=IDS%20(R&amp;T)%2014-2026.pdf</t>
        </is>
      </c>
      <c r="S85" t="inlineStr"/>
      <c r="T85" t="inlineStr"/>
      <c r="U85" t="inlineStr"/>
      <c r="V85" t="inlineStr"/>
      <c r="W85" t="inlineStr"/>
    </row>
    <row r="86">
      <c r="A86" s="2" t="n">
        <v>46162</v>
      </c>
      <c r="B86" t="n">
        <v>12</v>
      </c>
      <c r="C86" t="inlineStr">
        <is>
          <t>WCGHSC 0366/2026</t>
        </is>
      </c>
      <c r="D86" s="2" t="n">
        <v>46157</v>
      </c>
      <c r="E86" s="2" t="n">
        <v>46185</v>
      </c>
      <c r="F86" t="inlineStr">
        <is>
          <t>11:00</t>
        </is>
      </c>
      <c r="G86" t="inlineStr">
        <is>
          <t>Request for Bid(Open-Tender)</t>
        </is>
      </c>
      <c r="H86" t="inlineStr">
        <is>
          <t>PROVISION OF RENDERING OF TELEPHONIC INTERPRETATION SERVICE FOR THE DEPARTMENT OF HEALTH AND WELLNESS, WESTERN CAPE GOVERNMENT, FOR A FOUR (4) YEAR PERIOD.</t>
        </is>
      </c>
      <c r="I86" t="inlineStr">
        <is>
          <t>ETENDERS.GOV.ZA</t>
        </is>
      </c>
      <c r="J86" t="inlineStr">
        <is>
          <t>Western Cape - Health</t>
        </is>
      </c>
      <c r="K86" t="inlineStr">
        <is>
          <t>Western Cape</t>
        </is>
      </c>
      <c r="L86" t="inlineStr">
        <is>
          <t>No</t>
        </is>
      </c>
      <c r="M86" t="inlineStr">
        <is>
          <t>Activities of head offices; management consultancy activities</t>
        </is>
      </c>
      <c r="N86" t="inlineStr">
        <is>
          <t>No</t>
        </is>
      </c>
      <c r="O86" t="inlineStr">
        <is>
          <t>N/A</t>
        </is>
      </c>
      <c r="P86" t="inlineStr">
        <is>
          <t>No</t>
        </is>
      </c>
      <c r="Q86" t="inlineStr">
        <is>
          <t>N/A</t>
        </is>
      </c>
      <c r="R86" s="3" t="inlineStr">
        <is>
          <t>https://www.etenders.gov.za/home/Download/?blobName=a48ee881-6bbf-42a7-9f6e-350dac245216.pdf&amp;downloadedFileName=Advertised%20Bid%20Document%20WCGHSC0366-2026%20Final.pdf</t>
        </is>
      </c>
      <c r="S86" t="inlineStr"/>
      <c r="T86" t="inlineStr"/>
      <c r="U86" t="inlineStr"/>
      <c r="V86" t="inlineStr"/>
      <c r="W86" t="inlineStr"/>
    </row>
    <row r="87">
      <c r="A87" s="2" t="n">
        <v>46162</v>
      </c>
      <c r="B87" t="n">
        <v>11</v>
      </c>
      <c r="C87" t="inlineStr">
        <is>
          <t>243S/2025/26</t>
        </is>
      </c>
      <c r="D87" s="2" t="n">
        <v>46157</v>
      </c>
      <c r="E87" s="2" t="n">
        <v>46197</v>
      </c>
      <c r="F87" t="inlineStr">
        <is>
          <t>10:00</t>
        </is>
      </c>
      <c r="G87" t="inlineStr">
        <is>
          <t>Request for Proposal</t>
        </is>
      </c>
      <c r="H87" t="inlineStr">
        <is>
          <t>HIRE OF HEAVY MECHANICAL EQUIPMENT AND HEAVY VEHICLES</t>
        </is>
      </c>
      <c r="I87" t="inlineStr">
        <is>
          <t>ETENDERS.GOV.ZA</t>
        </is>
      </c>
      <c r="J87" t="inlineStr">
        <is>
          <t>City of Cape Town</t>
        </is>
      </c>
      <c r="K87" t="inlineStr">
        <is>
          <t>Western Cape</t>
        </is>
      </c>
      <c r="L87" t="inlineStr">
        <is>
          <t>No</t>
        </is>
      </c>
      <c r="M87" t="inlineStr">
        <is>
          <t>Services: General</t>
        </is>
      </c>
      <c r="N87" t="inlineStr">
        <is>
          <t>Yes</t>
        </is>
      </c>
      <c r="O87" s="2" t="n">
        <v>46171</v>
      </c>
      <c r="P87" t="inlineStr">
        <is>
          <t>No</t>
        </is>
      </c>
      <c r="Q87" t="inlineStr">
        <is>
          <t>Meeting ID: 360 305 268 732 572 Passcode: vA26ER7j</t>
        </is>
      </c>
      <c r="R87" s="3" t="inlineStr">
        <is>
          <t>https://www.etenders.gov.za/home/Download/?blobName=49ee2a6d-d398-4e4b-9abb-7192fa27ce77.pdf&amp;downloadedFileName=243S_2025_26_Tender%20Document%20_%20%20Final%2011.05.26.pdf</t>
        </is>
      </c>
      <c r="S87" t="inlineStr"/>
      <c r="T87" t="inlineStr"/>
      <c r="U87" t="inlineStr"/>
      <c r="V87" t="inlineStr"/>
      <c r="W87" t="inlineStr"/>
    </row>
    <row r="88">
      <c r="A88" s="2" t="n">
        <v>46162</v>
      </c>
      <c r="B88" t="n">
        <v>10</v>
      </c>
      <c r="C88" t="inlineStr">
        <is>
          <t>14/2026.</t>
        </is>
      </c>
      <c r="D88" s="2" t="n">
        <v>46157</v>
      </c>
      <c r="E88" s="2" t="n">
        <v>46196</v>
      </c>
      <c r="F88" t="inlineStr">
        <is>
          <t>11:00</t>
        </is>
      </c>
      <c r="G88" t="inlineStr">
        <is>
          <t>Request for Proposal</t>
        </is>
      </c>
      <c r="H88" t="inlineStr">
        <is>
          <t>Provision of Office Accommodation for a period of up to five (5) years in respect of Kariega (Uitenhage) Local Office</t>
        </is>
      </c>
      <c r="I88" t="inlineStr">
        <is>
          <t>ETENDERS.GOV.ZA</t>
        </is>
      </c>
      <c r="J88" t="inlineStr">
        <is>
          <t>Legal Aid South Africa</t>
        </is>
      </c>
      <c r="K88" t="inlineStr">
        <is>
          <t>Eastern Cape</t>
        </is>
      </c>
      <c r="L88" t="inlineStr">
        <is>
          <t>No</t>
        </is>
      </c>
      <c r="M88" t="inlineStr">
        <is>
          <t>Accommodation</t>
        </is>
      </c>
      <c r="N88" t="inlineStr">
        <is>
          <t>Yes</t>
        </is>
      </c>
      <c r="O88" s="2" t="n">
        <v>46175</v>
      </c>
      <c r="P88" t="inlineStr">
        <is>
          <t>No</t>
        </is>
      </c>
      <c r="Q88" t="inlineStr">
        <is>
          <t>32-36 Baird Street, Kariega, 6230</t>
        </is>
      </c>
      <c r="R88" s="3" t="inlineStr">
        <is>
          <t>https://www.etenders.gov.za/home/Download/?blobName=f8987fc8-6b74-424b-b6c2-3932c11367f1.pdf&amp;downloadedFileName=Property%20Specification%20Uitenhage%20Kariega%20May%202026.pdf</t>
        </is>
      </c>
      <c r="S88" t="inlineStr"/>
      <c r="T88" t="inlineStr"/>
      <c r="U88" t="inlineStr"/>
      <c r="V88" t="inlineStr"/>
      <c r="W88" t="inlineStr"/>
    </row>
    <row r="89">
      <c r="A89" s="2" t="n">
        <v>46162</v>
      </c>
      <c r="B89" t="n">
        <v>9</v>
      </c>
      <c r="C89" t="inlineStr">
        <is>
          <t>TENDER 19/2026</t>
        </is>
      </c>
      <c r="D89" s="2" t="n">
        <v>46157</v>
      </c>
      <c r="E89" s="2" t="n">
        <v>46192</v>
      </c>
      <c r="F89" t="inlineStr">
        <is>
          <t>12:00</t>
        </is>
      </c>
      <c r="G89" t="inlineStr">
        <is>
          <t>Request for Bid(Open-Tender)</t>
        </is>
      </c>
      <c r="H89" t="inlineStr">
        <is>
          <t>UPGRADING OF THE ROBERTSON PRECINCT</t>
        </is>
      </c>
      <c r="I89" t="inlineStr">
        <is>
          <t>ETENDERS.GOV.ZA</t>
        </is>
      </c>
      <c r="J89" t="inlineStr">
        <is>
          <t>Langeberg Municipality</t>
        </is>
      </c>
      <c r="K89" t="inlineStr">
        <is>
          <t>Western Cape</t>
        </is>
      </c>
      <c r="L89" t="inlineStr">
        <is>
          <t>No</t>
        </is>
      </c>
      <c r="M89" t="inlineStr">
        <is>
          <t>Civil engineering</t>
        </is>
      </c>
      <c r="N89" t="inlineStr">
        <is>
          <t>Yes</t>
        </is>
      </c>
      <c r="O89" s="2" t="n">
        <v>46168</v>
      </c>
      <c r="P89" t="inlineStr">
        <is>
          <t>Yes</t>
        </is>
      </c>
      <c r="Q89" t="inlineStr">
        <is>
          <t>ROBERTSON MUNICIPAL OFFICES – TOWN HALL, 52 CHURCH STREET, ROBERTSON. NO LATE COMERS WILL BE ADMITTE</t>
        </is>
      </c>
      <c r="R89" s="3" t="inlineStr">
        <is>
          <t>https://www.etenders.gov.za/home/Download/?blobName=762d1296-a61c-43c7-9c5f-c08220779b8c.pdf&amp;downloadedFileName=ENDER%2019.pdf</t>
        </is>
      </c>
      <c r="S89" t="inlineStr"/>
      <c r="T89" t="inlineStr"/>
      <c r="U89" t="inlineStr"/>
      <c r="V89" t="inlineStr"/>
      <c r="W89" t="inlineStr"/>
    </row>
    <row r="90">
      <c r="A90" s="2" t="n">
        <v>46162</v>
      </c>
      <c r="B90" t="n">
        <v>8</v>
      </c>
      <c r="C90" t="inlineStr">
        <is>
          <t>5/2/1/1/(2025-2026) 84</t>
        </is>
      </c>
      <c r="D90" s="2" t="n">
        <v>46157</v>
      </c>
      <c r="E90" s="2" t="n">
        <v>46168</v>
      </c>
      <c r="F90" t="inlineStr">
        <is>
          <t>11:00</t>
        </is>
      </c>
      <c r="G90" t="inlineStr">
        <is>
          <t>Request for Quotation</t>
        </is>
      </c>
      <c r="H90" t="inlineStr">
        <is>
          <t>APPOINTMENT OF A SERVICE PROVIDER TO SUPPLY AND DELIVER DIAMOND MESH WIRE</t>
        </is>
      </c>
      <c r="I90" t="inlineStr">
        <is>
          <t>ETENDERS.GOV.ZA</t>
        </is>
      </c>
      <c r="J90" t="inlineStr">
        <is>
          <t>National - Department of Agriculture</t>
        </is>
      </c>
      <c r="K90" t="inlineStr">
        <is>
          <t>National</t>
        </is>
      </c>
      <c r="L90" t="inlineStr">
        <is>
          <t>No</t>
        </is>
      </c>
      <c r="M90" t="inlineStr">
        <is>
          <t>Services: General</t>
        </is>
      </c>
      <c r="N90" t="inlineStr">
        <is>
          <t>No</t>
        </is>
      </c>
      <c r="O90" t="inlineStr">
        <is>
          <t>N/A</t>
        </is>
      </c>
      <c r="P90" t="inlineStr">
        <is>
          <t>No</t>
        </is>
      </c>
      <c r="Q90" t="inlineStr">
        <is>
          <t>N/A</t>
        </is>
      </c>
      <c r="R90" s="3" t="inlineStr">
        <is>
          <t>https://www.etenders.gov.za/home/Download/?blobName=d1e41f98-0e0f-41c0-b402-ea04125b1ac8.pdf&amp;downloadedFileName=84%20Diamond%20Mesh%20Wire.pdf</t>
        </is>
      </c>
      <c r="S90" t="inlineStr"/>
      <c r="T90" t="inlineStr"/>
      <c r="U90" t="inlineStr"/>
      <c r="V90" t="inlineStr"/>
      <c r="W90" t="inlineStr"/>
    </row>
    <row r="91">
      <c r="A91" s="2" t="n">
        <v>46162</v>
      </c>
      <c r="B91" t="n">
        <v>7</v>
      </c>
      <c r="C91" t="inlineStr">
        <is>
          <t>E2832DXKZNOU</t>
        </is>
      </c>
      <c r="D91" s="2" t="n">
        <v>46157</v>
      </c>
      <c r="E91" s="2" t="n">
        <v>46174</v>
      </c>
      <c r="F91" t="inlineStr">
        <is>
          <t>10:00</t>
        </is>
      </c>
      <c r="G91" t="inlineStr">
        <is>
          <t>Request for Bid(Open-Tender)</t>
        </is>
      </c>
      <c r="H91" t="inlineStr">
        <is>
          <t>The manufacture, test, supply and delivery of estimated quantities of master locks (Padlocks) and keys for use on electrical and related equipment on an ‘as and when’ required basis within Distribution, Central East Cluster- KwaZulu Natal Operating Unit (KZN OU), for a period of thirty-six (36) months. The tender shall be for the whole or part of the contract and is open to all tenderers including manufacturers, distributors, resellers etc</t>
        </is>
      </c>
      <c r="I91" t="inlineStr">
        <is>
          <t>ETENDERS.GOV.ZA</t>
        </is>
      </c>
      <c r="J91" t="inlineStr">
        <is>
          <t>ESKOM</t>
        </is>
      </c>
      <c r="K91" t="inlineStr">
        <is>
          <t>KwaZulu-Natal</t>
        </is>
      </c>
      <c r="L91" t="inlineStr">
        <is>
          <t>No</t>
        </is>
      </c>
      <c r="M91" t="inlineStr">
        <is>
          <t>Manufacture of electrical equipment</t>
        </is>
      </c>
      <c r="N91" t="inlineStr">
        <is>
          <t>Yes</t>
        </is>
      </c>
      <c r="O91" s="2" t="n">
        <v>46150</v>
      </c>
      <c r="P91" t="inlineStr">
        <is>
          <t>No</t>
        </is>
      </c>
      <c r="Q91" t="inlineStr">
        <is>
          <t>Online via Microsoft Teams - https://teams.microsoft.com/meet/391706565102274?p=JTy qPEd3LD49j2t2kL</t>
        </is>
      </c>
      <c r="R91" s="3" t="inlineStr">
        <is>
          <t>https://www.etenders.gov.za/home/Download/?blobName=9851141e-34e7-415e-8df3-0307d655ba05.zip&amp;downloadedFileName=Section%202%20-%20SDL%20&amp;%20I%20Requirements.zip</t>
        </is>
      </c>
      <c r="S91" t="inlineStr"/>
      <c r="T91" t="inlineStr"/>
      <c r="U91" t="inlineStr"/>
      <c r="V91" t="inlineStr"/>
      <c r="W91" t="inlineStr"/>
    </row>
    <row r="92">
      <c r="A92" s="2" t="n">
        <v>46162</v>
      </c>
      <c r="B92" t="n">
        <v>6</v>
      </c>
      <c r="C92" t="inlineStr">
        <is>
          <t>KLM/BET/SEWR/02/25-26</t>
        </is>
      </c>
      <c r="D92" s="2" t="n">
        <v>46157</v>
      </c>
      <c r="E92" s="2" t="n">
        <v>46188</v>
      </c>
      <c r="F92" t="inlineStr">
        <is>
          <t>12:00</t>
        </is>
      </c>
      <c r="G92" t="inlineStr">
        <is>
          <t>Request for Bid(Open-Tender)</t>
        </is>
      </c>
      <c r="H92" t="inlineStr">
        <is>
          <t>Bethulie: Upgrading, Repairing, Refurbishment of Sewer Pump Stations, Sewer Rising Mains and Sewer Pipelines.</t>
        </is>
      </c>
      <c r="I92" t="inlineStr">
        <is>
          <t>ETENDERS.GOV.ZA</t>
        </is>
      </c>
      <c r="J92" t="inlineStr">
        <is>
          <t>Kopanong Local Municipality</t>
        </is>
      </c>
      <c r="K92" t="inlineStr">
        <is>
          <t>Free State</t>
        </is>
      </c>
      <c r="L92" t="inlineStr">
        <is>
          <t>No</t>
        </is>
      </c>
      <c r="M92" t="inlineStr">
        <is>
          <t>Sewerage</t>
        </is>
      </c>
      <c r="N92" t="inlineStr">
        <is>
          <t>Yes</t>
        </is>
      </c>
      <c r="O92" s="2" t="n">
        <v>46164</v>
      </c>
      <c r="P92" t="inlineStr">
        <is>
          <t>Yes</t>
        </is>
      </c>
      <c r="Q92" t="inlineStr">
        <is>
          <t>Bethulie Municipal Office and Site</t>
        </is>
      </c>
      <c r="R92" s="3" t="inlineStr">
        <is>
          <t>https://www.etenders.gov.za/home/Download/?blobName=75550ef7-8243-4308-9c48-8d24290b088d.pdf&amp;downloadedFileName=Advert%2015-5-2026.pdf</t>
        </is>
      </c>
      <c r="S92" t="inlineStr"/>
      <c r="T92" t="inlineStr"/>
      <c r="U92" t="inlineStr"/>
      <c r="V92" t="inlineStr"/>
      <c r="W92" t="inlineStr"/>
    </row>
    <row r="93">
      <c r="A93" s="2" t="n">
        <v>46162</v>
      </c>
      <c r="B93" t="n">
        <v>5</v>
      </c>
      <c r="C93" t="inlineStr">
        <is>
          <t>SLM/SCM/64/2025/2026</t>
        </is>
      </c>
      <c r="D93" s="2" t="n">
        <v>46157</v>
      </c>
      <c r="E93" s="2" t="n">
        <v>46178</v>
      </c>
      <c r="F93" t="inlineStr">
        <is>
          <t>12:00</t>
        </is>
      </c>
      <c r="G93" t="inlineStr">
        <is>
          <t>Request for Bid(Open-Tender)</t>
        </is>
      </c>
      <c r="H93" t="inlineStr">
        <is>
          <t>PAVING OF TAKALANI INTERNAL STREETS-PHASE 1</t>
        </is>
      </c>
      <c r="I93" t="inlineStr">
        <is>
          <t>ETENDERS.GOV.ZA</t>
        </is>
      </c>
      <c r="J93" t="inlineStr">
        <is>
          <t>Sakhisizwe Local Municipality</t>
        </is>
      </c>
      <c r="K93" t="inlineStr">
        <is>
          <t>Eastern Cape</t>
        </is>
      </c>
      <c r="L93" t="inlineStr">
        <is>
          <t>No</t>
        </is>
      </c>
      <c r="M93" t="inlineStr">
        <is>
          <t>Construction</t>
        </is>
      </c>
      <c r="N93" t="inlineStr">
        <is>
          <t>Yes</t>
        </is>
      </c>
      <c r="O93" s="2" t="n">
        <v>46163</v>
      </c>
      <c r="P93" t="inlineStr">
        <is>
          <t>Yes</t>
        </is>
      </c>
      <c r="Q93" t="inlineStr">
        <is>
          <t>ERF 5556 CALA,UMTHATHA ROAD</t>
        </is>
      </c>
      <c r="R93" s="3" t="inlineStr">
        <is>
          <t>https://www.etenders.gov.za/home/Download/?blobName=1ac36803-85e4-4df6-89d5-3b76fa79b9eb.pdf&amp;downloadedFileName=TENDER%20DOCUMENT%20FOR%20TAKALANI%20INTERNAL%20STREETS-PHASE%201.pdf</t>
        </is>
      </c>
      <c r="S93" t="inlineStr"/>
      <c r="T93" t="inlineStr"/>
      <c r="U93" t="inlineStr"/>
      <c r="V93" t="inlineStr"/>
      <c r="W93" t="inlineStr"/>
    </row>
    <row r="94">
      <c r="A94" s="2" t="n">
        <v>46162</v>
      </c>
      <c r="B94" t="n">
        <v>4</v>
      </c>
      <c r="C94" t="inlineStr">
        <is>
          <t>ATNS/RFQ08/04/2026/27/FACT_G-BEX UNITS FOR FACT</t>
        </is>
      </c>
      <c r="D94" s="2" t="n">
        <v>46157</v>
      </c>
      <c r="E94" s="2" t="n">
        <v>46171</v>
      </c>
      <c r="F94" t="inlineStr">
        <is>
          <t>11:00</t>
        </is>
      </c>
      <c r="G94" t="inlineStr">
        <is>
          <t>Request for Quotation</t>
        </is>
      </c>
      <c r="H94" t="inlineStr">
        <is>
          <t>APPOINTMENT OF A SERVICE PROVIDER FOR THE SUPPLY AND DELIVERY OF G-BEX 1000BASE UNITS AT ATNS CAPE TOWN STATION (FACT)</t>
        </is>
      </c>
      <c r="I94" t="inlineStr">
        <is>
          <t>ETENDERS.GOV.ZA</t>
        </is>
      </c>
      <c r="J94" t="inlineStr">
        <is>
          <t>Air Traffic and Navigation Services Company Limited</t>
        </is>
      </c>
      <c r="K94" t="inlineStr">
        <is>
          <t>Western Cape</t>
        </is>
      </c>
      <c r="L94" t="inlineStr">
        <is>
          <t>No</t>
        </is>
      </c>
      <c r="M94" t="inlineStr">
        <is>
          <t>Supplies: General</t>
        </is>
      </c>
      <c r="N94" t="inlineStr">
        <is>
          <t>No</t>
        </is>
      </c>
      <c r="O94" t="inlineStr">
        <is>
          <t>N/A</t>
        </is>
      </c>
      <c r="P94" t="inlineStr">
        <is>
          <t>No</t>
        </is>
      </c>
      <c r="Q94" t="inlineStr">
        <is>
          <t>N/A</t>
        </is>
      </c>
      <c r="R94" s="3" t="inlineStr">
        <is>
          <t>https://www.etenders.gov.za/home/Download/?blobName=5bd40fba-47c9-4953-94ab-a5fb4747ef81.pdf&amp;downloadedFileName=ATNS%20RFQ%20-%20G-Bex%20Units.pdf</t>
        </is>
      </c>
      <c r="S94" t="inlineStr"/>
      <c r="T94" t="inlineStr"/>
      <c r="U94" t="inlineStr"/>
      <c r="V94" t="inlineStr"/>
      <c r="W94" t="inlineStr"/>
    </row>
    <row r="95">
      <c r="A95" s="2" t="n">
        <v>46162</v>
      </c>
      <c r="B95" t="n">
        <v>3</v>
      </c>
      <c r="C95" t="inlineStr">
        <is>
          <t>5-2-1-1-2025-2026-209</t>
        </is>
      </c>
      <c r="D95" s="2" t="n">
        <v>46157</v>
      </c>
      <c r="E95" s="2" t="n">
        <v>46167</v>
      </c>
      <c r="F95" t="inlineStr">
        <is>
          <t>11:00</t>
        </is>
      </c>
      <c r="G95" t="inlineStr">
        <is>
          <t>Request for Quotation</t>
        </is>
      </c>
      <c r="H95" t="inlineStr">
        <is>
          <t>APPOINTMENT OF A SERVICE PROVIDER TO SUPPY AND DELIVER POTLAND CEMENT FOR DEPARTMENT OF AGRICULTURE.</t>
        </is>
      </c>
      <c r="I95" t="inlineStr">
        <is>
          <t>ETENDERS.GOV.ZA</t>
        </is>
      </c>
      <c r="J95" t="inlineStr">
        <is>
          <t>National - Department of Agriculture</t>
        </is>
      </c>
      <c r="K95" t="inlineStr">
        <is>
          <t>Gauteng</t>
        </is>
      </c>
      <c r="L95" t="inlineStr">
        <is>
          <t>No</t>
        </is>
      </c>
      <c r="M95" t="inlineStr">
        <is>
          <t>Services: General</t>
        </is>
      </c>
      <c r="N95" t="inlineStr">
        <is>
          <t>No</t>
        </is>
      </c>
      <c r="O95" t="inlineStr">
        <is>
          <t>N/A</t>
        </is>
      </c>
      <c r="P95" t="inlineStr">
        <is>
          <t>No</t>
        </is>
      </c>
      <c r="Q95" t="inlineStr">
        <is>
          <t>N/A</t>
        </is>
      </c>
      <c r="R95" s="3" t="inlineStr">
        <is>
          <t>https://www.etenders.gov.za/home/Download/?blobName=862b90ab-3c32-4bb6-9827-28d41536d1ee.pdf&amp;downloadedFileName=5-2-1-1-2025-2026-209.pdf</t>
        </is>
      </c>
      <c r="S95" t="inlineStr"/>
      <c r="T95" t="inlineStr"/>
      <c r="U95" t="inlineStr"/>
      <c r="V95" t="inlineStr"/>
      <c r="W95" t="inlineStr"/>
    </row>
    <row r="96">
      <c r="A96" s="2" t="n">
        <v>46162</v>
      </c>
      <c r="B96" t="n">
        <v>2</v>
      </c>
      <c r="C96" t="inlineStr">
        <is>
          <t>CORP (ICT) 05/2026</t>
        </is>
      </c>
      <c r="D96" s="2" t="n">
        <v>46157</v>
      </c>
      <c r="E96" s="2" t="n">
        <v>46192</v>
      </c>
      <c r="F96" t="inlineStr">
        <is>
          <t>11:00</t>
        </is>
      </c>
      <c r="G96" t="inlineStr">
        <is>
          <t>Request for Bid(Open-Tender)</t>
        </is>
      </c>
      <c r="H96" t="inlineStr">
        <is>
          <t>TENDERS ARE HEREBY INVITED THE APPOINTMENT OF A SERVICE PROVIDER FOR THE SUPPLY, DELIVERY AND OFFLOADING OF INFORMATION COMMUNICATION TECHNOLOGY (ICT) EQUIPMENT FOR A PERIOD OF THREE (3) YEARS.</t>
        </is>
      </c>
      <c r="I96" t="inlineStr">
        <is>
          <t>ETENDERS.GOV.ZA</t>
        </is>
      </c>
      <c r="J96" t="inlineStr">
        <is>
          <t>Mogale City Local Municipality</t>
        </is>
      </c>
      <c r="K96" t="inlineStr">
        <is>
          <t>Gauteng</t>
        </is>
      </c>
      <c r="L96" t="inlineStr">
        <is>
          <t>No</t>
        </is>
      </c>
      <c r="M96" t="inlineStr">
        <is>
          <t>Information and communication</t>
        </is>
      </c>
      <c r="N96" t="inlineStr">
        <is>
          <t>Yes</t>
        </is>
      </c>
      <c r="O96" s="2" t="n">
        <v>46171</v>
      </c>
      <c r="P96" t="inlineStr">
        <is>
          <t>Yes</t>
        </is>
      </c>
      <c r="Q96" t="inlineStr">
        <is>
          <t>Mayoral Parlour, Civic Centre, Corner Commissioner and Market Street, Krugersdorp, 1740.</t>
        </is>
      </c>
      <c r="R96" s="3" t="inlineStr">
        <is>
          <t>https://www.etenders.gov.za/home/Download/?blobName=fa82d0bd-9a70-44b6-8126-4fc06d70f45d.pdf&amp;downloadedFileName=CORP%20(ICT)%2005-2026.pdf</t>
        </is>
      </c>
      <c r="S96" t="inlineStr"/>
      <c r="T96" t="inlineStr"/>
      <c r="U96" t="inlineStr"/>
      <c r="V96" t="inlineStr"/>
      <c r="W96" t="inlineStr"/>
    </row>
    <row r="97">
      <c r="A97" s="2" t="n">
        <v>46162</v>
      </c>
      <c r="B97" t="n">
        <v>1</v>
      </c>
      <c r="C97" t="inlineStr">
        <is>
          <t>E1481GXLPMEDR</t>
        </is>
      </c>
      <c r="D97" s="2" t="n">
        <v>46157</v>
      </c>
      <c r="E97" s="2" t="n">
        <v>46182</v>
      </c>
      <c r="F97" t="inlineStr">
        <is>
          <t>10:00</t>
        </is>
      </c>
      <c r="G97" t="inlineStr">
        <is>
          <t>Request for Quotation</t>
        </is>
      </c>
      <c r="H97" t="inlineStr">
        <is>
          <t>Supply, Delivery and Application of Calcium Lignosulphonate based Chemical for Ash Dust Suppression Medupi Power Station for period of 1.5 years</t>
        </is>
      </c>
      <c r="I97" t="inlineStr">
        <is>
          <t>ETENDERS.GOV.ZA</t>
        </is>
      </c>
      <c r="J97" t="inlineStr">
        <is>
          <t>ESKOM</t>
        </is>
      </c>
      <c r="K97" t="inlineStr">
        <is>
          <t>Limpopo</t>
        </is>
      </c>
      <c r="L97" t="inlineStr">
        <is>
          <t>No</t>
        </is>
      </c>
      <c r="M97" t="inlineStr">
        <is>
          <t>Services: General</t>
        </is>
      </c>
      <c r="N97" t="inlineStr">
        <is>
          <t>No</t>
        </is>
      </c>
      <c r="O97" t="inlineStr">
        <is>
          <t>N/A</t>
        </is>
      </c>
      <c r="P97" t="inlineStr">
        <is>
          <t>No</t>
        </is>
      </c>
      <c r="Q97" t="inlineStr">
        <is>
          <t>N/A</t>
        </is>
      </c>
      <c r="R97" s="3" t="inlineStr">
        <is>
          <t>https://www.etenders.gov.za/home/Download/?blobName=0d4713ce-246f-4201-a39e-fb96dd4e8669.pdf&amp;downloadedFileName=SDLI%20Strategy%20for%20Supply%20Delivery%20and%20Application%20of%20Calcium%20Lignosulphonate%201.pdf</t>
        </is>
      </c>
      <c r="S97" t="inlineStr"/>
      <c r="T97" t="inlineStr"/>
      <c r="U97" t="inlineStr"/>
      <c r="V97" t="inlineStr"/>
      <c r="W97"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s="1" t="inlineStr">
        <is>
          <t>Source</t>
        </is>
      </c>
      <c r="B1" s="1" t="inlineStr">
        <is>
          <t>Number of New Tenders</t>
        </is>
      </c>
      <c r="C1" s="1" t="inlineStr">
        <is>
          <t>ICT Tenders</t>
        </is>
      </c>
      <c r="D1" s="1" t="inlineStr">
        <is>
          <t>RFQs</t>
        </is>
      </c>
    </row>
    <row r="2">
      <c r="A2" t="inlineStr">
        <is>
          <t>Report Date</t>
        </is>
      </c>
      <c r="B2" t="inlineStr">
        <is>
          <t>(M) 17/05/2026</t>
        </is>
      </c>
    </row>
    <row r="3">
      <c r="A3" t="inlineStr">
        <is>
          <t>eTenders (All)</t>
        </is>
      </c>
      <c r="B3">
        <f>COUNTA('Tender Data'!J:J)-1</f>
        <v/>
      </c>
      <c r="C3">
        <f>COUNTIF('Tender Data'!M:M,"Information service activities")+COUNTIF('Tender Data'!M:M,"Information and communication")</f>
        <v/>
      </c>
      <c r="D3">
        <f>COUNTIF('Tender Data'!G:G,"Request for Quotation")</f>
        <v/>
      </c>
    </row>
    <row r="4">
      <c r="A4" t="inlineStr">
        <is>
          <t>Eskom</t>
        </is>
      </c>
      <c r="B4">
        <f>COUNTIF('Tender Data'!J:J,"ESKOM")</f>
        <v/>
      </c>
      <c r="C4">
        <f>COUNTIFS('Tender Data'!M:M,"Information service activities",'Tender Data'!J:J,"ESKOM")+COUNTIFS('Tender Data'!M:M,"Information and communication",'Tender Data'!J:J,"ESKOM")</f>
        <v/>
      </c>
      <c r="D4">
        <f>COUNTIFS('Tender Data'!J:J,"ESKOM",'Tender Data'!G:G,"Request for Quotation")</f>
        <v/>
      </c>
    </row>
    <row r="5">
      <c r="A5" t="inlineStr">
        <is>
          <t>SITA</t>
        </is>
      </c>
      <c r="B5">
        <f>COUNTIF('Tender Data'!J:J,"State Information Technology Agency")</f>
        <v/>
      </c>
      <c r="C5">
        <f>COUNTIFS('Tender Data'!M:M,"Information service activities",'Tender Data'!J:J,"State Information Technology Agency")+COUNTIFS('Tender Data'!M:M,"Information and communication",'Tender Data'!J:J,"State Information Technology Agency")</f>
        <v/>
      </c>
      <c r="D5">
        <f>COUNTIFS('Tender Data'!J:J,"State Information Technology Agency",'Tender Data'!G:G,"Request for Quotation")</f>
        <v/>
      </c>
    </row>
    <row r="6">
      <c r="A6" t="inlineStr">
        <is>
          <t>Transnet</t>
        </is>
      </c>
      <c r="B6">
        <f>COUNTIF('Tender Data'!J:J,"Transnet*")</f>
        <v/>
      </c>
      <c r="C6">
        <f>COUNTIFS('Tender Data'!M:M,"Information service activities",'Tender Data'!J:J,"Transnet*")+COUNTIFS('Tender Data'!M:M,"Information and communication",'Tender Data'!J:J,"Transnet*")</f>
        <v/>
      </c>
      <c r="D6">
        <f>COUNTIFS('Tender Data'!J:J,"Transnet*",'Tender Data'!G:G,"Request for Quotation")</f>
        <v/>
      </c>
    </row>
    <row r="7">
      <c r="A7" t="inlineStr">
        <is>
          <t>JPC</t>
        </is>
      </c>
      <c r="B7">
        <f>COUNTIF('Tender Data'!J:J,"*Joburg Property*")</f>
        <v/>
      </c>
      <c r="C7">
        <f>COUNTIFS('Tender Data'!M:M,"Information service activities",'Tender Data'!J:J,"*Joburg Property*")+COUNTIFS('Tender Data'!M:M,"Information and communication",'Tender Data'!J:J,"*Joburg Property*")</f>
        <v/>
      </c>
      <c r="D7">
        <f>COUNTIFS('Tender Data'!J:J,"*Joburg Property*",'Tender Data'!G:G,"Request for Quotation")</f>
        <v/>
      </c>
    </row>
    <row r="8">
      <c r="A8" t="inlineStr">
        <is>
          <t>Matatiele LM</t>
        </is>
      </c>
      <c r="B8">
        <f>COUNTIF('Tender Data'!J:J,"Matatiele Local Municipality")</f>
        <v/>
      </c>
      <c r="C8">
        <f>COUNTIFS('Tender Data'!M:M,"Information service activities",'Tender Data'!J:J,"Matatiele Local Municipality")+COUNTIFS('Tender Data'!M:M,"Information and communication",'Tender Data'!J:J,"Matatiele Local Municipality")</f>
        <v/>
      </c>
      <c r="D8">
        <f>COUNTIFS('Tender Data'!J:J,"Matatiele Local Municipality",'Tender Data'!G:G,"Request for Quotation")</f>
        <v/>
      </c>
    </row>
    <row r="9">
      <c r="A9" t="inlineStr">
        <is>
          <t>Ntabankulu LM</t>
        </is>
      </c>
      <c r="B9">
        <f>COUNTIF('Tender Data'!J:J,"Ntabankulu Local Municipality")</f>
        <v/>
      </c>
      <c r="C9">
        <f>COUNTIFS('Tender Data'!M:M,"Information service activities",'Tender Data'!J:J,"Ntabankulu Local Municipality")+COUNTIFS('Tender Data'!M:M,"Information and communication",'Tender Data'!J:J,"Ntabankulu Local Municipality")</f>
        <v/>
      </c>
      <c r="D9">
        <f>COUNTIFS('Tender Data'!J:J,"Ntabankulu Local Municipality",'Tender Data'!G:G,"Request for Quotation")</f>
        <v/>
      </c>
    </row>
    <row r="10">
      <c r="A10" t="inlineStr">
        <is>
          <t>Umzimvubu LM</t>
        </is>
      </c>
      <c r="B10">
        <f>COUNTIF('Tender Data'!J:J,"Umzimvubu Local Municipality")</f>
        <v/>
      </c>
      <c r="C10">
        <f>COUNTIFS('Tender Data'!M:M,"Information service activities",'Tender Data'!J:J,"Umzimvubu Local Municipality")+COUNTIFS('Tender Data'!M:M,"Information and communication",'Tender Data'!J:J,"Umzimvubu Local Municipality")</f>
        <v/>
      </c>
      <c r="D10">
        <f>COUNTIFS('Tender Data'!J:J,"Umzimvubu Local Municipality",'Tender Data'!G:G,"Request for Quotation")</f>
        <v/>
      </c>
    </row>
    <row r="11">
      <c r="A11" t="inlineStr">
        <is>
          <t>Winnie Mandela LM</t>
        </is>
      </c>
      <c r="B11">
        <f>COUNTIF('Tender Data'!J:J,"Winnie Madikizela*")</f>
        <v/>
      </c>
      <c r="C11">
        <f>COUNTIFS('Tender Data'!M:M,"Information service activities",'Tender Data'!J:J,"Winnie Madikizela*")+COUNTIFS('Tender Data'!M:M,"Information and communication",'Tender Data'!J:J,"Winnie Madikizela*")</f>
        <v/>
      </c>
      <c r="D11">
        <f>COUNTIFS('Tender Data'!J:J,"Winnie Madikizela*",'Tender Data'!G:G,"Request for Quotation")</f>
        <v/>
      </c>
    </row>
    <row r="12">
      <c r="A12" t="inlineStr">
        <is>
          <t>Mnquma LM</t>
        </is>
      </c>
      <c r="B12">
        <f>COUNTIF('Tender Data'!J:J,"Mnquma Local Municipality")</f>
        <v/>
      </c>
      <c r="C12">
        <f>COUNTIFS('Tender Data'!M:M,"Information service activities",'Tender Data'!J:J,"Mnquma Local Municipality")+COUNTIFS('Tender Data'!M:M,"Information and communication",'Tender Data'!J:J,"Mnquma Local Municipality")</f>
        <v/>
      </c>
      <c r="D12">
        <f>COUNTIFS('Tender Data'!J:J,"Mnquma Local Municipality",'Tender Data'!G:G,"Request for Quotation")</f>
        <v/>
      </c>
    </row>
    <row r="13">
      <c r="A13" t="inlineStr">
        <is>
          <t>Great Kei LM</t>
        </is>
      </c>
      <c r="B13">
        <f>COUNTIF('Tender Data'!J:J,"Great Kei Local Municipality")</f>
        <v/>
      </c>
      <c r="C13">
        <f>COUNTIFS('Tender Data'!M:M,"Information service activities",'Tender Data'!J:J,"Great Kei Local Municipality")+COUNTIFS('Tender Data'!M:M,"Information and communication",'Tender Data'!J:J,"Great Kei Local Municipality")</f>
        <v/>
      </c>
      <c r="D13">
        <f>COUNTIFS('Tender Data'!J:J,"Great Kei Local Municipality",'Tender Data'!G:G,"Request for Quotation")</f>
        <v/>
      </c>
    </row>
    <row r="14">
      <c r="A14" t="inlineStr">
        <is>
          <t>Amahlathi LM</t>
        </is>
      </c>
      <c r="B14">
        <f>COUNTIF('Tender Data'!J:J,"Amahlathi Local Municipality")</f>
        <v/>
      </c>
      <c r="C14">
        <f>COUNTIFS('Tender Data'!M:M,"Information service activities",'Tender Data'!J:J,"Amahlathi Local Municipality")+COUNTIFS('Tender Data'!M:M,"Information and communication",'Tender Data'!J:J,"Amahlathi Local Municipality")</f>
        <v/>
      </c>
      <c r="D14">
        <f>COUNTIFS('Tender Data'!J:J,"Amahlathi Local Municipality",'Tender Data'!G:G,"Request for Quotation")</f>
        <v/>
      </c>
    </row>
    <row r="15">
      <c r="A15" t="inlineStr">
        <is>
          <t>Raymond Mhlaba LM</t>
        </is>
      </c>
      <c r="B15">
        <f>COUNTIF('Tender Data'!J:J,"Raymond Mhlaba Local Municipality")</f>
        <v/>
      </c>
      <c r="C15">
        <f>COUNTIFS('Tender Data'!M:M,"Information service activities",'Tender Data'!J:J,"Raymond Mhlaba Local Municipality")+COUNTIFS('Tender Data'!M:M,"Information and communication",'Tender Data'!J:J,"Raymond Mhlaba Local Municipality")</f>
        <v/>
      </c>
      <c r="D15">
        <f>COUNTIFS('Tender Data'!J:J,"Raymond Mhlaba Local Municipality",'Tender Data'!G:G,"Request for Quotation")</f>
        <v/>
      </c>
    </row>
    <row r="16">
      <c r="A16" t="inlineStr">
        <is>
          <t>JOSHCO</t>
        </is>
      </c>
      <c r="B16">
        <f>COUNTIF('Tender Data'!J:J,"*Johannesburg Social Housing*")</f>
        <v/>
      </c>
      <c r="C16">
        <f>COUNTIFS('Tender Data'!M:M,"Information service activities",'Tender Data'!J:J,"*Johannesburg Social Housing*")+COUNTIFS('Tender Data'!M:M,"Information and communication",'Tender Data'!J:J,"*Johannesburg Social Housing*")</f>
        <v/>
      </c>
      <c r="D16">
        <f>COUNTIFS('Tender Data'!J:J,"*Johannesburg Social Housing*",'Tender Data'!G:G,"Request for Quotation")</f>
        <v/>
      </c>
    </row>
    <row r="17">
      <c r="A17" t="inlineStr">
        <is>
          <t>GPL</t>
        </is>
      </c>
      <c r="B17">
        <f>COUNTIF('Tender Data'!J:J,"Gauteng Provincial Legislature")</f>
        <v/>
      </c>
      <c r="C17">
        <f>COUNTIFS('Tender Data'!M:M,"Information service activities",'Tender Data'!J:J,"Gauteng Provincial Legislature")+COUNTIFS('Tender Data'!M:M,"Information and communication",'Tender Data'!J:J,"Gauteng Provincial Legislature")</f>
        <v/>
      </c>
      <c r="D17">
        <f>COUNTIFS('Tender Data'!J:J,"Gauteng Provincial Legislature",'Tender Data'!G:G,"Request for Quotation")</f>
        <v/>
      </c>
    </row>
    <row r="18">
      <c r="A18" t="inlineStr">
        <is>
          <t>RAF</t>
        </is>
      </c>
      <c r="B18">
        <f>COUNTIF('Tender Data'!J:J,"Road Accident Fund")</f>
        <v/>
      </c>
      <c r="C18">
        <f>COUNTIFS('Tender Data'!M:M,"Information service activities",'Tender Data'!J:J,"Road Accident Fund")+COUNTIFS('Tender Data'!M:M,"Information and communication",'Tender Data'!J:J,"Road Accident Fund")</f>
        <v/>
      </c>
      <c r="D18">
        <f>COUNTIFS('Tender Data'!J:J,"Road Accident Fund",'Tender Data'!G:G,"Request for Quotation")</f>
        <v/>
      </c>
    </row>
    <row r="19">
      <c r="A19" t="inlineStr">
        <is>
          <t>MM Trading Company</t>
        </is>
      </c>
      <c r="B19">
        <f>COUNTIF('Tender Data'!J:J,"*Metropolitan Trading*")</f>
        <v/>
      </c>
      <c r="C19">
        <f>COUNTIFS('Tender Data'!M:M,"Information service activities",'Tender Data'!J:J,"*Metropolitan Trading*")+COUNTIFS('Tender Data'!M:M,"Information and communication",'Tender Data'!J:J,"*Metropolitan Trading*")</f>
        <v/>
      </c>
      <c r="D19">
        <f>COUNTIFS('Tender Data'!J:J,"*Metropolitan Trading*",'Tender Data'!G:G,"Request for Quotation")</f>
        <v/>
      </c>
    </row>
    <row r="20">
      <c r="A20" t="inlineStr">
        <is>
          <t>Nelson Mandela Bay MM</t>
        </is>
      </c>
      <c r="B20">
        <f>COUNTIF('Tender Data'!J:J,"*Nelson Mandela Bay*")</f>
        <v/>
      </c>
      <c r="C20">
        <f>COUNTIFS('Tender Data'!M:M,"Information service activities",'Tender Data'!J:J,"*Nelson Mandela Bay*")+COUNTIFS('Tender Data'!M:M,"Information and communication",'Tender Data'!J:J,"*Nelson Mandela Bay*")</f>
        <v/>
      </c>
      <c r="D20">
        <f>COUNTIFS('Tender Data'!J:J,"*Nelson Mandela Bay*",'Tender Data'!G:G,"Request for Quotation")</f>
        <v/>
      </c>
    </row>
    <row r="21">
      <c r="A21" t="inlineStr">
        <is>
          <t>Buffalo City MM</t>
        </is>
      </c>
      <c r="B21">
        <f>COUNTIF('Tender Data'!J:J,"*Buffalo City*")</f>
        <v/>
      </c>
      <c r="C21">
        <f>COUNTIFS('Tender Data'!M:M,"Information service activities",'Tender Data'!J:J,"*Buffalo City*")+COUNTIFS('Tender Data'!M:M,"Information and communication",'Tender Data'!J:J,"*Buffalo City*")</f>
        <v/>
      </c>
      <c r="D21">
        <f>COUNTIFS('Tender Data'!J:J,"*Buffalo City*",'Tender Data'!G:G,"Request for Quotation")</f>
        <v/>
      </c>
    </row>
    <row r="22">
      <c r="A22" t="inlineStr">
        <is>
          <t>EC DPW</t>
        </is>
      </c>
      <c r="B22">
        <f>COUNTIF('Tender Data'!J:J,"*Eastern Cape*Public Works*")</f>
        <v/>
      </c>
      <c r="C22">
        <f>COUNTIFS('Tender Data'!M:M,"Information service activities",'Tender Data'!J:J,"*Eastern Cape*Public Works*")+COUNTIFS('Tender Data'!M:M,"Information and communication",'Tender Data'!J:J,"*Eastern Cape*Public Works*")</f>
        <v/>
      </c>
      <c r="D22">
        <f>COUNTIFS('Tender Data'!J:J,"*Eastern Cape*Public Works*",'Tender Data'!G:G,"Request for Quotation")</f>
        <v/>
      </c>
    </row>
    <row r="23">
      <c r="A23" t="inlineStr">
        <is>
          <t>DEL</t>
        </is>
      </c>
      <c r="B23">
        <f>COUNTIF('Tender Data'!J:J,"*Labour*")</f>
        <v/>
      </c>
      <c r="C23">
        <f>COUNTIFS('Tender Data'!M:M,"Information service activities",'Tender Data'!J:J,"*Labour*")+COUNTIFS('Tender Data'!M:M,"Information and communication",'Tender Data'!J:J,"*Labour*")</f>
        <v/>
      </c>
      <c r="D23">
        <f>COUNTIFS('Tender Data'!J:J,"*Labour*",'Tender Data'!G:G,"Request for Quotation")</f>
        <v/>
      </c>
    </row>
    <row r="24">
      <c r="A24" t="inlineStr">
        <is>
          <t>SIU</t>
        </is>
      </c>
      <c r="B24">
        <f>COUNTIF('Tender Data'!J:J,"Special Investigations Unit*")</f>
        <v/>
      </c>
      <c r="C24">
        <f>COUNTIFS('Tender Data'!M:M,"Information service activities",'Tender Data'!J:J,"Special Investigations Unit*")+COUNTIFS('Tender Data'!M:M,"Information and communication",'Tender Data'!J:J,"Special Investigations Unit*")</f>
        <v/>
      </c>
      <c r="D24">
        <f>COUNTIFS('Tender Data'!J:J,"Special Investigations Unit*",'Tender Data'!G:G,"Request for Quotation")</f>
        <v/>
      </c>
    </row>
    <row r="25">
      <c r="A25" t="inlineStr">
        <is>
          <t>GDoH</t>
        </is>
      </c>
      <c r="B25">
        <f>COUNTIF('Tender Data'!J:J,"*Gauteng*Health*")</f>
        <v/>
      </c>
      <c r="C25">
        <f>COUNTIFS('Tender Data'!M:M,"Information service activities",'Tender Data'!J:J,"*Gauteng*Health*")+COUNTIFS('Tender Data'!M:M,"Information and communication",'Tender Data'!J:J,"*Gauteng*Health*")</f>
        <v/>
      </c>
      <c r="D25">
        <f>COUNTIFS('Tender Data'!J:J,"*Gauteng*Health*",'Tender Data'!G:G,"Request for Quotation")</f>
        <v/>
      </c>
    </row>
    <row r="26">
      <c r="A26" t="inlineStr">
        <is>
          <t>DIRCO</t>
        </is>
      </c>
      <c r="B26">
        <f>COUNTIF('Tender Data'!J:J,"*International Relation*")</f>
        <v/>
      </c>
      <c r="C26">
        <f>COUNTIFS('Tender Data'!M:M,"Information service activities",'Tender Data'!J:J,"*International Relation*")+COUNTIFS('Tender Data'!M:M,"Information and communication",'Tender Data'!J:J,"*International Relation*")</f>
        <v/>
      </c>
      <c r="D26">
        <f>COUNTIFS('Tender Data'!J:J,"*International Relation*",'Tender Data'!G:G,"Request for Quotation")</f>
        <v/>
      </c>
    </row>
    <row r="27">
      <c r="A27" t="inlineStr">
        <is>
          <t>CP JHB</t>
        </is>
      </c>
      <c r="B27">
        <f>COUNTIF('Tender Data'!J:J,"*Joburg Property*")</f>
        <v/>
      </c>
      <c r="C27">
        <f>COUNTIFS('Tender Data'!M:M,"Information service activities",'Tender Data'!J:J,"*Joburg Property*")+COUNTIFS('Tender Data'!M:M,"Information and communication",'Tender Data'!J:J,"*Joburg Property*")</f>
        <v/>
      </c>
      <c r="D27">
        <f>COUNTIFS('Tender Data'!J:J,"*Joburg Property*",'Tender Data'!G:G,"Request for Quotation")</f>
        <v/>
      </c>
    </row>
    <row r="28">
      <c r="A28" t="inlineStr">
        <is>
          <t>W JHB</t>
        </is>
      </c>
      <c r="B28">
        <f>COUNTIF('Tender Data'!J:J,"*Johannesburg Water*")</f>
        <v/>
      </c>
      <c r="C28">
        <f>COUNTIFS('Tender Data'!M:M,"Information service activities",'Tender Data'!J:J,"*Johannesburg Water*")+COUNTIFS('Tender Data'!M:M,"Information and communication",'Tender Data'!J:J,"*Johannesburg Water*")</f>
        <v/>
      </c>
      <c r="D28">
        <f>COUNTIFS('Tender Data'!J:J,"*Johannesburg Water*",'Tender Data'!G:G,"Request for Quotation")</f>
        <v/>
      </c>
    </row>
    <row r="29">
      <c r="B29">
        <f>SUM(B4:B28)</f>
        <v/>
      </c>
      <c r="C29">
        <f>SUM(C4:C28)</f>
        <v/>
      </c>
      <c r="D29">
        <f>SUM(D4:D28)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2026-05-20T21:15:00Z</dcterms:created>
  <dcterms:modified xsi:type="dcterms:W3CDTF">2026-05-20T21:15:00Z</dcterms:modified>
</cp:coreProperties>
</file>